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71379092609/WOPIServiceId_TP_BOX_2/WOPIUserId_-/"/>
    </mc:Choice>
  </mc:AlternateContent>
  <xr:revisionPtr revIDLastSave="524" documentId="13_ncr:1_{89A42BEF-1E48-4ABF-A6D9-4B7907736E40}" xr6:coauthVersionLast="47" xr6:coauthVersionMax="47" xr10:uidLastSave="{9D5FF488-6E3C-4324-BC3C-216D447A8B8C}"/>
  <bookViews>
    <workbookView minimized="1" xWindow="2016" yWindow="2052" windowWidth="17280" windowHeight="9960" xr2:uid="{9826A552-09B6-4284-ADE0-60372DB9AF2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0" i="1" l="1"/>
  <c r="AB28" i="1"/>
  <c r="AB29" i="1"/>
  <c r="AB31" i="1"/>
  <c r="AB32" i="1"/>
  <c r="AB33" i="1"/>
  <c r="AB34" i="1"/>
  <c r="AB27" i="1"/>
  <c r="X35" i="1"/>
  <c r="H44" i="1"/>
  <c r="H45" i="1"/>
  <c r="H46" i="1"/>
  <c r="H43" i="1"/>
  <c r="D49" i="1"/>
  <c r="D32" i="1"/>
  <c r="X50" i="1"/>
  <c r="X12" i="1"/>
  <c r="D12" i="1"/>
  <c r="H30" i="1" l="1"/>
  <c r="H31" i="1"/>
  <c r="AB48" i="1"/>
  <c r="AB43" i="1"/>
  <c r="AB44" i="1"/>
  <c r="AB46" i="1"/>
  <c r="AB47" i="1"/>
  <c r="AB49" i="1"/>
  <c r="AB42" i="1"/>
  <c r="AB4" i="1"/>
  <c r="AB5" i="1"/>
  <c r="AB6" i="1"/>
  <c r="AB8" i="1"/>
  <c r="AB9" i="1"/>
  <c r="AB10" i="1"/>
  <c r="AB11" i="1"/>
  <c r="AB7" i="1" s="1"/>
  <c r="H10" i="1"/>
  <c r="H11" i="1"/>
  <c r="H8" i="1"/>
  <c r="H9" i="1"/>
  <c r="H7" i="1" s="1"/>
  <c r="H6" i="1"/>
  <c r="H5" i="1"/>
  <c r="H4" i="1"/>
  <c r="H47" i="1"/>
  <c r="H48" i="1"/>
  <c r="H29" i="1"/>
  <c r="H28" i="1" s="1"/>
  <c r="H27" i="1"/>
  <c r="H42" i="1"/>
  <c r="H41" i="1"/>
  <c r="H25" i="1"/>
  <c r="H26" i="1"/>
  <c r="H24" i="1"/>
  <c r="AB45" i="1" l="1"/>
</calcChain>
</file>

<file path=xl/sharedStrings.xml><?xml version="1.0" encoding="utf-8"?>
<sst xmlns="http://schemas.openxmlformats.org/spreadsheetml/2006/main" count="133" uniqueCount="43">
  <si>
    <t>mod 1</t>
  </si>
  <si>
    <t>Genotype</t>
  </si>
  <si>
    <t>Treatment</t>
  </si>
  <si>
    <t>Genotype:Treatment</t>
  </si>
  <si>
    <t>Residuals</t>
  </si>
  <si>
    <t>df</t>
  </si>
  <si>
    <t>sum sq</t>
  </si>
  <si>
    <t>mean sq</t>
  </si>
  <si>
    <t>f-value</t>
  </si>
  <si>
    <t>***</t>
  </si>
  <si>
    <t>*</t>
  </si>
  <si>
    <t>%</t>
  </si>
  <si>
    <t>mod 2</t>
  </si>
  <si>
    <t>Signif. codes:  0 ‘***’ 0.001 ‘**’ 0.01 ‘*’ 0.05 ‘.’ 0.1 ‘ ’ 1</t>
  </si>
  <si>
    <t>mod 3</t>
  </si>
  <si>
    <t>Site</t>
  </si>
  <si>
    <t xml:space="preserve">Yield is explained ~55% by water treatment,  14% by genotype. And ~6% explained by site. All the factors are significant determing yield. </t>
  </si>
  <si>
    <t>Genotype:Site</t>
  </si>
  <si>
    <t>p-value less than 5% the null hypothesis is rejected</t>
  </si>
  <si>
    <t xml:space="preserve">Site:Genotype               </t>
  </si>
  <si>
    <t>**</t>
  </si>
  <si>
    <t xml:space="preserve">Site:Treatment                 </t>
  </si>
  <si>
    <t>Interactions</t>
  </si>
  <si>
    <t>mod 6</t>
  </si>
  <si>
    <t>only sarec</t>
  </si>
  <si>
    <t xml:space="preserve">Year  </t>
  </si>
  <si>
    <t xml:space="preserve">Genotype            </t>
  </si>
  <si>
    <t xml:space="preserve">Treatment </t>
  </si>
  <si>
    <t>Year:Genotype</t>
  </si>
  <si>
    <t xml:space="preserve">Year:Treatment </t>
  </si>
  <si>
    <t xml:space="preserve">Genotype:Treatment </t>
  </si>
  <si>
    <t xml:space="preserve">Residuals      </t>
  </si>
  <si>
    <t>mod 8</t>
  </si>
  <si>
    <t xml:space="preserve">Genotype                       </t>
  </si>
  <si>
    <t xml:space="preserve">Treatment                </t>
  </si>
  <si>
    <t xml:space="preserve">Site                           </t>
  </si>
  <si>
    <t xml:space="preserve">Treatment:Site         </t>
  </si>
  <si>
    <t xml:space="preserve">Genotype:Treatment      </t>
  </si>
  <si>
    <r>
      <t>Biomass is explained 66% by water treatment and 10% by genotype. There is a strong between</t>
    </r>
    <r>
      <rPr>
        <b/>
        <sz val="11"/>
        <color theme="1"/>
        <rFont val="Aptos Narrow"/>
        <family val="2"/>
        <scheme val="minor"/>
      </rPr>
      <t xml:space="preserve"> treatment:site and Genotype:site</t>
    </r>
  </si>
  <si>
    <t>mod 7</t>
  </si>
  <si>
    <t>For HI parameter, genotype explained the mayority of the variance ~31%. Site explained 17% of the HI variability.</t>
  </si>
  <si>
    <t>HI is explained by ~30% genotype, 23% year, 10% by year and interactions. Genotype, Year and Treatment is significant for HI.</t>
  </si>
  <si>
    <t>n.s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</si>
</sst>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1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0" xfId="0" applyBorder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0" xfId="0" applyFill="1" applyBorder="1"/>
    <xf numFmtId="0" fontId="0" fillId="3" borderId="1" xfId="0" applyFill="1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1" xfId="0" applyBorder="1"/>
    <xf numFmtId="1" fontId="5" fillId="3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yield = genotype * water treat. *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583731823737726"/>
          <c:y val="0.24434492200102895"/>
          <c:w val="0.49676417928695993"/>
          <c:h val="0.5215200425528204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A-48C7-84A0-3DBE1B1108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B6-478C-BEC8-9336970C72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B6-478C-BEC8-9336970C7283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B6-478C-BEC8-9336970C7283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10-4317-8757-2CE899A34F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Sheet1!$B$4:$B$8</c:f>
              <c:strCache>
                <c:ptCount val="5"/>
                <c:pt idx="0">
                  <c:v>Genotype</c:v>
                </c:pt>
                <c:pt idx="1">
                  <c:v>Treatment</c:v>
                </c:pt>
                <c:pt idx="2">
                  <c:v>Site</c:v>
                </c:pt>
                <c:pt idx="3">
                  <c:v>Interactions</c:v>
                </c:pt>
                <c:pt idx="4">
                  <c:v>Residuals</c:v>
                </c:pt>
              </c:strCache>
            </c:strRef>
          </c:cat>
          <c:val>
            <c:numRef>
              <c:f>Sheet1!$H$4:$H$8</c:f>
              <c:numCache>
                <c:formatCode>0</c:formatCode>
                <c:ptCount val="5"/>
                <c:pt idx="0">
                  <c:v>10.778636858476597</c:v>
                </c:pt>
                <c:pt idx="1">
                  <c:v>61.846545898686877</c:v>
                </c:pt>
                <c:pt idx="2" formatCode="0.00">
                  <c:v>6.9231994595029889</c:v>
                </c:pt>
                <c:pt idx="3" formatCode="0.00">
                  <c:v>8.1328857126983447</c:v>
                </c:pt>
                <c:pt idx="4" formatCode="0.00">
                  <c:v>12.318732070635187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A-48C7-84A0-3DBE1B1108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964265539296972"/>
          <c:y val="0.76702747999873511"/>
          <c:w val="0.66438332336613948"/>
          <c:h val="0.20887613445909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Biomass = genotype * water treat. * Site</a:t>
            </a:r>
          </a:p>
        </c:rich>
      </c:tx>
      <c:layout>
        <c:manualLayout>
          <c:xMode val="edge"/>
          <c:yMode val="edge"/>
          <c:x val="0.1188803184778045"/>
          <c:y val="7.0610355115758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CB-4806-A8A3-FE326969E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74-4836-B1B4-CE531EB39C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74-4836-B1B4-CE531EB39C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74-4836-B1B4-CE531EB39C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A9-4BF7-BD77-CA3059B94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Sheet1!$B$24:$B$28</c:f>
              <c:strCache>
                <c:ptCount val="5"/>
                <c:pt idx="0">
                  <c:v>Genotype                       </c:v>
                </c:pt>
                <c:pt idx="1">
                  <c:v>Treatment                </c:v>
                </c:pt>
                <c:pt idx="2">
                  <c:v>Site                           </c:v>
                </c:pt>
                <c:pt idx="3">
                  <c:v>Residuals</c:v>
                </c:pt>
                <c:pt idx="4">
                  <c:v>Interactions</c:v>
                </c:pt>
              </c:strCache>
            </c:strRef>
          </c:cat>
          <c:val>
            <c:numRef>
              <c:f>Sheet1!$H$24:$H$28</c:f>
              <c:numCache>
                <c:formatCode>0</c:formatCode>
                <c:ptCount val="5"/>
                <c:pt idx="0">
                  <c:v>10.474727096075831</c:v>
                </c:pt>
                <c:pt idx="1">
                  <c:v>65.529720023323833</c:v>
                </c:pt>
                <c:pt idx="2" formatCode="0.00">
                  <c:v>3.5192475416618323</c:v>
                </c:pt>
                <c:pt idx="3">
                  <c:v>12.665868427107682</c:v>
                </c:pt>
                <c:pt idx="4">
                  <c:v>7.8104369118308181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B-4806-A8A3-FE326969E7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06236100876931"/>
          <c:y val="0.79755966127353473"/>
          <c:w val="0.71203176375505195"/>
          <c:h val="0.1796302432865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= genotype * water treat. *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B-4D6C-98E7-C46AE2B45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37-4374-833D-8670FEF6D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AB-4D6C-98E7-C46AE2B4554B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37-4374-833D-8670FEF6D51F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DC-471F-90F5-F4D29C590539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9AB-4D6C-98E7-C46AE2B45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Sheet1!$B$41:$B$45</c:f>
              <c:strCache>
                <c:ptCount val="5"/>
                <c:pt idx="0">
                  <c:v>Genotype</c:v>
                </c:pt>
                <c:pt idx="1">
                  <c:v>Treatment</c:v>
                </c:pt>
                <c:pt idx="2">
                  <c:v>Site</c:v>
                </c:pt>
                <c:pt idx="3">
                  <c:v>Interactions</c:v>
                </c:pt>
                <c:pt idx="4">
                  <c:v>Residuals</c:v>
                </c:pt>
              </c:strCache>
            </c:strRef>
          </c:cat>
          <c:val>
            <c:numRef>
              <c:f>Sheet1!$H$41:$H$45</c:f>
              <c:numCache>
                <c:formatCode>0</c:formatCode>
                <c:ptCount val="5"/>
                <c:pt idx="0">
                  <c:v>30.998293121741945</c:v>
                </c:pt>
                <c:pt idx="1">
                  <c:v>5.2290446094939336</c:v>
                </c:pt>
                <c:pt idx="2">
                  <c:v>17.283295658993403</c:v>
                </c:pt>
                <c:pt idx="3">
                  <c:v>15.075886884716519</c:v>
                </c:pt>
                <c:pt idx="4">
                  <c:v>31.413479725054206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B-4D6C-98E7-C46AE2B455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372419078532122E-2"/>
          <c:y val="0.79127355677413802"/>
          <c:w val="0.90755186806361243"/>
          <c:h val="0.18728819776865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yield = genotype x water treat. x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F-471C-969D-82985B71D2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F-471C-969D-82985B71D2E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45-4D27-8FD0-19A0D01A3D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1FF-471C-969D-82985B71D2E1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3A3B011E-ADCB-40A0-9956-DA3C5520648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1FF-471C-969D-82985B71D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Sheet1!$V$5:$V$8</c:f>
              <c:strCache>
                <c:ptCount val="4"/>
                <c:pt idx="0">
                  <c:v>Genotype            </c:v>
                </c:pt>
                <c:pt idx="1">
                  <c:v>Treatment </c:v>
                </c:pt>
                <c:pt idx="2">
                  <c:v>Interactions</c:v>
                </c:pt>
                <c:pt idx="3">
                  <c:v>Residuals      </c:v>
                </c:pt>
              </c:strCache>
            </c:strRef>
          </c:cat>
          <c:val>
            <c:numRef>
              <c:f>Sheet1!$AB$5:$AB$8</c:f>
              <c:numCache>
                <c:formatCode>0</c:formatCode>
                <c:ptCount val="4"/>
                <c:pt idx="0">
                  <c:v>11.778869435759823</c:v>
                </c:pt>
                <c:pt idx="1">
                  <c:v>72.464073176035456</c:v>
                </c:pt>
                <c:pt idx="2">
                  <c:v>5.4124561580822315</c:v>
                </c:pt>
                <c:pt idx="3">
                  <c:v>10.10512506866894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F-471C-969D-82985B71D2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= genotype x water</a:t>
            </a:r>
            <a:r>
              <a:rPr lang="en-US" baseline="0"/>
              <a:t> treat. x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C22-49C8-860C-B9F01BA72D49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C22-49C8-860C-B9F01BA72D4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22-49C8-860C-B9F01BA72D49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F4-41F3-96E7-D1DC52BA9983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22-49C8-860C-B9F01BA72D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965EC3-6FE1-4A36-8FFB-1F18801CFBD0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C22-49C8-860C-B9F01BA72D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F5A90D-768C-45FF-8ABD-784C61246B0C}" type="VALUE">
                      <a:rPr lang="en-US" u="none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C22-49C8-860C-B9F01BA72D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09DFF6-0D32-4549-B925-0F49E94B780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C22-49C8-860C-B9F01BA72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Sheet1!$V$42:$V$46</c:f>
              <c:strCache>
                <c:ptCount val="5"/>
                <c:pt idx="0">
                  <c:v>Year  </c:v>
                </c:pt>
                <c:pt idx="1">
                  <c:v>Genotype            </c:v>
                </c:pt>
                <c:pt idx="2">
                  <c:v>Treatment </c:v>
                </c:pt>
                <c:pt idx="3">
                  <c:v>Interactions</c:v>
                </c:pt>
                <c:pt idx="4">
                  <c:v>Residuals      </c:v>
                </c:pt>
              </c:strCache>
            </c:strRef>
          </c:cat>
          <c:val>
            <c:numRef>
              <c:f>Sheet1!$AB$42:$AB$46</c:f>
              <c:numCache>
                <c:formatCode>0</c:formatCode>
                <c:ptCount val="5"/>
                <c:pt idx="0">
                  <c:v>23.20655887041676</c:v>
                </c:pt>
                <c:pt idx="1">
                  <c:v>28.8687087223867</c:v>
                </c:pt>
                <c:pt idx="2">
                  <c:v>10.245388294238216</c:v>
                </c:pt>
                <c:pt idx="3">
                  <c:v>9.9294010475973593</c:v>
                </c:pt>
                <c:pt idx="4">
                  <c:v>27.416875427009796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2-49C8-860C-B9F01BA72D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biomass= genotype x water treat. x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7-46E4-82A2-A7207D91CD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70-4EF1-8F24-A25FA3411C5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0-4EF1-8F24-A25FA3411C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0-4EF1-8F24-A25FA3411C5D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40016F9C-9B97-42B4-95C2-B5FCD2FBDBF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270-4EF1-8F24-A25FA3411C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7B9EC0-6B50-47A2-B048-AA39F219D77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270-4EF1-8F24-A25FA3411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Sheet1!$V$28:$V$31</c:f>
              <c:strCache>
                <c:ptCount val="4"/>
                <c:pt idx="0">
                  <c:v>Genotype            </c:v>
                </c:pt>
                <c:pt idx="1">
                  <c:v>Treatment </c:v>
                </c:pt>
                <c:pt idx="2">
                  <c:v>Interactions</c:v>
                </c:pt>
                <c:pt idx="3">
                  <c:v>Residuals      </c:v>
                </c:pt>
              </c:strCache>
            </c:strRef>
          </c:cat>
          <c:val>
            <c:numRef>
              <c:f>Sheet1!$AB$28:$AB$31</c:f>
              <c:numCache>
                <c:formatCode>0</c:formatCode>
                <c:ptCount val="4"/>
                <c:pt idx="0">
                  <c:v>10.867250428015796</c:v>
                </c:pt>
                <c:pt idx="1">
                  <c:v>72.762484154402827</c:v>
                </c:pt>
                <c:pt idx="2">
                  <c:v>5.0437511635562009</c:v>
                </c:pt>
                <c:pt idx="3">
                  <c:v>11.019903063037166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0-4EF1-8F24-A25FA3411C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209549</xdr:colOff>
      <xdr:row>0</xdr:row>
      <xdr:rowOff>1</xdr:rowOff>
    </xdr:from>
    <xdr:to>
      <xdr:col>14</xdr:col>
      <xdr:colOff>323850</xdr:colOff>
      <xdr:row>17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9572A-136D-BABE-BD0B-9196117D1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106890</xdr:colOff>
      <xdr:row>21</xdr:row>
      <xdr:rowOff>97366</xdr:rowOff>
    </xdr:from>
    <xdr:to>
      <xdr:col>14</xdr:col>
      <xdr:colOff>504825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18082-4900-4847-6C6A-BD0D2A1FE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517260</xdr:colOff>
      <xdr:row>45</xdr:row>
      <xdr:rowOff>136261</xdr:rowOff>
    </xdr:from>
    <xdr:to>
      <xdr:col>14</xdr:col>
      <xdr:colOff>453759</xdr:colOff>
      <xdr:row>66</xdr:row>
      <xdr:rowOff>51594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2867A7-B613-26A8-DD3E-2EF703C44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179916</xdr:colOff>
      <xdr:row>4</xdr:row>
      <xdr:rowOff>105833</xdr:rowOff>
    </xdr:from>
    <xdr:to>
      <xdr:col>33</xdr:col>
      <xdr:colOff>476250</xdr:colOff>
      <xdr:row>19</xdr:row>
      <xdr:rowOff>21168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BDADE4-49C8-34B7-3053-71427E34A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542925</xdr:colOff>
      <xdr:row>52</xdr:row>
      <xdr:rowOff>115358</xdr:rowOff>
    </xdr:from>
    <xdr:to>
      <xdr:col>26</xdr:col>
      <xdr:colOff>542925</xdr:colOff>
      <xdr:row>68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D52846-F042-C205-7772-3285D6092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498157</xdr:colOff>
      <xdr:row>22</xdr:row>
      <xdr:rowOff>1</xdr:rowOff>
    </xdr:from>
    <xdr:to>
      <xdr:col>34</xdr:col>
      <xdr:colOff>400050</xdr:colOff>
      <xdr:row>35</xdr:row>
      <xdr:rowOff>140017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EBE1-4EDB-57E6-27B4-2A7B35857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EB8A-D574-4117-A0B4-F9442DC02F24}">
  <dimension ref="B2:AG57"/>
  <sheetViews>
    <sheetView tabSelected="1" topLeftCell="S13" zoomScale="70" zoomScaleNormal="70" workbookViewId="0">
      <selection activeCell="Y16" sqref="Y16"/>
    </sheetView>
  </sheetViews>
  <sheetFormatPr defaultRowHeight="14.4" x14ac:dyDescent="0.3"/>
  <cols>
    <col min="2" max="2" width="22" bestFit="1" customWidth="1"/>
    <col min="4" max="5" width="14.88671875" bestFit="1" customWidth="1"/>
    <col min="22" max="22" width="24.33203125" bestFit="1" customWidth="1"/>
    <col min="23" max="23" width="9" bestFit="1" customWidth="1"/>
    <col min="24" max="24" width="11.33203125" bestFit="1" customWidth="1"/>
    <col min="25" max="25" width="10" bestFit="1" customWidth="1"/>
    <col min="26" max="26" width="9" bestFit="1" customWidth="1"/>
    <col min="28" max="28" width="9" bestFit="1" customWidth="1"/>
  </cols>
  <sheetData>
    <row r="2" spans="2:28" x14ac:dyDescent="0.3">
      <c r="B2" s="2"/>
      <c r="V2" t="s">
        <v>24</v>
      </c>
    </row>
    <row r="3" spans="2:28" x14ac:dyDescent="0.3">
      <c r="B3" s="6" t="s">
        <v>0</v>
      </c>
      <c r="C3" s="7" t="s">
        <v>5</v>
      </c>
      <c r="D3" s="7" t="s">
        <v>6</v>
      </c>
      <c r="E3" s="7" t="s">
        <v>7</v>
      </c>
      <c r="F3" s="7" t="s">
        <v>8</v>
      </c>
      <c r="G3" s="7"/>
      <c r="H3" s="7" t="s">
        <v>11</v>
      </c>
      <c r="V3" s="6" t="s">
        <v>23</v>
      </c>
      <c r="W3" s="7" t="s">
        <v>5</v>
      </c>
      <c r="X3" s="7" t="s">
        <v>6</v>
      </c>
      <c r="Y3" s="7" t="s">
        <v>7</v>
      </c>
      <c r="Z3" s="7" t="s">
        <v>8</v>
      </c>
      <c r="AA3" s="7"/>
      <c r="AB3" s="7" t="s">
        <v>11</v>
      </c>
    </row>
    <row r="4" spans="2:28" x14ac:dyDescent="0.3">
      <c r="B4" s="6" t="s">
        <v>1</v>
      </c>
      <c r="C4" s="6">
        <v>12</v>
      </c>
      <c r="D4" s="7">
        <v>24344020</v>
      </c>
      <c r="E4" s="7">
        <v>2028668</v>
      </c>
      <c r="F4">
        <v>8.3119999999999994</v>
      </c>
      <c r="G4" s="7" t="s">
        <v>9</v>
      </c>
      <c r="H4" s="9">
        <f>+(D4/$D$12)*100</f>
        <v>10.778636858476597</v>
      </c>
      <c r="V4" s="6" t="s">
        <v>25</v>
      </c>
      <c r="W4" s="21">
        <v>1</v>
      </c>
      <c r="X4" s="22">
        <v>461235</v>
      </c>
      <c r="Y4" s="22">
        <v>461235</v>
      </c>
      <c r="Z4">
        <v>2.085</v>
      </c>
      <c r="AA4" s="22"/>
      <c r="AB4" s="9">
        <f>+(X4/$X$12)*100</f>
        <v>0.239476161453542</v>
      </c>
    </row>
    <row r="5" spans="2:28" x14ac:dyDescent="0.3">
      <c r="B5" s="6" t="s">
        <v>2</v>
      </c>
      <c r="C5" s="6">
        <v>1</v>
      </c>
      <c r="D5" s="6">
        <v>139683113</v>
      </c>
      <c r="E5" s="10">
        <v>139683113</v>
      </c>
      <c r="F5" s="12">
        <v>572.34</v>
      </c>
      <c r="G5" s="7" t="s">
        <v>9</v>
      </c>
      <c r="H5" s="9">
        <f>+(D5/$D$12)*100</f>
        <v>61.846545898686877</v>
      </c>
      <c r="V5" s="6" t="s">
        <v>26</v>
      </c>
      <c r="W5" s="6">
        <v>12</v>
      </c>
      <c r="X5" s="6">
        <v>22686295</v>
      </c>
      <c r="Y5" s="10">
        <v>1890525</v>
      </c>
      <c r="Z5" s="7">
        <v>8.548</v>
      </c>
      <c r="AA5" s="7" t="s">
        <v>9</v>
      </c>
      <c r="AB5" s="9">
        <f t="shared" ref="AB5:AB11" si="0">+(X5/$X$12)*100</f>
        <v>11.778869435759823</v>
      </c>
    </row>
    <row r="6" spans="2:28" x14ac:dyDescent="0.3">
      <c r="B6" s="6" t="s">
        <v>15</v>
      </c>
      <c r="C6" s="6">
        <v>3</v>
      </c>
      <c r="D6" s="6">
        <v>15636347</v>
      </c>
      <c r="E6" s="6">
        <v>5212116</v>
      </c>
      <c r="F6" s="12">
        <v>21.356000000000002</v>
      </c>
      <c r="G6" s="7" t="s">
        <v>9</v>
      </c>
      <c r="H6" s="8">
        <f>+(D6/$D$12)*100</f>
        <v>6.9231994595029889</v>
      </c>
      <c r="P6" s="5"/>
      <c r="V6" s="6" t="s">
        <v>27</v>
      </c>
      <c r="W6" s="6">
        <v>1</v>
      </c>
      <c r="X6" s="6">
        <v>139566989</v>
      </c>
      <c r="Y6" s="6">
        <v>139566989</v>
      </c>
      <c r="Z6" s="7">
        <v>631.04999999999995</v>
      </c>
      <c r="AA6" s="7" t="s">
        <v>9</v>
      </c>
      <c r="AB6" s="9">
        <f t="shared" si="0"/>
        <v>72.464073176035456</v>
      </c>
    </row>
    <row r="7" spans="2:28" x14ac:dyDescent="0.3">
      <c r="B7" s="6" t="s">
        <v>22</v>
      </c>
      <c r="C7" s="6"/>
      <c r="D7" s="6"/>
      <c r="E7" s="6"/>
      <c r="F7" s="12"/>
      <c r="G7" s="7"/>
      <c r="H7" s="8">
        <f>+H9+H10+H11</f>
        <v>8.1328857126983447</v>
      </c>
      <c r="P7" s="5"/>
      <c r="V7" s="6" t="s">
        <v>22</v>
      </c>
      <c r="W7" s="7"/>
      <c r="X7" s="7"/>
      <c r="Y7" s="7"/>
      <c r="Z7" s="7"/>
      <c r="AA7" s="7"/>
      <c r="AB7" s="9">
        <f>+AB11+AB10+AB9</f>
        <v>5.4124561580822315</v>
      </c>
    </row>
    <row r="8" spans="2:28" x14ac:dyDescent="0.3">
      <c r="B8" s="6" t="s">
        <v>4</v>
      </c>
      <c r="C8" s="6">
        <v>114</v>
      </c>
      <c r="D8" s="6">
        <v>27822392</v>
      </c>
      <c r="E8" s="6">
        <v>244056</v>
      </c>
      <c r="F8" s="12"/>
      <c r="G8" s="7"/>
      <c r="H8" s="8">
        <f>+(D8/$D$12)*100</f>
        <v>12.318732070635187</v>
      </c>
      <c r="P8" s="5"/>
      <c r="V8" s="6" t="s">
        <v>31</v>
      </c>
      <c r="W8" s="6">
        <v>88</v>
      </c>
      <c r="X8" s="7">
        <v>19462636</v>
      </c>
      <c r="Y8" s="7">
        <v>221166</v>
      </c>
      <c r="Z8" s="7"/>
      <c r="AA8" s="7"/>
      <c r="AB8" s="9">
        <f t="shared" si="0"/>
        <v>10.10512506866894</v>
      </c>
    </row>
    <row r="9" spans="2:28" x14ac:dyDescent="0.3">
      <c r="B9" s="1" t="s">
        <v>3</v>
      </c>
      <c r="C9" s="6">
        <v>11</v>
      </c>
      <c r="D9" s="6">
        <v>6690024</v>
      </c>
      <c r="E9" s="6">
        <v>608184</v>
      </c>
      <c r="F9" s="12">
        <v>2.492</v>
      </c>
      <c r="G9" s="7" t="s">
        <v>20</v>
      </c>
      <c r="H9" s="8">
        <f>+(D9/$D$12)*100</f>
        <v>2.9620966163555993</v>
      </c>
      <c r="P9" s="5"/>
      <c r="V9" s="14" t="s">
        <v>28</v>
      </c>
      <c r="W9" s="14">
        <v>7</v>
      </c>
      <c r="X9" s="14">
        <v>3571048</v>
      </c>
      <c r="Y9" s="14">
        <v>510150</v>
      </c>
      <c r="Z9" s="16">
        <v>2.3069999999999999</v>
      </c>
      <c r="AA9" s="16" t="s">
        <v>10</v>
      </c>
      <c r="AB9" s="9">
        <f t="shared" si="0"/>
        <v>1.8541109573348689</v>
      </c>
    </row>
    <row r="10" spans="2:28" x14ac:dyDescent="0.3">
      <c r="B10" s="6" t="s">
        <v>21</v>
      </c>
      <c r="C10" s="6">
        <v>1</v>
      </c>
      <c r="D10" s="6">
        <v>163407</v>
      </c>
      <c r="E10" s="6">
        <v>0.67</v>
      </c>
      <c r="F10" s="12">
        <v>0.41492000000000001</v>
      </c>
      <c r="G10" s="7"/>
      <c r="H10" s="8">
        <f>+(D10/$D$12)*100</f>
        <v>7.235061066878376E-2</v>
      </c>
      <c r="V10" s="6" t="s">
        <v>29</v>
      </c>
      <c r="W10" s="6">
        <v>1</v>
      </c>
      <c r="X10" s="6">
        <v>163407</v>
      </c>
      <c r="Y10" s="6">
        <v>163407</v>
      </c>
      <c r="Z10" s="7">
        <v>0.73899999999999999</v>
      </c>
      <c r="AA10" s="7"/>
      <c r="AB10" s="9">
        <f t="shared" si="0"/>
        <v>8.4841959336648204E-2</v>
      </c>
    </row>
    <row r="11" spans="2:28" x14ac:dyDescent="0.3">
      <c r="B11" s="7" t="s">
        <v>19</v>
      </c>
      <c r="C11" s="7">
        <v>21</v>
      </c>
      <c r="D11" s="6">
        <v>11515045</v>
      </c>
      <c r="E11" s="6">
        <v>548335</v>
      </c>
      <c r="F11" s="12">
        <v>2.2469999999999999</v>
      </c>
      <c r="G11" s="7" t="s">
        <v>20</v>
      </c>
      <c r="H11" s="8">
        <f>+(D11/$D$12)*100</f>
        <v>5.0984384856739613</v>
      </c>
      <c r="V11" s="14" t="s">
        <v>30</v>
      </c>
      <c r="W11" s="14">
        <v>11</v>
      </c>
      <c r="X11" s="14">
        <v>6690024</v>
      </c>
      <c r="Y11" s="14">
        <v>608184</v>
      </c>
      <c r="Z11" s="16">
        <v>2.75</v>
      </c>
      <c r="AA11" s="16" t="s">
        <v>20</v>
      </c>
      <c r="AB11" s="9">
        <f t="shared" si="0"/>
        <v>3.4735032414107145</v>
      </c>
    </row>
    <row r="12" spans="2:28" x14ac:dyDescent="0.3">
      <c r="B12" s="7"/>
      <c r="C12" s="7"/>
      <c r="D12" s="8">
        <f>SUM(D4:D11)</f>
        <v>225854348</v>
      </c>
      <c r="E12" s="7"/>
      <c r="F12" s="7"/>
      <c r="G12" s="7"/>
      <c r="H12" s="7"/>
      <c r="V12" s="7"/>
      <c r="W12" s="7"/>
      <c r="X12" s="7">
        <f>SUM(X4:X11)</f>
        <v>192601634</v>
      </c>
      <c r="Y12" s="7"/>
      <c r="Z12" s="7"/>
      <c r="AA12" s="7"/>
      <c r="AB12" s="7"/>
    </row>
    <row r="13" spans="2:28" ht="15" thickBot="1" x14ac:dyDescent="0.35"/>
    <row r="14" spans="2:28" x14ac:dyDescent="0.3">
      <c r="B14" s="2"/>
      <c r="D14" s="3"/>
      <c r="E14" s="2"/>
      <c r="H14" s="4"/>
      <c r="P14" s="24" t="s">
        <v>16</v>
      </c>
      <c r="Q14" s="25"/>
      <c r="R14" s="25"/>
      <c r="S14" s="26"/>
    </row>
    <row r="15" spans="2:28" x14ac:dyDescent="0.3">
      <c r="B15" t="s">
        <v>18</v>
      </c>
      <c r="P15" s="27"/>
      <c r="Q15" s="28"/>
      <c r="R15" s="28"/>
      <c r="S15" s="29"/>
    </row>
    <row r="16" spans="2:28" x14ac:dyDescent="0.3">
      <c r="P16" s="27"/>
      <c r="Q16" s="28"/>
      <c r="R16" s="28"/>
      <c r="S16" s="29"/>
      <c r="V16" s="2"/>
    </row>
    <row r="17" spans="2:28" ht="12.75" customHeight="1" thickBot="1" x14ac:dyDescent="0.35">
      <c r="P17" s="30"/>
      <c r="Q17" s="31"/>
      <c r="R17" s="31"/>
      <c r="S17" s="32"/>
    </row>
    <row r="18" spans="2:28" x14ac:dyDescent="0.3">
      <c r="B18" s="11" t="s">
        <v>13</v>
      </c>
    </row>
    <row r="23" spans="2:28" x14ac:dyDescent="0.3">
      <c r="B23" s="7" t="s">
        <v>12</v>
      </c>
      <c r="C23" s="7" t="s">
        <v>5</v>
      </c>
      <c r="D23" s="7" t="s">
        <v>6</v>
      </c>
      <c r="E23" s="7" t="s">
        <v>7</v>
      </c>
      <c r="F23" s="7" t="s">
        <v>8</v>
      </c>
      <c r="G23" s="7"/>
      <c r="H23" s="7" t="s">
        <v>11</v>
      </c>
    </row>
    <row r="24" spans="2:28" x14ac:dyDescent="0.3">
      <c r="B24" s="18" t="s">
        <v>33</v>
      </c>
      <c r="C24" s="7">
        <v>12</v>
      </c>
      <c r="D24" s="18">
        <v>91749268</v>
      </c>
      <c r="E24" s="18">
        <v>7645772</v>
      </c>
      <c r="F24" s="18">
        <v>7.9939999999999998</v>
      </c>
      <c r="G24" s="7" t="s">
        <v>9</v>
      </c>
      <c r="H24" s="9">
        <f>+(D24/$D$32)*100</f>
        <v>10.474727096075831</v>
      </c>
    </row>
    <row r="25" spans="2:28" x14ac:dyDescent="0.3">
      <c r="B25" s="18" t="s">
        <v>34</v>
      </c>
      <c r="C25" s="7">
        <v>1</v>
      </c>
      <c r="D25" s="18">
        <v>573981908</v>
      </c>
      <c r="E25" s="7">
        <v>573981908</v>
      </c>
      <c r="F25" s="18">
        <v>600.15200000000004</v>
      </c>
      <c r="G25" s="7" t="s">
        <v>9</v>
      </c>
      <c r="H25" s="9">
        <f t="shared" ref="H25:H26" si="1">+(D25/$D$32)*100</f>
        <v>65.529720023323833</v>
      </c>
    </row>
    <row r="26" spans="2:28" x14ac:dyDescent="0.3">
      <c r="B26" s="18" t="s">
        <v>35</v>
      </c>
      <c r="C26" s="7">
        <v>3</v>
      </c>
      <c r="D26" s="18">
        <v>30825470</v>
      </c>
      <c r="E26" s="7">
        <v>10275157</v>
      </c>
      <c r="F26" s="18">
        <v>10.744</v>
      </c>
      <c r="G26" s="7" t="s">
        <v>9</v>
      </c>
      <c r="H26" s="8">
        <f t="shared" si="1"/>
        <v>3.5192475416618323</v>
      </c>
      <c r="V26" s="6" t="s">
        <v>39</v>
      </c>
      <c r="W26" s="7" t="s">
        <v>5</v>
      </c>
      <c r="X26" s="7" t="s">
        <v>6</v>
      </c>
      <c r="Y26" s="7" t="s">
        <v>7</v>
      </c>
      <c r="Z26" s="7" t="s">
        <v>8</v>
      </c>
      <c r="AA26" s="7"/>
      <c r="AB26" s="7" t="s">
        <v>11</v>
      </c>
    </row>
    <row r="27" spans="2:28" x14ac:dyDescent="0.3">
      <c r="B27" s="18" t="s">
        <v>4</v>
      </c>
      <c r="C27" s="7">
        <v>116</v>
      </c>
      <c r="D27" s="18">
        <v>110941712</v>
      </c>
      <c r="E27" s="18">
        <v>956394</v>
      </c>
      <c r="F27" s="7"/>
      <c r="G27" s="7"/>
      <c r="H27" s="9">
        <f>+(D27/$D$32)*100</f>
        <v>12.665868427107682</v>
      </c>
      <c r="V27" s="18" t="s">
        <v>25</v>
      </c>
      <c r="W27" s="18">
        <v>1</v>
      </c>
      <c r="X27" s="18">
        <v>2240792</v>
      </c>
      <c r="Y27" s="7">
        <v>2240792</v>
      </c>
      <c r="Z27" s="7">
        <v>2.504</v>
      </c>
      <c r="AA27" s="7"/>
      <c r="AB27" s="9">
        <f>+(X27/$X$35)*100</f>
        <v>0.30661119098801143</v>
      </c>
    </row>
    <row r="28" spans="2:28" x14ac:dyDescent="0.3">
      <c r="B28" s="18" t="s">
        <v>22</v>
      </c>
      <c r="C28" s="7"/>
      <c r="D28" s="18"/>
      <c r="E28" s="18"/>
      <c r="F28" s="18"/>
      <c r="G28" s="7"/>
      <c r="H28" s="9">
        <f>+H29+H30+H31</f>
        <v>7.8104369118308181</v>
      </c>
      <c r="V28" s="20" t="s">
        <v>26</v>
      </c>
      <c r="W28" s="20">
        <v>12</v>
      </c>
      <c r="X28" s="20">
        <v>79420610</v>
      </c>
      <c r="Y28" s="23">
        <v>6618384</v>
      </c>
      <c r="Z28" s="16">
        <v>7.3959999999999999</v>
      </c>
      <c r="AA28" s="16" t="s">
        <v>9</v>
      </c>
      <c r="AB28" s="9">
        <f t="shared" ref="AB28:AB34" si="2">+(X28/$X$35)*100</f>
        <v>10.867250428015796</v>
      </c>
    </row>
    <row r="29" spans="2:28" x14ac:dyDescent="0.3">
      <c r="B29" s="18" t="s">
        <v>17</v>
      </c>
      <c r="C29" s="7">
        <v>21</v>
      </c>
      <c r="D29" s="18">
        <v>42737893</v>
      </c>
      <c r="E29" s="18">
        <v>2035138</v>
      </c>
      <c r="F29" s="18">
        <v>2.1280000000000001</v>
      </c>
      <c r="G29" s="7" t="s">
        <v>20</v>
      </c>
      <c r="H29" s="9">
        <f t="shared" ref="H29:H31" si="3">+(D29/$D$32)*100</f>
        <v>4.8792516343159225</v>
      </c>
      <c r="V29" s="20" t="s">
        <v>27</v>
      </c>
      <c r="W29" s="20">
        <v>1</v>
      </c>
      <c r="X29" s="20">
        <v>531766606</v>
      </c>
      <c r="Y29" s="20">
        <v>531766606</v>
      </c>
      <c r="Z29" s="20">
        <v>594.25400000000002</v>
      </c>
      <c r="AA29" s="16" t="s">
        <v>9</v>
      </c>
      <c r="AB29" s="9">
        <f t="shared" si="2"/>
        <v>72.762484154402827</v>
      </c>
    </row>
    <row r="30" spans="2:28" x14ac:dyDescent="0.3">
      <c r="B30" s="18" t="s">
        <v>36</v>
      </c>
      <c r="C30" s="7">
        <v>1</v>
      </c>
      <c r="D30" s="18">
        <v>7125689</v>
      </c>
      <c r="E30" s="18">
        <v>7125689</v>
      </c>
      <c r="F30" s="18">
        <v>7.4509999999999996</v>
      </c>
      <c r="G30" s="7" t="s">
        <v>20</v>
      </c>
      <c r="H30" s="9">
        <f t="shared" si="3"/>
        <v>0.81351763641873942</v>
      </c>
      <c r="V30" s="18" t="s">
        <v>22</v>
      </c>
      <c r="W30" s="7"/>
      <c r="X30" s="7"/>
      <c r="Y30" s="7"/>
      <c r="Z30" s="7"/>
      <c r="AA30" s="7"/>
      <c r="AB30" s="9">
        <f>+AB32+AB33+AB34</f>
        <v>5.0437511635562009</v>
      </c>
    </row>
    <row r="31" spans="2:28" x14ac:dyDescent="0.3">
      <c r="B31" s="18" t="s">
        <v>37</v>
      </c>
      <c r="C31" s="7">
        <v>11</v>
      </c>
      <c r="D31" s="18">
        <v>18548880</v>
      </c>
      <c r="E31" s="18">
        <v>1686262</v>
      </c>
      <c r="F31" s="18">
        <v>1.7629999999999999</v>
      </c>
      <c r="G31" s="7"/>
      <c r="H31" s="9">
        <f t="shared" si="3"/>
        <v>2.1176676410961561</v>
      </c>
      <c r="V31" s="18" t="s">
        <v>31</v>
      </c>
      <c r="W31" s="18">
        <v>90</v>
      </c>
      <c r="X31" s="18">
        <v>80536234</v>
      </c>
      <c r="Y31" s="18">
        <v>894847</v>
      </c>
      <c r="Z31" s="7"/>
      <c r="AA31" s="7"/>
      <c r="AB31" s="9">
        <f t="shared" si="2"/>
        <v>11.019903063037166</v>
      </c>
    </row>
    <row r="32" spans="2:28" ht="15" thickBot="1" x14ac:dyDescent="0.35">
      <c r="B32" s="19"/>
      <c r="C32" s="7"/>
      <c r="D32" s="7">
        <f>SUM(D24:D31)</f>
        <v>875910820</v>
      </c>
      <c r="E32" s="7"/>
      <c r="F32" s="7"/>
      <c r="G32" s="7"/>
      <c r="H32" s="7"/>
      <c r="V32" s="18" t="s">
        <v>28</v>
      </c>
      <c r="W32" s="18">
        <v>7</v>
      </c>
      <c r="X32" s="18">
        <v>10045162</v>
      </c>
      <c r="Y32" s="18">
        <v>1435023</v>
      </c>
      <c r="Z32" s="7">
        <v>1.6040000000000001</v>
      </c>
      <c r="AA32" s="7"/>
      <c r="AB32" s="9">
        <f t="shared" si="2"/>
        <v>1.3744957517197109</v>
      </c>
    </row>
    <row r="33" spans="2:28" x14ac:dyDescent="0.3">
      <c r="P33" s="24" t="s">
        <v>38</v>
      </c>
      <c r="Q33" s="25"/>
      <c r="R33" s="25"/>
      <c r="S33" s="26"/>
      <c r="V33" s="18" t="s">
        <v>29</v>
      </c>
      <c r="W33" s="18">
        <v>1</v>
      </c>
      <c r="X33" s="18">
        <v>3521303</v>
      </c>
      <c r="Y33" s="18">
        <v>3521303</v>
      </c>
      <c r="Z33" s="18">
        <v>3.9350000000000001</v>
      </c>
      <c r="AA33" s="7"/>
      <c r="AB33" s="9">
        <f t="shared" si="2"/>
        <v>0.48182558071416604</v>
      </c>
    </row>
    <row r="34" spans="2:28" x14ac:dyDescent="0.3">
      <c r="P34" s="27"/>
      <c r="Q34" s="28"/>
      <c r="R34" s="28"/>
      <c r="S34" s="29"/>
      <c r="V34" s="20" t="s">
        <v>30</v>
      </c>
      <c r="W34" s="20">
        <v>11</v>
      </c>
      <c r="X34" s="20">
        <v>23294542</v>
      </c>
      <c r="Y34" s="20">
        <v>2117686</v>
      </c>
      <c r="Z34" s="20">
        <v>2.367</v>
      </c>
      <c r="AA34" s="16" t="s">
        <v>10</v>
      </c>
      <c r="AB34" s="9">
        <f t="shared" si="2"/>
        <v>3.1874298311223237</v>
      </c>
    </row>
    <row r="35" spans="2:28" x14ac:dyDescent="0.3">
      <c r="P35" s="27"/>
      <c r="Q35" s="28"/>
      <c r="R35" s="28"/>
      <c r="S35" s="29"/>
      <c r="V35" s="7"/>
      <c r="W35" s="7"/>
      <c r="X35" s="7">
        <f>SUM(X27:X34)</f>
        <v>730825249</v>
      </c>
      <c r="Y35" s="7"/>
      <c r="Z35" s="7"/>
      <c r="AA35" s="7"/>
      <c r="AB35" s="7"/>
    </row>
    <row r="36" spans="2:28" ht="15" thickBot="1" x14ac:dyDescent="0.35">
      <c r="P36" s="30"/>
      <c r="Q36" s="31"/>
      <c r="R36" s="31"/>
      <c r="S36" s="32"/>
    </row>
    <row r="40" spans="2:28" x14ac:dyDescent="0.3">
      <c r="B40" s="7" t="s">
        <v>14</v>
      </c>
      <c r="C40" s="7" t="s">
        <v>5</v>
      </c>
      <c r="D40" s="7" t="s">
        <v>6</v>
      </c>
      <c r="E40" s="7" t="s">
        <v>7</v>
      </c>
      <c r="F40" s="7" t="s">
        <v>8</v>
      </c>
      <c r="G40" s="7"/>
      <c r="H40" s="7" t="s">
        <v>11</v>
      </c>
      <c r="V40" t="s">
        <v>24</v>
      </c>
    </row>
    <row r="41" spans="2:28" x14ac:dyDescent="0.3">
      <c r="B41" s="6" t="s">
        <v>1</v>
      </c>
      <c r="C41" s="7">
        <v>12</v>
      </c>
      <c r="D41" s="17">
        <v>0.13439000000000001</v>
      </c>
      <c r="E41" s="7">
        <v>1.1199000000000001E-2</v>
      </c>
      <c r="F41" s="7">
        <v>9.3740000000000006</v>
      </c>
      <c r="G41" s="7" t="s">
        <v>9</v>
      </c>
      <c r="H41" s="9">
        <f>+(D41/$D$49)*100</f>
        <v>30.998293121741945</v>
      </c>
      <c r="V41" s="6" t="s">
        <v>32</v>
      </c>
      <c r="W41" s="7" t="s">
        <v>5</v>
      </c>
      <c r="X41" s="7" t="s">
        <v>6</v>
      </c>
      <c r="Y41" s="7" t="s">
        <v>7</v>
      </c>
      <c r="Z41" s="7" t="s">
        <v>8</v>
      </c>
      <c r="AA41" s="7"/>
      <c r="AB41" s="7" t="s">
        <v>11</v>
      </c>
    </row>
    <row r="42" spans="2:28" x14ac:dyDescent="0.3">
      <c r="B42" s="6" t="s">
        <v>2</v>
      </c>
      <c r="C42" s="7">
        <v>1</v>
      </c>
      <c r="D42" s="17">
        <v>2.2669999999999999E-2</v>
      </c>
      <c r="E42" s="7">
        <v>2.2667E-2</v>
      </c>
      <c r="F42" s="7">
        <v>18.972999999999999</v>
      </c>
      <c r="G42" s="7" t="s">
        <v>9</v>
      </c>
      <c r="H42" s="9">
        <f t="shared" ref="H42:H48" si="4">+(D42/$D$49)*100</f>
        <v>5.2290446094939336</v>
      </c>
      <c r="V42" s="2" t="s">
        <v>25</v>
      </c>
      <c r="W42" s="6">
        <v>1</v>
      </c>
      <c r="X42" s="2">
        <v>8.1519999999999995E-2</v>
      </c>
      <c r="Y42" s="2">
        <v>8.1519999999999995E-2</v>
      </c>
      <c r="Z42">
        <v>74.48</v>
      </c>
      <c r="AA42" s="7" t="s">
        <v>9</v>
      </c>
      <c r="AB42" s="9">
        <f>+(X42/$X$50)*100</f>
        <v>23.20655887041676</v>
      </c>
    </row>
    <row r="43" spans="2:28" x14ac:dyDescent="0.3">
      <c r="B43" s="6" t="s">
        <v>15</v>
      </c>
      <c r="C43" s="7">
        <v>3</v>
      </c>
      <c r="D43" s="17">
        <v>7.4929999999999997E-2</v>
      </c>
      <c r="E43" s="7">
        <v>2.4978E-2</v>
      </c>
      <c r="F43" s="7">
        <v>20.908000000000001</v>
      </c>
      <c r="G43" s="7" t="s">
        <v>9</v>
      </c>
      <c r="H43" s="9">
        <f>+(D43/$D$49)*100</f>
        <v>17.283295658993403</v>
      </c>
      <c r="V43" s="2" t="s">
        <v>26</v>
      </c>
      <c r="W43" s="6">
        <v>12</v>
      </c>
      <c r="X43" s="2">
        <v>0.10141</v>
      </c>
      <c r="Y43" s="2">
        <v>8.4499999999999992E-3</v>
      </c>
      <c r="Z43" s="12">
        <v>7.7210000000000001</v>
      </c>
      <c r="AA43" s="7" t="s">
        <v>9</v>
      </c>
      <c r="AB43" s="9">
        <f>+(X43/$X$50)*100</f>
        <v>28.8687087223867</v>
      </c>
    </row>
    <row r="44" spans="2:28" x14ac:dyDescent="0.3">
      <c r="B44" s="6" t="s">
        <v>22</v>
      </c>
      <c r="C44" s="7"/>
      <c r="D44" s="17"/>
      <c r="E44" s="7"/>
      <c r="F44" s="7"/>
      <c r="G44" s="7"/>
      <c r="H44" s="9">
        <f>+H46+H47+H48</f>
        <v>15.075886884716519</v>
      </c>
      <c r="V44" s="13" t="s">
        <v>27</v>
      </c>
      <c r="W44" s="14">
        <v>1</v>
      </c>
      <c r="X44" s="13">
        <v>3.5990000000000001E-2</v>
      </c>
      <c r="Y44" s="13">
        <v>3.5990000000000001E-2</v>
      </c>
      <c r="Z44" s="15">
        <v>32.880000000000003</v>
      </c>
      <c r="AA44" s="16" t="s">
        <v>9</v>
      </c>
      <c r="AB44" s="9">
        <f>+(X44/$X$50)*100</f>
        <v>10.245388294238216</v>
      </c>
    </row>
    <row r="45" spans="2:28" x14ac:dyDescent="0.3">
      <c r="B45" s="6" t="s">
        <v>4</v>
      </c>
      <c r="C45" s="7">
        <v>114</v>
      </c>
      <c r="D45" s="17">
        <v>0.13619000000000001</v>
      </c>
      <c r="E45" s="17">
        <v>1.1950000000000001E-3</v>
      </c>
      <c r="F45" s="7"/>
      <c r="G45" s="7"/>
      <c r="H45" s="9">
        <f t="shared" ref="H45:H46" si="5">+(D45/$D$49)*100</f>
        <v>31.413479725054206</v>
      </c>
      <c r="V45" s="2" t="s">
        <v>22</v>
      </c>
      <c r="AB45" s="9">
        <f>+AB47+AB49</f>
        <v>9.9294010475973593</v>
      </c>
    </row>
    <row r="46" spans="2:28" x14ac:dyDescent="0.3">
      <c r="B46" s="17" t="s">
        <v>36</v>
      </c>
      <c r="C46" s="7">
        <v>1</v>
      </c>
      <c r="D46">
        <v>2.97E-3</v>
      </c>
      <c r="E46" s="7">
        <v>2.97E-3</v>
      </c>
      <c r="F46" s="7">
        <v>2.4830000000000001</v>
      </c>
      <c r="G46" s="7"/>
      <c r="H46" s="9">
        <f t="shared" si="5"/>
        <v>0.68505789546523965</v>
      </c>
      <c r="V46" s="2" t="s">
        <v>31</v>
      </c>
      <c r="W46" s="2">
        <v>88</v>
      </c>
      <c r="X46" s="2">
        <v>9.6310000000000007E-2</v>
      </c>
      <c r="Y46" s="2">
        <v>1.09E-3</v>
      </c>
      <c r="AB46" s="9">
        <f>+(X46/$X$50)*100</f>
        <v>27.416875427009796</v>
      </c>
    </row>
    <row r="47" spans="2:28" x14ac:dyDescent="0.3">
      <c r="B47" s="2" t="s">
        <v>3</v>
      </c>
      <c r="C47" s="17">
        <v>11</v>
      </c>
      <c r="D47" s="2">
        <v>2.6929999999999999E-2</v>
      </c>
      <c r="E47" s="7">
        <v>2.4489999999999998E-3</v>
      </c>
      <c r="F47" s="7">
        <v>2.0499999999999998</v>
      </c>
      <c r="G47" s="7"/>
      <c r="H47" s="9">
        <f t="shared" si="4"/>
        <v>6.2116529039996307</v>
      </c>
      <c r="V47" s="2" t="s">
        <v>28</v>
      </c>
      <c r="W47" s="6">
        <v>7</v>
      </c>
      <c r="X47" s="2">
        <v>1.3520000000000001E-2</v>
      </c>
      <c r="Y47" s="2">
        <v>1.9300000000000001E-3</v>
      </c>
      <c r="Z47" s="12">
        <v>1.7649999999999999</v>
      </c>
      <c r="AA47" s="7"/>
      <c r="AB47" s="9">
        <f>+(X47/$X$50)*100</f>
        <v>3.8487815987246647</v>
      </c>
    </row>
    <row r="48" spans="2:28" x14ac:dyDescent="0.3">
      <c r="B48" s="2" t="s">
        <v>17</v>
      </c>
      <c r="C48" s="17">
        <v>21</v>
      </c>
      <c r="D48" s="2">
        <v>3.5459999999999998E-2</v>
      </c>
      <c r="E48" s="7">
        <v>1.689E-3</v>
      </c>
      <c r="F48" s="7">
        <v>1.413</v>
      </c>
      <c r="G48" s="7"/>
      <c r="H48" s="9">
        <f t="shared" si="4"/>
        <v>8.1791760852516493</v>
      </c>
      <c r="V48" s="2" t="s">
        <v>29</v>
      </c>
      <c r="W48" s="6">
        <v>1</v>
      </c>
      <c r="X48" s="2">
        <v>1.17E-3</v>
      </c>
      <c r="Y48" s="2">
        <v>1.17E-3</v>
      </c>
      <c r="Z48" s="12">
        <v>1.07</v>
      </c>
      <c r="AA48" s="7"/>
      <c r="AB48" s="9">
        <f>+(X48/$X$50)*100</f>
        <v>0.33306763835117287</v>
      </c>
    </row>
    <row r="49" spans="2:33" x14ac:dyDescent="0.3">
      <c r="B49" s="1"/>
      <c r="C49" s="7"/>
      <c r="D49" s="7">
        <f>SUM(D41:D48)</f>
        <v>0.43353999999999998</v>
      </c>
      <c r="E49" s="7"/>
      <c r="F49" s="7"/>
      <c r="G49" s="7"/>
      <c r="H49" s="7"/>
      <c r="V49" s="13" t="s">
        <v>30</v>
      </c>
      <c r="W49" s="14">
        <v>11</v>
      </c>
      <c r="X49" s="13">
        <v>2.1360000000000001E-2</v>
      </c>
      <c r="Y49" s="13">
        <v>1.9400000000000001E-3</v>
      </c>
      <c r="Z49" s="15">
        <v>1.774</v>
      </c>
      <c r="AA49" s="16">
        <v>0.05</v>
      </c>
      <c r="AB49" s="9">
        <f>+(X49/$X$50)*100</f>
        <v>6.080619448872695</v>
      </c>
    </row>
    <row r="50" spans="2:33" ht="15" thickBot="1" x14ac:dyDescent="0.35">
      <c r="X50">
        <f>SUM(X42:X49)</f>
        <v>0.35127999999999998</v>
      </c>
      <c r="AB50" s="7"/>
    </row>
    <row r="51" spans="2:33" ht="15" customHeight="1" x14ac:dyDescent="0.3">
      <c r="P51" s="24" t="s">
        <v>40</v>
      </c>
      <c r="Q51" s="25"/>
      <c r="R51" s="25"/>
      <c r="S51" s="26"/>
      <c r="AD51" s="24" t="s">
        <v>41</v>
      </c>
      <c r="AE51" s="25"/>
      <c r="AF51" s="25"/>
      <c r="AG51" s="26"/>
    </row>
    <row r="52" spans="2:33" x14ac:dyDescent="0.3">
      <c r="P52" s="27"/>
      <c r="Q52" s="28"/>
      <c r="R52" s="28"/>
      <c r="S52" s="29"/>
      <c r="AD52" s="27"/>
      <c r="AE52" s="28"/>
      <c r="AF52" s="28"/>
      <c r="AG52" s="29"/>
    </row>
    <row r="53" spans="2:33" x14ac:dyDescent="0.3">
      <c r="P53" s="27"/>
      <c r="Q53" s="28"/>
      <c r="R53" s="28"/>
      <c r="S53" s="29"/>
      <c r="AD53" s="27"/>
      <c r="AE53" s="28"/>
      <c r="AF53" s="28"/>
      <c r="AG53" s="29"/>
    </row>
    <row r="54" spans="2:33" ht="15" customHeight="1" x14ac:dyDescent="0.3">
      <c r="P54" s="27"/>
      <c r="Q54" s="28"/>
      <c r="R54" s="28"/>
      <c r="S54" s="29"/>
      <c r="AD54" s="27"/>
      <c r="AE54" s="28"/>
      <c r="AF54" s="28"/>
      <c r="AG54" s="29"/>
    </row>
    <row r="55" spans="2:33" x14ac:dyDescent="0.3">
      <c r="P55" s="27"/>
      <c r="Q55" s="28"/>
      <c r="R55" s="28"/>
      <c r="S55" s="29"/>
      <c r="AD55" s="27"/>
      <c r="AE55" s="28"/>
      <c r="AF55" s="28"/>
      <c r="AG55" s="29"/>
    </row>
    <row r="56" spans="2:33" ht="15" thickBot="1" x14ac:dyDescent="0.35">
      <c r="P56" s="30"/>
      <c r="Q56" s="31"/>
      <c r="R56" s="31"/>
      <c r="S56" s="32"/>
      <c r="AD56" s="27"/>
      <c r="AE56" s="28"/>
      <c r="AF56" s="28"/>
      <c r="AG56" s="29"/>
    </row>
    <row r="57" spans="2:33" ht="15" thickBot="1" x14ac:dyDescent="0.35">
      <c r="AD57" s="30"/>
      <c r="AE57" s="31"/>
      <c r="AF57" s="31"/>
      <c r="AG57" s="32"/>
    </row>
  </sheetData>
  <mergeCells count="4">
    <mergeCell ref="P33:S36"/>
    <mergeCell ref="P14:S17"/>
    <mergeCell ref="P51:S56"/>
    <mergeCell ref="AD51:AG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DEC1-A4D2-40AA-A8B4-F0C0EFB1F276}">
  <dimension ref="B2:G9"/>
  <sheetViews>
    <sheetView workbookViewId="0">
      <selection activeCell="B3" sqref="B3:G9"/>
    </sheetView>
  </sheetViews>
  <sheetFormatPr defaultRowHeight="14.4" x14ac:dyDescent="0.3"/>
  <cols>
    <col min="2" max="2" width="19.33203125" bestFit="1" customWidth="1"/>
  </cols>
  <sheetData>
    <row r="2" spans="2:7" x14ac:dyDescent="0.3">
      <c r="B2" t="s">
        <v>24</v>
      </c>
    </row>
    <row r="3" spans="2:7" x14ac:dyDescent="0.3">
      <c r="B3" t="s">
        <v>23</v>
      </c>
      <c r="C3" t="s">
        <v>5</v>
      </c>
      <c r="D3" t="s">
        <v>6</v>
      </c>
      <c r="E3" t="s">
        <v>7</v>
      </c>
      <c r="F3" t="s">
        <v>8</v>
      </c>
    </row>
    <row r="4" spans="2:7" x14ac:dyDescent="0.3">
      <c r="B4" t="s">
        <v>25</v>
      </c>
      <c r="C4">
        <v>1</v>
      </c>
      <c r="D4">
        <v>461235</v>
      </c>
      <c r="E4">
        <v>461235</v>
      </c>
      <c r="F4">
        <v>2.085</v>
      </c>
      <c r="G4" t="s">
        <v>42</v>
      </c>
    </row>
    <row r="5" spans="2:7" x14ac:dyDescent="0.3">
      <c r="B5" t="s">
        <v>26</v>
      </c>
      <c r="C5">
        <v>12</v>
      </c>
      <c r="D5">
        <v>22686295</v>
      </c>
      <c r="E5">
        <v>1890525</v>
      </c>
      <c r="F5">
        <v>8.548</v>
      </c>
      <c r="G5" t="s">
        <v>9</v>
      </c>
    </row>
    <row r="6" spans="2:7" x14ac:dyDescent="0.3">
      <c r="B6" t="s">
        <v>27</v>
      </c>
      <c r="C6">
        <v>1</v>
      </c>
      <c r="D6">
        <v>139566989</v>
      </c>
      <c r="E6">
        <v>139566989</v>
      </c>
      <c r="F6">
        <v>631.04999999999995</v>
      </c>
      <c r="G6" t="s">
        <v>9</v>
      </c>
    </row>
    <row r="7" spans="2:7" x14ac:dyDescent="0.3">
      <c r="B7" t="s">
        <v>28</v>
      </c>
      <c r="C7">
        <v>7</v>
      </c>
      <c r="D7">
        <v>3571048</v>
      </c>
      <c r="E7">
        <v>510150</v>
      </c>
      <c r="F7">
        <v>2.3069999999999999</v>
      </c>
      <c r="G7" t="s">
        <v>10</v>
      </c>
    </row>
    <row r="8" spans="2:7" x14ac:dyDescent="0.3">
      <c r="B8" t="s">
        <v>29</v>
      </c>
      <c r="C8">
        <v>1</v>
      </c>
      <c r="D8">
        <v>163407</v>
      </c>
      <c r="E8">
        <v>163407</v>
      </c>
      <c r="F8">
        <v>0.73899999999999999</v>
      </c>
      <c r="G8" t="s">
        <v>42</v>
      </c>
    </row>
    <row r="9" spans="2:7" x14ac:dyDescent="0.3">
      <c r="B9" t="s">
        <v>30</v>
      </c>
      <c r="C9">
        <v>11</v>
      </c>
      <c r="D9">
        <v>6690024</v>
      </c>
      <c r="E9">
        <v>608184</v>
      </c>
      <c r="F9">
        <v>2.75</v>
      </c>
      <c r="G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2026-03-20T15:10:35Z</dcterms:created>
  <dcterms:modified xsi:type="dcterms:W3CDTF">2026-06-09T15:32:13Z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2026-03-20T15:23:36Z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d30db41c-110e-4efe-9bac-0f75cc46db4d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