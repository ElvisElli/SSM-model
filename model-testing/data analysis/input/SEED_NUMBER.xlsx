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37581410223/WOPIServiceId_TP_BOX_2/WOPIUserId_-/"/>
    </mc:Choice>
  </mc:AlternateContent>
  <xr:revisionPtr revIDLastSave="12" documentId="13_ncr:1_{E6DFEDC5-60DD-4EEA-A8A2-30A04E7F2CE2}" xr6:coauthVersionLast="47" xr6:coauthVersionMax="47" xr10:uidLastSave="{D057009B-3624-4BDC-A85B-F782533FA1CD}"/>
  <bookViews>
    <workbookView xWindow="-120" yWindow="-120" windowWidth="29040" windowHeight="15720" activeTab="1" xr2:uid="{4006E1F8-0D94-4EFC-8247-4D01C636AD72}"/>
  </bookViews>
  <sheets>
    <sheet name="Sheet1" sheetId="1" r:id="rId1"/>
    <sheet name="sheet_final" sheetId="2" r:id="rId2"/>
  </sheets>
  <definedNames>
    <definedName name="_xlnm._FilterDatabase" localSheetId="1" hidden="1">sheet_final!$A$1:$F$1</definedName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7" i="2" l="1"/>
  <c r="I89" i="2"/>
  <c r="I90" i="2"/>
  <c r="I98" i="2"/>
  <c r="I99" i="2"/>
  <c r="I101" i="2"/>
  <c r="I103" i="2"/>
  <c r="I104" i="2"/>
  <c r="I112" i="2"/>
  <c r="I113" i="2"/>
  <c r="I115" i="2"/>
  <c r="I117" i="2"/>
  <c r="I118" i="2"/>
  <c r="I126" i="2"/>
  <c r="I127" i="2"/>
  <c r="I129" i="2"/>
  <c r="I130" i="2"/>
  <c r="I131" i="2"/>
  <c r="I132" i="2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H88" i="2"/>
  <c r="I88" i="2" s="1"/>
  <c r="H89" i="2"/>
  <c r="H90" i="2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H99" i="2"/>
  <c r="H100" i="2"/>
  <c r="I100" i="2" s="1"/>
  <c r="H101" i="2"/>
  <c r="H102" i="2"/>
  <c r="I102" i="2" s="1"/>
  <c r="H103" i="2"/>
  <c r="H104" i="2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H113" i="2"/>
  <c r="H114" i="2"/>
  <c r="I114" i="2" s="1"/>
  <c r="H115" i="2"/>
  <c r="H116" i="2"/>
  <c r="I116" i="2" s="1"/>
  <c r="H117" i="2"/>
  <c r="H118" i="2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H127" i="2"/>
  <c r="H128" i="2"/>
  <c r="I128" i="2" s="1"/>
  <c r="H129" i="2"/>
  <c r="H130" i="2"/>
  <c r="H131" i="2"/>
  <c r="H132" i="2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72" i="2"/>
  <c r="I72" i="2"/>
  <c r="I70" i="2" l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H71" i="2"/>
  <c r="I71" i="2" s="1"/>
  <c r="H2" i="2"/>
  <c r="I2" i="2" s="1"/>
  <c r="D119" i="1" l="1"/>
  <c r="D117" i="1"/>
  <c r="D115" i="1"/>
  <c r="D113" i="1"/>
  <c r="D111" i="1"/>
  <c r="D109" i="1"/>
  <c r="D107" i="1"/>
  <c r="D105" i="1"/>
  <c r="D103" i="1"/>
  <c r="D101" i="1"/>
  <c r="D100" i="1"/>
  <c r="D98" i="1"/>
  <c r="D96" i="1"/>
  <c r="D94" i="1"/>
  <c r="D92" i="1"/>
  <c r="D90" i="1"/>
  <c r="D88" i="1"/>
  <c r="D86" i="1"/>
  <c r="D84" i="1"/>
  <c r="D82" i="1"/>
  <c r="D80" i="1"/>
  <c r="D78" i="1"/>
  <c r="D76" i="1"/>
  <c r="D74" i="1"/>
  <c r="D72" i="1"/>
  <c r="D70" i="1"/>
  <c r="D68" i="1"/>
  <c r="D66" i="1"/>
  <c r="D64" i="1"/>
  <c r="D62" i="1"/>
  <c r="D60" i="1"/>
  <c r="D57" i="1"/>
  <c r="D55" i="1"/>
  <c r="D53" i="1"/>
  <c r="D51" i="1"/>
  <c r="D49" i="1"/>
  <c r="D47" i="1"/>
  <c r="D45" i="1"/>
  <c r="D43" i="1"/>
  <c r="D41" i="1"/>
  <c r="D39" i="1"/>
  <c r="D36" i="1"/>
  <c r="D33" i="1"/>
  <c r="D28" i="1"/>
  <c r="D26" i="1"/>
  <c r="D21" i="1"/>
  <c r="D14" i="1"/>
  <c r="D11" i="1"/>
  <c r="D8" i="1"/>
</calcChain>
</file>

<file path=xl/sharedStrings.xml><?xml version="1.0" encoding="utf-8"?>
<sst xmlns="http://schemas.openxmlformats.org/spreadsheetml/2006/main" count="543" uniqueCount="146">
  <si>
    <t>image_id</t>
  </si>
  <si>
    <t>seed_count</t>
  </si>
  <si>
    <t>soybean-sarec-P10-H4-IMG1</t>
  </si>
  <si>
    <t>soybean-sarec-P1-H4-IMG1</t>
  </si>
  <si>
    <t>soybean-sarec-P1-H4-IMG2</t>
  </si>
  <si>
    <t>soybean-sarec-P2-H4-IMG1</t>
  </si>
  <si>
    <t>soybean-sarec-P2-H4-IMG2</t>
  </si>
  <si>
    <t>soybean-sarec-P3-H4-IMG1</t>
  </si>
  <si>
    <t>soybean-sarec-P3-H4-IMG2</t>
  </si>
  <si>
    <t>soybean-sarec-P4-H4-IMG1</t>
  </si>
  <si>
    <t>soybean-sarec-P4-H4-IMG2</t>
  </si>
  <si>
    <t>soybean-sarec-P6-H4-IMG1</t>
  </si>
  <si>
    <t>soybean-sarec-P6-H4-IMG2</t>
  </si>
  <si>
    <t>soybean-sarec-P7-H4-IMG1</t>
  </si>
  <si>
    <t>soybean-sarec-P7-H4-IMG2</t>
  </si>
  <si>
    <t>soybean-sarec-P8-H4-IMG1</t>
  </si>
  <si>
    <t>soybean-sarec-P8-H4-IMG2</t>
  </si>
  <si>
    <t>soybean-sarec-P9-H4-IMG1</t>
  </si>
  <si>
    <t>Year</t>
  </si>
  <si>
    <t>soybean-sarec-P11-H4-IMG1</t>
  </si>
  <si>
    <t>soybean-sarec-P12-H4-IMG1</t>
  </si>
  <si>
    <t>soybean-sarec-P13-H4-IMG1</t>
  </si>
  <si>
    <t>soybean-sarec-P14-H4-IMG1</t>
  </si>
  <si>
    <t>soybean-sarec-P15-H4-IMG1</t>
  </si>
  <si>
    <t>soybean-sarec-P16-H4-IMG1</t>
  </si>
  <si>
    <t>soybean-sarec-P16-H4-IMG2</t>
  </si>
  <si>
    <t>soybean-sarec-P17-H4-IMG1</t>
  </si>
  <si>
    <t>soybean-sarec-P18-H4-IMG1</t>
  </si>
  <si>
    <t>soybean-sarec-P18-H4-IMG2</t>
  </si>
  <si>
    <t>soybean-sarec-P19-H4-IMG1</t>
  </si>
  <si>
    <t>soybean-sarec-P20-H4-IMG1</t>
  </si>
  <si>
    <t>soybean-sarec-P21-H4-IMG1</t>
  </si>
  <si>
    <t>soybean-sarec-P22-H4-IMG1</t>
  </si>
  <si>
    <t>soybean-sarec-P23-H4-IMG1</t>
  </si>
  <si>
    <t>soybean-sarec-P24-H4-IMG1</t>
  </si>
  <si>
    <t>soybean-sarec-P25-H4-IMG1</t>
  </si>
  <si>
    <t>soybean-sarec-P25-H4-IMG2</t>
  </si>
  <si>
    <t>soybean-sarec-P26-H4-IMG1</t>
  </si>
  <si>
    <t>soybean-sarec-P27-H4-IMG1</t>
  </si>
  <si>
    <t>soybean-sarec-P28-H4-IMG1</t>
  </si>
  <si>
    <t>soybean-sarec-P29-H4-IMG1</t>
  </si>
  <si>
    <t>soybean-sarec-P29-H4-IMG2</t>
  </si>
  <si>
    <t>soybean-sarec-P30-H4-IMG1</t>
  </si>
  <si>
    <t>soybean-sarec-P31-H4-IMG1</t>
  </si>
  <si>
    <t>soybean-sarec-P32-H4-IMG1</t>
  </si>
  <si>
    <t>soybean-sarec-P33-H4-IMG1</t>
  </si>
  <si>
    <t>soybean-sarec-P33-H4-IMG2</t>
  </si>
  <si>
    <t>soybean-sarec-P34-H4-IMG1</t>
  </si>
  <si>
    <t>soybean-sarec-P35-H4-IMG1</t>
  </si>
  <si>
    <t>soybean-sarec-P35-H4-IMG2</t>
  </si>
  <si>
    <t>soybean-sarec-P36-H4-IMG1</t>
  </si>
  <si>
    <t>soybean-sarec-P37-H4-IMG1</t>
  </si>
  <si>
    <t>soybean-sarec-P37-H4-IMG2</t>
  </si>
  <si>
    <t>soybean-sarec-P38-H4-IMG1</t>
  </si>
  <si>
    <t>soybean-sarec-P38-H4-IMG2</t>
  </si>
  <si>
    <t>soybean-sarec-P39-H4-IMG1</t>
  </si>
  <si>
    <t>soybean-sarec-P39-H4-IMG2</t>
  </si>
  <si>
    <t>soybean-sarec-P40-H4-IMG1</t>
  </si>
  <si>
    <t>soybean-sarec-P40-H4-IMG2</t>
  </si>
  <si>
    <t>soybean-sarec-P41-H4-IMG1</t>
  </si>
  <si>
    <t>soybean-sarec-P41-H4-IMG2</t>
  </si>
  <si>
    <t>soybean-sarec-P42-H4-IMG1</t>
  </si>
  <si>
    <t>soybean-sarec-P42-H4-IMG2</t>
  </si>
  <si>
    <t>soybean-sarec-P43-H4-IMG1</t>
  </si>
  <si>
    <t>soybean-sarec-P43-H4-IMG2</t>
  </si>
  <si>
    <t>soybean-sarec-P44-H4-IMG1</t>
  </si>
  <si>
    <t>soybean-sarec-P44-H4-IMG2</t>
  </si>
  <si>
    <t>soybean-sarec-P45-h4-IMG1</t>
  </si>
  <si>
    <t>soybean-sarec-P45-H4-IMG2</t>
  </si>
  <si>
    <t>soybean-sarec-P46-H4-IMG1</t>
  </si>
  <si>
    <t>soybean-sarec-P47-H4-IMG1</t>
  </si>
  <si>
    <t>soybean-sarec-P47-H4-IMG2</t>
  </si>
  <si>
    <t>soybean-sarec-P48-H4-IMG1</t>
  </si>
  <si>
    <t>soybean-sarec-P48-H4-IMG2</t>
  </si>
  <si>
    <t>soybean-sarec-P49-H4-IMG1</t>
  </si>
  <si>
    <t>soybean-sarec-P49-H4-IMG2</t>
  </si>
  <si>
    <t>soybean-sarec-P50-H4-IMG1</t>
  </si>
  <si>
    <t>soybean-sarec-P50-H4-IMG2</t>
  </si>
  <si>
    <t>soybean-sarec-P51-H4-IMG1</t>
  </si>
  <si>
    <t>soybean-sarec-P51-H4-IMG2</t>
  </si>
  <si>
    <t>soybean-sarec-P52-H4-IMG1</t>
  </si>
  <si>
    <t>soybean-sarec-P52-H4-IMG2</t>
  </si>
  <si>
    <t>soybean-sarec-P53-H4-IMG1</t>
  </si>
  <si>
    <t>soybean-sarec-P53-H4-IMG2</t>
  </si>
  <si>
    <t>soybean-sarec-P54-H4-IMG1</t>
  </si>
  <si>
    <t>soybean-sarec-P54-H4-IMG2</t>
  </si>
  <si>
    <t>soybean-sarec-P55-H4-IMG1</t>
  </si>
  <si>
    <t>soybean-sarec-P55-H4-IMG2</t>
  </si>
  <si>
    <t>soybean-sarec-P56-H4-IMG1</t>
  </si>
  <si>
    <t>soybean-sarec-P56-H4-IMG2</t>
  </si>
  <si>
    <t>soybean-sarec-P57-H4-IMG1</t>
  </si>
  <si>
    <t>soybean-sarec-P57-H4-IMG2</t>
  </si>
  <si>
    <t>soybean-sarec-P58-H4-IMG1</t>
  </si>
  <si>
    <t>soybean-sarec-P58-H4-IMG2</t>
  </si>
  <si>
    <t>soybean-sarec-P59-H4-IMG1</t>
  </si>
  <si>
    <t>soybean-sarec-P59-H4-IMG2</t>
  </si>
  <si>
    <t>soybean-sarec-P60-H4-IMG1</t>
  </si>
  <si>
    <t>soybean-sarec-P60-H4-IMG2</t>
  </si>
  <si>
    <t>soybean-sarec-P61-H4-IMG1</t>
  </si>
  <si>
    <t>soybean-sarec-P61-H4-IMG2</t>
  </si>
  <si>
    <t>soybean-sarec-P62-H4-IMG1</t>
  </si>
  <si>
    <t>soybean-sarec-P62-H4-IMG2</t>
  </si>
  <si>
    <t>soybean-sarec-P63-H4-IMG1</t>
  </si>
  <si>
    <t>soybean-sarec-P63-H4-IMG2</t>
  </si>
  <si>
    <t>soybean-sarec-P64-H4-IMG1</t>
  </si>
  <si>
    <t>soybean-sarec-P64-H4-IMG2</t>
  </si>
  <si>
    <t>soybean-sarec-P65-H4-IMG1</t>
  </si>
  <si>
    <t>soybean-sarec-P65-H4-IMG2</t>
  </si>
  <si>
    <t>soybean-sarec-P66-H4-IMG1</t>
  </si>
  <si>
    <t>soybean-sarec-P67-H4-IMG1</t>
  </si>
  <si>
    <t>soybean-sarec-P67-H4-IMG2</t>
  </si>
  <si>
    <t>soybean-sarec-P68-H4-IMG1</t>
  </si>
  <si>
    <t>soybean-sarec-P68-H4-IMG2</t>
  </si>
  <si>
    <t>soybean-sarec-P69-H4-IMG1</t>
  </si>
  <si>
    <t>soybean-sarec-P69-H4-IMG2</t>
  </si>
  <si>
    <t>soybean-sarec-P70-H4-IMG1</t>
  </si>
  <si>
    <t>soybean-sarec-P70-H4-IMG2</t>
  </si>
  <si>
    <t>soybean-sarec-P71-H4-IMG1</t>
  </si>
  <si>
    <t>soybean-sarec-P71-H4-IMG2</t>
  </si>
  <si>
    <t>soybean-sarec-P72-H4-IMG1</t>
  </si>
  <si>
    <t>soybean-sarec-P72-H4-IMG2</t>
  </si>
  <si>
    <t>PLOT</t>
  </si>
  <si>
    <t>SeedTB_g</t>
  </si>
  <si>
    <t>weight_seed_g</t>
  </si>
  <si>
    <t>weight_seed_mg</t>
  </si>
  <si>
    <t>yield_kg_ha</t>
  </si>
  <si>
    <t>Plot</t>
  </si>
  <si>
    <t>Harvest</t>
  </si>
  <si>
    <t>Genotype</t>
  </si>
  <si>
    <t>Treatment</t>
  </si>
  <si>
    <t>final</t>
  </si>
  <si>
    <t>P42A84E</t>
  </si>
  <si>
    <t>Rainfed</t>
  </si>
  <si>
    <t>P48A14E</t>
  </si>
  <si>
    <t>P52A14SE</t>
  </si>
  <si>
    <t>R19C-1012</t>
  </si>
  <si>
    <t>R18-14502</t>
  </si>
  <si>
    <t>R18C-13665</t>
  </si>
  <si>
    <t>R19-46252</t>
  </si>
  <si>
    <t>R19-45980</t>
  </si>
  <si>
    <t>PI471938</t>
  </si>
  <si>
    <t>PI548431</t>
  </si>
  <si>
    <t>PI603457A</t>
  </si>
  <si>
    <t>PI507408</t>
  </si>
  <si>
    <t>Irrigated</t>
  </si>
  <si>
    <t> R19-42848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</si>
</sst>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3984-5116-481D-81B0-5209D5AC5FB1}">
  <dimension ref="A1:E119"/>
  <sheetViews>
    <sheetView topLeftCell="A84" zoomScaleNormal="100" workbookViewId="0">
      <selection activeCell="D120" sqref="D120"/>
    </sheetView>
  </sheetViews>
  <sheetFormatPr defaultRowHeight="15" x14ac:dyDescent="0.25"/>
  <cols>
    <col min="2" max="2" width="26.5703125" bestFit="1" customWidth="1"/>
    <col min="3" max="4" width="26.5703125" customWidth="1"/>
    <col min="5" max="5" width="13.28515625" bestFit="1" customWidth="1"/>
  </cols>
  <sheetData>
    <row r="1" spans="1:5" x14ac:dyDescent="0.25">
      <c r="A1" t="s">
        <v>18</v>
      </c>
      <c r="B1" t="s">
        <v>0</v>
      </c>
      <c r="C1" t="s">
        <v>121</v>
      </c>
      <c r="E1" t="s">
        <v>1</v>
      </c>
    </row>
    <row r="2" spans="1:5" x14ac:dyDescent="0.25">
      <c r="A2">
        <v>2024</v>
      </c>
      <c r="B2" t="s">
        <v>2</v>
      </c>
      <c r="C2">
        <v>10</v>
      </c>
      <c r="D2">
        <v>1477</v>
      </c>
      <c r="E2">
        <v>1477</v>
      </c>
    </row>
    <row r="3" spans="1:5" x14ac:dyDescent="0.25">
      <c r="A3">
        <v>2024</v>
      </c>
      <c r="B3" t="s">
        <v>19</v>
      </c>
      <c r="C3">
        <v>11</v>
      </c>
      <c r="D3">
        <v>895</v>
      </c>
      <c r="E3">
        <v>895</v>
      </c>
    </row>
    <row r="4" spans="1:5" x14ac:dyDescent="0.25">
      <c r="A4">
        <v>2024</v>
      </c>
      <c r="B4" t="s">
        <v>20</v>
      </c>
      <c r="C4">
        <v>12</v>
      </c>
      <c r="D4">
        <v>2688</v>
      </c>
      <c r="E4">
        <v>2688</v>
      </c>
    </row>
    <row r="5" spans="1:5" x14ac:dyDescent="0.25">
      <c r="A5">
        <v>2024</v>
      </c>
      <c r="B5" t="s">
        <v>21</v>
      </c>
      <c r="C5">
        <v>13</v>
      </c>
      <c r="D5">
        <v>1224</v>
      </c>
      <c r="E5">
        <v>1224</v>
      </c>
    </row>
    <row r="6" spans="1:5" x14ac:dyDescent="0.25">
      <c r="A6">
        <v>2024</v>
      </c>
      <c r="B6" t="s">
        <v>22</v>
      </c>
      <c r="C6">
        <v>14</v>
      </c>
      <c r="D6">
        <v>3055</v>
      </c>
      <c r="E6">
        <v>3055</v>
      </c>
    </row>
    <row r="7" spans="1:5" x14ac:dyDescent="0.25">
      <c r="A7">
        <v>2024</v>
      </c>
      <c r="B7" t="s">
        <v>23</v>
      </c>
      <c r="C7">
        <v>15</v>
      </c>
      <c r="D7">
        <v>971</v>
      </c>
      <c r="E7">
        <v>971</v>
      </c>
    </row>
    <row r="8" spans="1:5" x14ac:dyDescent="0.25">
      <c r="A8">
        <v>2024</v>
      </c>
      <c r="B8" t="s">
        <v>24</v>
      </c>
      <c r="C8">
        <v>16</v>
      </c>
      <c r="D8">
        <f>+E8+E9</f>
        <v>2438</v>
      </c>
      <c r="E8">
        <v>1103</v>
      </c>
    </row>
    <row r="9" spans="1:5" x14ac:dyDescent="0.25">
      <c r="A9">
        <v>2024</v>
      </c>
      <c r="B9" t="s">
        <v>25</v>
      </c>
      <c r="E9">
        <v>1335</v>
      </c>
    </row>
    <row r="10" spans="1:5" x14ac:dyDescent="0.25">
      <c r="A10">
        <v>2024</v>
      </c>
      <c r="B10" t="s">
        <v>26</v>
      </c>
      <c r="C10">
        <v>17</v>
      </c>
      <c r="D10">
        <v>2408</v>
      </c>
      <c r="E10">
        <v>2408</v>
      </c>
    </row>
    <row r="11" spans="1:5" x14ac:dyDescent="0.25">
      <c r="A11">
        <v>2024</v>
      </c>
      <c r="B11" t="s">
        <v>27</v>
      </c>
      <c r="C11">
        <v>18</v>
      </c>
      <c r="D11">
        <f>+E11+E12</f>
        <v>2506</v>
      </c>
      <c r="E11">
        <v>1096</v>
      </c>
    </row>
    <row r="12" spans="1:5" x14ac:dyDescent="0.25">
      <c r="A12">
        <v>2024</v>
      </c>
      <c r="B12" t="s">
        <v>28</v>
      </c>
      <c r="E12">
        <v>1410</v>
      </c>
    </row>
    <row r="13" spans="1:5" x14ac:dyDescent="0.25">
      <c r="A13">
        <v>2024</v>
      </c>
      <c r="B13" t="s">
        <v>29</v>
      </c>
      <c r="C13">
        <v>19</v>
      </c>
      <c r="D13">
        <v>2076</v>
      </c>
      <c r="E13">
        <v>2076</v>
      </c>
    </row>
    <row r="14" spans="1:5" x14ac:dyDescent="0.25">
      <c r="A14">
        <v>2024</v>
      </c>
      <c r="B14" t="s">
        <v>3</v>
      </c>
      <c r="C14">
        <v>1</v>
      </c>
      <c r="D14">
        <f>+E14+E15</f>
        <v>2487</v>
      </c>
      <c r="E14">
        <v>1250</v>
      </c>
    </row>
    <row r="15" spans="1:5" x14ac:dyDescent="0.25">
      <c r="A15">
        <v>2024</v>
      </c>
      <c r="B15" t="s">
        <v>4</v>
      </c>
      <c r="E15">
        <v>1237</v>
      </c>
    </row>
    <row r="16" spans="1:5" x14ac:dyDescent="0.25">
      <c r="A16">
        <v>2024</v>
      </c>
      <c r="B16" t="s">
        <v>30</v>
      </c>
      <c r="C16">
        <v>20</v>
      </c>
      <c r="D16">
        <v>922</v>
      </c>
      <c r="E16">
        <v>922</v>
      </c>
    </row>
    <row r="17" spans="1:5" x14ac:dyDescent="0.25">
      <c r="A17">
        <v>2024</v>
      </c>
      <c r="B17" t="s">
        <v>31</v>
      </c>
      <c r="C17">
        <v>21</v>
      </c>
      <c r="D17">
        <v>1569</v>
      </c>
      <c r="E17">
        <v>1569</v>
      </c>
    </row>
    <row r="18" spans="1:5" x14ac:dyDescent="0.25">
      <c r="A18">
        <v>2024</v>
      </c>
      <c r="B18" t="s">
        <v>32</v>
      </c>
      <c r="C18">
        <v>22</v>
      </c>
      <c r="D18">
        <v>2910</v>
      </c>
      <c r="E18">
        <v>2910</v>
      </c>
    </row>
    <row r="19" spans="1:5" x14ac:dyDescent="0.25">
      <c r="A19">
        <v>2024</v>
      </c>
      <c r="B19" t="s">
        <v>33</v>
      </c>
      <c r="C19">
        <v>23</v>
      </c>
      <c r="D19">
        <v>2601</v>
      </c>
      <c r="E19">
        <v>2601</v>
      </c>
    </row>
    <row r="20" spans="1:5" x14ac:dyDescent="0.25">
      <c r="A20">
        <v>2024</v>
      </c>
      <c r="B20" t="s">
        <v>34</v>
      </c>
      <c r="C20">
        <v>24</v>
      </c>
      <c r="D20">
        <v>1935</v>
      </c>
      <c r="E20">
        <v>1935</v>
      </c>
    </row>
    <row r="21" spans="1:5" x14ac:dyDescent="0.25">
      <c r="A21">
        <v>2024</v>
      </c>
      <c r="B21" t="s">
        <v>35</v>
      </c>
      <c r="C21">
        <v>25</v>
      </c>
      <c r="D21">
        <f>+E21+E22</f>
        <v>2429</v>
      </c>
      <c r="E21">
        <v>1126</v>
      </c>
    </row>
    <row r="22" spans="1:5" x14ac:dyDescent="0.25">
      <c r="A22">
        <v>2024</v>
      </c>
      <c r="B22" t="s">
        <v>36</v>
      </c>
      <c r="E22">
        <v>1303</v>
      </c>
    </row>
    <row r="23" spans="1:5" x14ac:dyDescent="0.25">
      <c r="A23">
        <v>2024</v>
      </c>
      <c r="B23" t="s">
        <v>37</v>
      </c>
      <c r="C23">
        <v>26</v>
      </c>
      <c r="D23">
        <v>2077</v>
      </c>
      <c r="E23">
        <v>2077</v>
      </c>
    </row>
    <row r="24" spans="1:5" x14ac:dyDescent="0.25">
      <c r="A24">
        <v>2024</v>
      </c>
      <c r="B24" t="s">
        <v>38</v>
      </c>
      <c r="C24">
        <v>27</v>
      </c>
      <c r="D24">
        <v>2677</v>
      </c>
      <c r="E24">
        <v>2677</v>
      </c>
    </row>
    <row r="25" spans="1:5" x14ac:dyDescent="0.25">
      <c r="A25">
        <v>2024</v>
      </c>
      <c r="B25" t="s">
        <v>39</v>
      </c>
      <c r="C25">
        <v>28</v>
      </c>
      <c r="D25">
        <v>1392</v>
      </c>
      <c r="E25">
        <v>1392</v>
      </c>
    </row>
    <row r="26" spans="1:5" x14ac:dyDescent="0.25">
      <c r="A26">
        <v>2024</v>
      </c>
      <c r="B26" t="s">
        <v>40</v>
      </c>
      <c r="C26">
        <v>29</v>
      </c>
      <c r="D26">
        <f>+E26+E27</f>
        <v>2920</v>
      </c>
      <c r="E26">
        <v>1279</v>
      </c>
    </row>
    <row r="27" spans="1:5" x14ac:dyDescent="0.25">
      <c r="A27">
        <v>2024</v>
      </c>
      <c r="B27" t="s">
        <v>41</v>
      </c>
      <c r="E27">
        <v>1641</v>
      </c>
    </row>
    <row r="28" spans="1:5" x14ac:dyDescent="0.25">
      <c r="A28">
        <v>2024</v>
      </c>
      <c r="B28" t="s">
        <v>5</v>
      </c>
      <c r="C28">
        <v>2</v>
      </c>
      <c r="D28">
        <f>+E28+E29</f>
        <v>2131</v>
      </c>
      <c r="E28">
        <v>1180</v>
      </c>
    </row>
    <row r="29" spans="1:5" x14ac:dyDescent="0.25">
      <c r="A29">
        <v>2024</v>
      </c>
      <c r="B29" t="s">
        <v>6</v>
      </c>
      <c r="E29">
        <v>951</v>
      </c>
    </row>
    <row r="30" spans="1:5" x14ac:dyDescent="0.25">
      <c r="A30">
        <v>2024</v>
      </c>
      <c r="B30" t="s">
        <v>42</v>
      </c>
      <c r="C30">
        <v>30</v>
      </c>
      <c r="D30">
        <v>1114</v>
      </c>
      <c r="E30">
        <v>1114</v>
      </c>
    </row>
    <row r="31" spans="1:5" x14ac:dyDescent="0.25">
      <c r="A31">
        <v>2024</v>
      </c>
      <c r="B31" t="s">
        <v>43</v>
      </c>
      <c r="C31">
        <v>31</v>
      </c>
      <c r="D31">
        <v>1305</v>
      </c>
      <c r="E31">
        <v>1305</v>
      </c>
    </row>
    <row r="32" spans="1:5" x14ac:dyDescent="0.25">
      <c r="A32">
        <v>2024</v>
      </c>
      <c r="B32" t="s">
        <v>44</v>
      </c>
      <c r="C32">
        <v>32</v>
      </c>
      <c r="D32">
        <v>2043</v>
      </c>
      <c r="E32">
        <v>2043</v>
      </c>
    </row>
    <row r="33" spans="1:5" x14ac:dyDescent="0.25">
      <c r="A33">
        <v>2024</v>
      </c>
      <c r="B33" t="s">
        <v>45</v>
      </c>
      <c r="C33">
        <v>33</v>
      </c>
      <c r="D33">
        <f>+E33+E34</f>
        <v>3606</v>
      </c>
      <c r="E33">
        <v>1751</v>
      </c>
    </row>
    <row r="34" spans="1:5" x14ac:dyDescent="0.25">
      <c r="A34">
        <v>2024</v>
      </c>
      <c r="B34" t="s">
        <v>46</v>
      </c>
      <c r="E34">
        <v>1855</v>
      </c>
    </row>
    <row r="35" spans="1:5" x14ac:dyDescent="0.25">
      <c r="A35">
        <v>2024</v>
      </c>
      <c r="B35" t="s">
        <v>47</v>
      </c>
      <c r="C35">
        <v>34</v>
      </c>
      <c r="D35">
        <v>2771</v>
      </c>
      <c r="E35">
        <v>2771</v>
      </c>
    </row>
    <row r="36" spans="1:5" x14ac:dyDescent="0.25">
      <c r="A36">
        <v>2024</v>
      </c>
      <c r="B36" t="s">
        <v>48</v>
      </c>
      <c r="C36">
        <v>35</v>
      </c>
      <c r="D36">
        <f>+E36+E37</f>
        <v>2336</v>
      </c>
      <c r="E36">
        <v>1000</v>
      </c>
    </row>
    <row r="37" spans="1:5" x14ac:dyDescent="0.25">
      <c r="A37">
        <v>2024</v>
      </c>
      <c r="B37" t="s">
        <v>49</v>
      </c>
      <c r="E37">
        <v>1336</v>
      </c>
    </row>
    <row r="38" spans="1:5" x14ac:dyDescent="0.25">
      <c r="A38">
        <v>2024</v>
      </c>
      <c r="B38" t="s">
        <v>50</v>
      </c>
      <c r="C38">
        <v>36</v>
      </c>
      <c r="D38">
        <v>3232</v>
      </c>
      <c r="E38">
        <v>3232</v>
      </c>
    </row>
    <row r="39" spans="1:5" x14ac:dyDescent="0.25">
      <c r="A39">
        <v>2024</v>
      </c>
      <c r="B39" t="s">
        <v>51</v>
      </c>
      <c r="C39">
        <v>37</v>
      </c>
      <c r="D39">
        <f>+E39+E40</f>
        <v>3843</v>
      </c>
      <c r="E39">
        <v>1983</v>
      </c>
    </row>
    <row r="40" spans="1:5" x14ac:dyDescent="0.25">
      <c r="A40">
        <v>2024</v>
      </c>
      <c r="B40" t="s">
        <v>52</v>
      </c>
      <c r="E40">
        <v>1860</v>
      </c>
    </row>
    <row r="41" spans="1:5" x14ac:dyDescent="0.25">
      <c r="A41">
        <v>2024</v>
      </c>
      <c r="B41" t="s">
        <v>53</v>
      </c>
      <c r="C41">
        <v>38</v>
      </c>
      <c r="D41">
        <f>+E41+E42</f>
        <v>5120</v>
      </c>
      <c r="E41">
        <v>2273</v>
      </c>
    </row>
    <row r="42" spans="1:5" x14ac:dyDescent="0.25">
      <c r="A42">
        <v>2024</v>
      </c>
      <c r="B42" t="s">
        <v>54</v>
      </c>
      <c r="E42">
        <v>2847</v>
      </c>
    </row>
    <row r="43" spans="1:5" x14ac:dyDescent="0.25">
      <c r="A43">
        <v>2024</v>
      </c>
      <c r="B43" t="s">
        <v>55</v>
      </c>
      <c r="C43">
        <v>39</v>
      </c>
      <c r="D43">
        <f>+E43+E44</f>
        <v>4007</v>
      </c>
      <c r="E43">
        <v>1819</v>
      </c>
    </row>
    <row r="44" spans="1:5" x14ac:dyDescent="0.25">
      <c r="A44">
        <v>2024</v>
      </c>
      <c r="B44" t="s">
        <v>56</v>
      </c>
      <c r="E44">
        <v>2188</v>
      </c>
    </row>
    <row r="45" spans="1:5" x14ac:dyDescent="0.25">
      <c r="A45">
        <v>2024</v>
      </c>
      <c r="B45" t="s">
        <v>7</v>
      </c>
      <c r="C45">
        <v>3</v>
      </c>
      <c r="D45">
        <f>+E45+E46</f>
        <v>1985</v>
      </c>
      <c r="E45">
        <v>764</v>
      </c>
    </row>
    <row r="46" spans="1:5" x14ac:dyDescent="0.25">
      <c r="A46">
        <v>2024</v>
      </c>
      <c r="B46" t="s">
        <v>8</v>
      </c>
      <c r="E46">
        <v>1221</v>
      </c>
    </row>
    <row r="47" spans="1:5" x14ac:dyDescent="0.25">
      <c r="A47">
        <v>2024</v>
      </c>
      <c r="B47" t="s">
        <v>57</v>
      </c>
      <c r="C47">
        <v>40</v>
      </c>
      <c r="D47">
        <f>+E47+E48</f>
        <v>4295</v>
      </c>
      <c r="E47">
        <v>1808</v>
      </c>
    </row>
    <row r="48" spans="1:5" x14ac:dyDescent="0.25">
      <c r="A48">
        <v>2024</v>
      </c>
      <c r="B48" t="s">
        <v>58</v>
      </c>
      <c r="E48">
        <v>2487</v>
      </c>
    </row>
    <row r="49" spans="1:5" x14ac:dyDescent="0.25">
      <c r="A49">
        <v>2024</v>
      </c>
      <c r="B49" t="s">
        <v>59</v>
      </c>
      <c r="C49">
        <v>41</v>
      </c>
      <c r="D49">
        <f>+E49+E50</f>
        <v>2511</v>
      </c>
      <c r="E49">
        <v>1075</v>
      </c>
    </row>
    <row r="50" spans="1:5" x14ac:dyDescent="0.25">
      <c r="A50">
        <v>2024</v>
      </c>
      <c r="B50" t="s">
        <v>60</v>
      </c>
      <c r="E50">
        <v>1436</v>
      </c>
    </row>
    <row r="51" spans="1:5" x14ac:dyDescent="0.25">
      <c r="A51">
        <v>2024</v>
      </c>
      <c r="B51" t="s">
        <v>61</v>
      </c>
      <c r="C51">
        <v>42</v>
      </c>
      <c r="D51">
        <f>+E51+E52</f>
        <v>4668</v>
      </c>
      <c r="E51">
        <v>1908</v>
      </c>
    </row>
    <row r="52" spans="1:5" x14ac:dyDescent="0.25">
      <c r="A52">
        <v>2024</v>
      </c>
      <c r="B52" t="s">
        <v>62</v>
      </c>
      <c r="E52">
        <v>2760</v>
      </c>
    </row>
    <row r="53" spans="1:5" x14ac:dyDescent="0.25">
      <c r="A53">
        <v>2024</v>
      </c>
      <c r="B53" t="s">
        <v>63</v>
      </c>
      <c r="C53">
        <v>43</v>
      </c>
      <c r="D53">
        <f>+E53+E54</f>
        <v>4580</v>
      </c>
      <c r="E53">
        <v>1990</v>
      </c>
    </row>
    <row r="54" spans="1:5" x14ac:dyDescent="0.25">
      <c r="A54">
        <v>2024</v>
      </c>
      <c r="B54" t="s">
        <v>64</v>
      </c>
      <c r="E54">
        <v>2590</v>
      </c>
    </row>
    <row r="55" spans="1:5" x14ac:dyDescent="0.25">
      <c r="A55">
        <v>2024</v>
      </c>
      <c r="B55" t="s">
        <v>65</v>
      </c>
      <c r="C55">
        <v>44</v>
      </c>
      <c r="D55">
        <f>+E55+E56</f>
        <v>5522</v>
      </c>
      <c r="E55">
        <v>2380</v>
      </c>
    </row>
    <row r="56" spans="1:5" x14ac:dyDescent="0.25">
      <c r="A56">
        <v>2024</v>
      </c>
      <c r="B56" t="s">
        <v>66</v>
      </c>
      <c r="E56">
        <v>3142</v>
      </c>
    </row>
    <row r="57" spans="1:5" x14ac:dyDescent="0.25">
      <c r="A57">
        <v>2024</v>
      </c>
      <c r="B57" t="s">
        <v>67</v>
      </c>
      <c r="C57">
        <v>45</v>
      </c>
      <c r="D57">
        <f>+E57+E58</f>
        <v>2152</v>
      </c>
      <c r="E57">
        <v>1174</v>
      </c>
    </row>
    <row r="58" spans="1:5" x14ac:dyDescent="0.25">
      <c r="A58">
        <v>2024</v>
      </c>
      <c r="B58" t="s">
        <v>68</v>
      </c>
      <c r="E58">
        <v>978</v>
      </c>
    </row>
    <row r="59" spans="1:5" x14ac:dyDescent="0.25">
      <c r="A59">
        <v>2024</v>
      </c>
      <c r="B59" t="s">
        <v>69</v>
      </c>
      <c r="C59">
        <v>46</v>
      </c>
      <c r="D59">
        <v>1850</v>
      </c>
      <c r="E59">
        <v>1850</v>
      </c>
    </row>
    <row r="60" spans="1:5" x14ac:dyDescent="0.25">
      <c r="A60">
        <v>2024</v>
      </c>
      <c r="B60" t="s">
        <v>70</v>
      </c>
      <c r="C60">
        <v>47</v>
      </c>
      <c r="D60">
        <f>+E60+E61</f>
        <v>2784</v>
      </c>
      <c r="E60">
        <v>1172</v>
      </c>
    </row>
    <row r="61" spans="1:5" x14ac:dyDescent="0.25">
      <c r="A61">
        <v>2024</v>
      </c>
      <c r="B61" t="s">
        <v>71</v>
      </c>
      <c r="E61">
        <v>1612</v>
      </c>
    </row>
    <row r="62" spans="1:5" x14ac:dyDescent="0.25">
      <c r="A62">
        <v>2024</v>
      </c>
      <c r="B62" t="s">
        <v>72</v>
      </c>
      <c r="C62">
        <v>48</v>
      </c>
      <c r="D62">
        <f>+E62+E63</f>
        <v>4331</v>
      </c>
      <c r="E62">
        <v>1905</v>
      </c>
    </row>
    <row r="63" spans="1:5" x14ac:dyDescent="0.25">
      <c r="A63">
        <v>2024</v>
      </c>
      <c r="B63" t="s">
        <v>73</v>
      </c>
      <c r="E63">
        <v>2426</v>
      </c>
    </row>
    <row r="64" spans="1:5" x14ac:dyDescent="0.25">
      <c r="A64">
        <v>2024</v>
      </c>
      <c r="B64" t="s">
        <v>74</v>
      </c>
      <c r="C64">
        <v>49</v>
      </c>
      <c r="D64">
        <f>+E64+E65</f>
        <v>1988</v>
      </c>
      <c r="E64">
        <v>945</v>
      </c>
    </row>
    <row r="65" spans="1:5" x14ac:dyDescent="0.25">
      <c r="A65">
        <v>2024</v>
      </c>
      <c r="B65" t="s">
        <v>75</v>
      </c>
      <c r="E65">
        <v>1043</v>
      </c>
    </row>
    <row r="66" spans="1:5" x14ac:dyDescent="0.25">
      <c r="A66">
        <v>2024</v>
      </c>
      <c r="B66" t="s">
        <v>9</v>
      </c>
      <c r="C66">
        <v>4</v>
      </c>
      <c r="D66">
        <f>+E66+E67</f>
        <v>1871</v>
      </c>
      <c r="E66">
        <v>878</v>
      </c>
    </row>
    <row r="67" spans="1:5" x14ac:dyDescent="0.25">
      <c r="A67">
        <v>2024</v>
      </c>
      <c r="B67" t="s">
        <v>10</v>
      </c>
      <c r="E67">
        <v>993</v>
      </c>
    </row>
    <row r="68" spans="1:5" x14ac:dyDescent="0.25">
      <c r="A68">
        <v>2024</v>
      </c>
      <c r="B68" t="s">
        <v>76</v>
      </c>
      <c r="C68">
        <v>50</v>
      </c>
      <c r="D68">
        <f>+E68+E69</f>
        <v>6562</v>
      </c>
      <c r="E68">
        <v>3191</v>
      </c>
    </row>
    <row r="69" spans="1:5" x14ac:dyDescent="0.25">
      <c r="A69">
        <v>2024</v>
      </c>
      <c r="B69" t="s">
        <v>77</v>
      </c>
      <c r="E69">
        <v>3371</v>
      </c>
    </row>
    <row r="70" spans="1:5" x14ac:dyDescent="0.25">
      <c r="A70">
        <v>2024</v>
      </c>
      <c r="B70" t="s">
        <v>78</v>
      </c>
      <c r="C70">
        <v>51</v>
      </c>
      <c r="D70">
        <f>+E70+E71</f>
        <v>2425</v>
      </c>
      <c r="E70">
        <v>1329</v>
      </c>
    </row>
    <row r="71" spans="1:5" x14ac:dyDescent="0.25">
      <c r="A71">
        <v>2024</v>
      </c>
      <c r="B71" t="s">
        <v>79</v>
      </c>
      <c r="E71">
        <v>1096</v>
      </c>
    </row>
    <row r="72" spans="1:5" x14ac:dyDescent="0.25">
      <c r="A72">
        <v>2024</v>
      </c>
      <c r="B72" t="s">
        <v>80</v>
      </c>
      <c r="C72">
        <v>52</v>
      </c>
      <c r="D72">
        <f>+E72+E73</f>
        <v>4421</v>
      </c>
      <c r="E72">
        <v>2000</v>
      </c>
    </row>
    <row r="73" spans="1:5" x14ac:dyDescent="0.25">
      <c r="A73">
        <v>2024</v>
      </c>
      <c r="B73" t="s">
        <v>81</v>
      </c>
      <c r="E73">
        <v>2421</v>
      </c>
    </row>
    <row r="74" spans="1:5" x14ac:dyDescent="0.25">
      <c r="A74">
        <v>2024</v>
      </c>
      <c r="B74" t="s">
        <v>82</v>
      </c>
      <c r="C74">
        <v>53</v>
      </c>
      <c r="D74">
        <f>+E74+E75</f>
        <v>5249</v>
      </c>
      <c r="E74">
        <v>2824</v>
      </c>
    </row>
    <row r="75" spans="1:5" x14ac:dyDescent="0.25">
      <c r="A75">
        <v>2024</v>
      </c>
      <c r="B75" t="s">
        <v>83</v>
      </c>
      <c r="E75">
        <v>2425</v>
      </c>
    </row>
    <row r="76" spans="1:5" x14ac:dyDescent="0.25">
      <c r="A76">
        <v>2024</v>
      </c>
      <c r="B76" t="s">
        <v>84</v>
      </c>
      <c r="C76">
        <v>54</v>
      </c>
      <c r="D76">
        <f>+E76+E77</f>
        <v>4503</v>
      </c>
      <c r="E76">
        <v>2348</v>
      </c>
    </row>
    <row r="77" spans="1:5" x14ac:dyDescent="0.25">
      <c r="A77">
        <v>2024</v>
      </c>
      <c r="B77" t="s">
        <v>85</v>
      </c>
      <c r="E77">
        <v>2155</v>
      </c>
    </row>
    <row r="78" spans="1:5" x14ac:dyDescent="0.25">
      <c r="A78">
        <v>2024</v>
      </c>
      <c r="B78" t="s">
        <v>86</v>
      </c>
      <c r="C78">
        <v>55</v>
      </c>
      <c r="D78">
        <f>+E78+E79</f>
        <v>2874</v>
      </c>
      <c r="E78">
        <v>1213</v>
      </c>
    </row>
    <row r="79" spans="1:5" x14ac:dyDescent="0.25">
      <c r="A79">
        <v>2024</v>
      </c>
      <c r="B79" t="s">
        <v>87</v>
      </c>
      <c r="E79">
        <v>1661</v>
      </c>
    </row>
    <row r="80" spans="1:5" x14ac:dyDescent="0.25">
      <c r="A80">
        <v>2024</v>
      </c>
      <c r="B80" t="s">
        <v>88</v>
      </c>
      <c r="C80">
        <v>56</v>
      </c>
      <c r="D80">
        <f>+E80+E81</f>
        <v>3294</v>
      </c>
      <c r="E80">
        <v>1342</v>
      </c>
    </row>
    <row r="81" spans="1:5" x14ac:dyDescent="0.25">
      <c r="A81">
        <v>2024</v>
      </c>
      <c r="B81" t="s">
        <v>89</v>
      </c>
      <c r="E81">
        <v>1952</v>
      </c>
    </row>
    <row r="82" spans="1:5" x14ac:dyDescent="0.25">
      <c r="A82">
        <v>2024</v>
      </c>
      <c r="B82" t="s">
        <v>90</v>
      </c>
      <c r="C82">
        <v>57</v>
      </c>
      <c r="D82">
        <f>+E82+E83</f>
        <v>4928</v>
      </c>
      <c r="E82">
        <v>1917</v>
      </c>
    </row>
    <row r="83" spans="1:5" x14ac:dyDescent="0.25">
      <c r="A83">
        <v>2024</v>
      </c>
      <c r="B83" t="s">
        <v>91</v>
      </c>
      <c r="E83">
        <v>3011</v>
      </c>
    </row>
    <row r="84" spans="1:5" x14ac:dyDescent="0.25">
      <c r="A84">
        <v>2024</v>
      </c>
      <c r="B84" t="s">
        <v>92</v>
      </c>
      <c r="C84">
        <v>58</v>
      </c>
      <c r="D84">
        <f>+E84+E85</f>
        <v>3465</v>
      </c>
      <c r="E84">
        <v>1482</v>
      </c>
    </row>
    <row r="85" spans="1:5" x14ac:dyDescent="0.25">
      <c r="A85">
        <v>2024</v>
      </c>
      <c r="B85" t="s">
        <v>93</v>
      </c>
      <c r="E85">
        <v>1983</v>
      </c>
    </row>
    <row r="86" spans="1:5" x14ac:dyDescent="0.25">
      <c r="A86">
        <v>2024</v>
      </c>
      <c r="B86" t="s">
        <v>94</v>
      </c>
      <c r="C86">
        <v>59</v>
      </c>
      <c r="D86">
        <f>+E86+E87</f>
        <v>4507</v>
      </c>
      <c r="E86">
        <v>2073</v>
      </c>
    </row>
    <row r="87" spans="1:5" x14ac:dyDescent="0.25">
      <c r="A87">
        <v>2024</v>
      </c>
      <c r="B87" t="s">
        <v>95</v>
      </c>
      <c r="E87">
        <v>2434</v>
      </c>
    </row>
    <row r="88" spans="1:5" x14ac:dyDescent="0.25">
      <c r="A88">
        <v>2024</v>
      </c>
      <c r="B88" t="s">
        <v>96</v>
      </c>
      <c r="C88">
        <v>60</v>
      </c>
      <c r="D88">
        <f>+E88+E89</f>
        <v>4124</v>
      </c>
      <c r="E88">
        <v>2347</v>
      </c>
    </row>
    <row r="89" spans="1:5" x14ac:dyDescent="0.25">
      <c r="A89">
        <v>2024</v>
      </c>
      <c r="B89" t="s">
        <v>97</v>
      </c>
      <c r="E89">
        <v>1777</v>
      </c>
    </row>
    <row r="90" spans="1:5" x14ac:dyDescent="0.25">
      <c r="A90">
        <v>2024</v>
      </c>
      <c r="B90" t="s">
        <v>98</v>
      </c>
      <c r="C90">
        <v>61</v>
      </c>
      <c r="D90">
        <f>+E90+E91</f>
        <v>4829</v>
      </c>
      <c r="E90">
        <v>1983</v>
      </c>
    </row>
    <row r="91" spans="1:5" x14ac:dyDescent="0.25">
      <c r="A91">
        <v>2024</v>
      </c>
      <c r="B91" t="s">
        <v>99</v>
      </c>
      <c r="E91">
        <v>2846</v>
      </c>
    </row>
    <row r="92" spans="1:5" x14ac:dyDescent="0.25">
      <c r="A92">
        <v>2024</v>
      </c>
      <c r="B92" t="s">
        <v>100</v>
      </c>
      <c r="C92">
        <v>62</v>
      </c>
      <c r="D92">
        <f>+E92+E93</f>
        <v>4281</v>
      </c>
      <c r="E92">
        <v>2307</v>
      </c>
    </row>
    <row r="93" spans="1:5" x14ac:dyDescent="0.25">
      <c r="A93">
        <v>2024</v>
      </c>
      <c r="B93" t="s">
        <v>101</v>
      </c>
      <c r="E93">
        <v>1974</v>
      </c>
    </row>
    <row r="94" spans="1:5" x14ac:dyDescent="0.25">
      <c r="A94">
        <v>2024</v>
      </c>
      <c r="B94" t="s">
        <v>102</v>
      </c>
      <c r="C94">
        <v>63</v>
      </c>
      <c r="D94">
        <f>+E94+E95</f>
        <v>5849</v>
      </c>
      <c r="E94">
        <v>2718</v>
      </c>
    </row>
    <row r="95" spans="1:5" x14ac:dyDescent="0.25">
      <c r="A95">
        <v>2024</v>
      </c>
      <c r="B95" t="s">
        <v>103</v>
      </c>
      <c r="E95">
        <v>3131</v>
      </c>
    </row>
    <row r="96" spans="1:5" x14ac:dyDescent="0.25">
      <c r="A96">
        <v>2024</v>
      </c>
      <c r="B96" t="s">
        <v>104</v>
      </c>
      <c r="C96">
        <v>64</v>
      </c>
      <c r="D96">
        <f>+E96+E97</f>
        <v>2119</v>
      </c>
      <c r="E96">
        <v>977</v>
      </c>
    </row>
    <row r="97" spans="1:5" x14ac:dyDescent="0.25">
      <c r="A97">
        <v>2024</v>
      </c>
      <c r="B97" t="s">
        <v>105</v>
      </c>
      <c r="E97">
        <v>1142</v>
      </c>
    </row>
    <row r="98" spans="1:5" x14ac:dyDescent="0.25">
      <c r="A98">
        <v>2024</v>
      </c>
      <c r="B98" t="s">
        <v>106</v>
      </c>
      <c r="C98">
        <v>65</v>
      </c>
      <c r="D98">
        <f>+E98+E99</f>
        <v>5554</v>
      </c>
      <c r="E98">
        <v>2514</v>
      </c>
    </row>
    <row r="99" spans="1:5" x14ac:dyDescent="0.25">
      <c r="A99">
        <v>2024</v>
      </c>
      <c r="B99" t="s">
        <v>107</v>
      </c>
      <c r="E99">
        <v>3040</v>
      </c>
    </row>
    <row r="100" spans="1:5" x14ac:dyDescent="0.25">
      <c r="A100">
        <v>2024</v>
      </c>
      <c r="B100" t="s">
        <v>108</v>
      </c>
      <c r="C100">
        <v>66</v>
      </c>
      <c r="D100">
        <f>+E100</f>
        <v>2490</v>
      </c>
      <c r="E100">
        <v>2490</v>
      </c>
    </row>
    <row r="101" spans="1:5" x14ac:dyDescent="0.25">
      <c r="A101">
        <v>2024</v>
      </c>
      <c r="B101" t="s">
        <v>109</v>
      </c>
      <c r="C101">
        <v>67</v>
      </c>
      <c r="D101">
        <f>+E101+E102</f>
        <v>4416</v>
      </c>
      <c r="E101">
        <v>2270</v>
      </c>
    </row>
    <row r="102" spans="1:5" x14ac:dyDescent="0.25">
      <c r="A102">
        <v>2024</v>
      </c>
      <c r="B102" t="s">
        <v>110</v>
      </c>
      <c r="E102">
        <v>2146</v>
      </c>
    </row>
    <row r="103" spans="1:5" x14ac:dyDescent="0.25">
      <c r="A103">
        <v>2024</v>
      </c>
      <c r="B103" t="s">
        <v>111</v>
      </c>
      <c r="C103">
        <v>68</v>
      </c>
      <c r="D103">
        <f>+E103+E104</f>
        <v>5236</v>
      </c>
      <c r="E103">
        <v>2452</v>
      </c>
    </row>
    <row r="104" spans="1:5" x14ac:dyDescent="0.25">
      <c r="A104">
        <v>2024</v>
      </c>
      <c r="B104" t="s">
        <v>112</v>
      </c>
      <c r="E104">
        <v>2784</v>
      </c>
    </row>
    <row r="105" spans="1:5" x14ac:dyDescent="0.25">
      <c r="A105">
        <v>2024</v>
      </c>
      <c r="B105" t="s">
        <v>113</v>
      </c>
      <c r="C105">
        <v>69</v>
      </c>
      <c r="D105">
        <f>+E105+E106</f>
        <v>3530</v>
      </c>
      <c r="E105">
        <v>1532</v>
      </c>
    </row>
    <row r="106" spans="1:5" x14ac:dyDescent="0.25">
      <c r="A106">
        <v>2024</v>
      </c>
      <c r="B106" t="s">
        <v>114</v>
      </c>
      <c r="E106">
        <v>1998</v>
      </c>
    </row>
    <row r="107" spans="1:5" x14ac:dyDescent="0.25">
      <c r="A107">
        <v>2024</v>
      </c>
      <c r="B107" t="s">
        <v>11</v>
      </c>
      <c r="C107">
        <v>6</v>
      </c>
      <c r="D107">
        <f>+E107+E108</f>
        <v>3659</v>
      </c>
      <c r="E107">
        <v>2172</v>
      </c>
    </row>
    <row r="108" spans="1:5" x14ac:dyDescent="0.25">
      <c r="A108">
        <v>2024</v>
      </c>
      <c r="B108" t="s">
        <v>12</v>
      </c>
      <c r="E108">
        <v>1487</v>
      </c>
    </row>
    <row r="109" spans="1:5" x14ac:dyDescent="0.25">
      <c r="A109">
        <v>2024</v>
      </c>
      <c r="B109" t="s">
        <v>115</v>
      </c>
      <c r="C109">
        <v>70</v>
      </c>
      <c r="D109">
        <f>+E109+E110</f>
        <v>4355</v>
      </c>
      <c r="E109">
        <v>1911</v>
      </c>
    </row>
    <row r="110" spans="1:5" x14ac:dyDescent="0.25">
      <c r="A110">
        <v>2024</v>
      </c>
      <c r="B110" t="s">
        <v>116</v>
      </c>
      <c r="E110">
        <v>2444</v>
      </c>
    </row>
    <row r="111" spans="1:5" x14ac:dyDescent="0.25">
      <c r="A111">
        <v>2024</v>
      </c>
      <c r="B111" t="s">
        <v>117</v>
      </c>
      <c r="C111">
        <v>71</v>
      </c>
      <c r="D111">
        <f>+E111+E112</f>
        <v>4590</v>
      </c>
      <c r="E111">
        <v>2268</v>
      </c>
    </row>
    <row r="112" spans="1:5" x14ac:dyDescent="0.25">
      <c r="A112">
        <v>2024</v>
      </c>
      <c r="B112" t="s">
        <v>118</v>
      </c>
      <c r="E112">
        <v>2322</v>
      </c>
    </row>
    <row r="113" spans="1:5" x14ac:dyDescent="0.25">
      <c r="A113">
        <v>2024</v>
      </c>
      <c r="B113" t="s">
        <v>119</v>
      </c>
      <c r="C113">
        <v>72</v>
      </c>
      <c r="D113">
        <f>+E113+E114</f>
        <v>4616</v>
      </c>
      <c r="E113">
        <v>2361</v>
      </c>
    </row>
    <row r="114" spans="1:5" x14ac:dyDescent="0.25">
      <c r="A114">
        <v>2024</v>
      </c>
      <c r="B114" t="s">
        <v>120</v>
      </c>
      <c r="E114">
        <v>2255</v>
      </c>
    </row>
    <row r="115" spans="1:5" x14ac:dyDescent="0.25">
      <c r="A115">
        <v>2024</v>
      </c>
      <c r="B115" t="s">
        <v>13</v>
      </c>
      <c r="C115">
        <v>7</v>
      </c>
      <c r="D115">
        <f>+E115+E116</f>
        <v>2993</v>
      </c>
      <c r="E115">
        <v>1337</v>
      </c>
    </row>
    <row r="116" spans="1:5" x14ac:dyDescent="0.25">
      <c r="A116">
        <v>2024</v>
      </c>
      <c r="B116" t="s">
        <v>14</v>
      </c>
      <c r="E116">
        <v>1656</v>
      </c>
    </row>
    <row r="117" spans="1:5" x14ac:dyDescent="0.25">
      <c r="A117">
        <v>2024</v>
      </c>
      <c r="B117" t="s">
        <v>15</v>
      </c>
      <c r="C117">
        <v>8</v>
      </c>
      <c r="D117">
        <f>+E117+E118</f>
        <v>2459</v>
      </c>
      <c r="E117">
        <v>1141</v>
      </c>
    </row>
    <row r="118" spans="1:5" x14ac:dyDescent="0.25">
      <c r="A118">
        <v>2024</v>
      </c>
      <c r="B118" t="s">
        <v>16</v>
      </c>
      <c r="E118">
        <v>1318</v>
      </c>
    </row>
    <row r="119" spans="1:5" x14ac:dyDescent="0.25">
      <c r="A119">
        <v>2024</v>
      </c>
      <c r="B119" t="s">
        <v>17</v>
      </c>
      <c r="C119">
        <v>9</v>
      </c>
      <c r="D119">
        <f>+E119</f>
        <v>868</v>
      </c>
      <c r="E119">
        <v>868</v>
      </c>
    </row>
  </sheetData>
  <autoFilter ref="A1:E1" xr:uid="{AF5C3984-5116-481D-81B0-5209D5AC5FB1}">
    <sortState xmlns:xlrd2="http://schemas.microsoft.com/office/spreadsheetml/2017/richdata2" ref="A2:E11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D8F2-9FD1-4B4F-828A-279552CB3747}">
  <dimension ref="A1:J138"/>
  <sheetViews>
    <sheetView tabSelected="1" zoomScaleNormal="100" workbookViewId="0">
      <pane ySplit="1" topLeftCell="A2" activePane="bottomLeft" state="frozen"/>
      <selection pane="bottomLeft" activeCell="A6" sqref="A6:XFD6"/>
    </sheetView>
  </sheetViews>
  <sheetFormatPr defaultRowHeight="15" x14ac:dyDescent="0.25"/>
  <cols>
    <col min="2" max="6" width="26.5703125" customWidth="1"/>
    <col min="8" max="8" width="13.7109375" bestFit="1" customWidth="1"/>
    <col min="9" max="9" width="15.42578125" bestFit="1" customWidth="1"/>
    <col min="10" max="10" width="12" bestFit="1" customWidth="1"/>
  </cols>
  <sheetData>
    <row r="1" spans="1:10" x14ac:dyDescent="0.25">
      <c r="A1" t="s">
        <v>18</v>
      </c>
      <c r="B1" t="s">
        <v>127</v>
      </c>
      <c r="C1" s="5" t="s">
        <v>128</v>
      </c>
      <c r="D1" s="6" t="s">
        <v>129</v>
      </c>
      <c r="E1" t="s">
        <v>126</v>
      </c>
      <c r="F1" t="s">
        <v>1</v>
      </c>
      <c r="G1" t="s">
        <v>122</v>
      </c>
      <c r="H1" t="s">
        <v>123</v>
      </c>
      <c r="I1" t="s">
        <v>124</v>
      </c>
      <c r="J1" t="s">
        <v>125</v>
      </c>
    </row>
    <row r="2" spans="1:10" x14ac:dyDescent="0.25">
      <c r="A2">
        <v>2024</v>
      </c>
      <c r="B2" t="s">
        <v>130</v>
      </c>
      <c r="C2" t="s">
        <v>131</v>
      </c>
      <c r="D2" s="6" t="s">
        <v>132</v>
      </c>
      <c r="E2">
        <v>1</v>
      </c>
      <c r="F2">
        <v>2487</v>
      </c>
      <c r="G2">
        <v>241.5</v>
      </c>
      <c r="H2" s="1">
        <f>+G2/F2</f>
        <v>9.7104945717732205E-2</v>
      </c>
      <c r="I2" s="2">
        <f>+H2*100</f>
        <v>9.7104945717732214</v>
      </c>
      <c r="J2">
        <v>1516.9584245076585</v>
      </c>
    </row>
    <row r="3" spans="1:10" x14ac:dyDescent="0.25">
      <c r="A3">
        <v>2024</v>
      </c>
      <c r="B3" t="s">
        <v>130</v>
      </c>
      <c r="C3" t="s">
        <v>133</v>
      </c>
      <c r="D3" s="6" t="s">
        <v>132</v>
      </c>
      <c r="E3">
        <v>2</v>
      </c>
      <c r="F3">
        <v>2131</v>
      </c>
      <c r="G3">
        <v>213.10000000000002</v>
      </c>
      <c r="H3" s="1">
        <f t="shared" ref="H3:H65" si="0">+G3/F3</f>
        <v>0.1</v>
      </c>
      <c r="I3" s="2">
        <f t="shared" ref="I3:I65" si="1">+H3*100</f>
        <v>10</v>
      </c>
      <c r="J3">
        <v>1449.671772428884</v>
      </c>
    </row>
    <row r="4" spans="1:10" x14ac:dyDescent="0.25">
      <c r="A4">
        <v>2024</v>
      </c>
      <c r="B4" t="s">
        <v>130</v>
      </c>
      <c r="C4" t="s">
        <v>134</v>
      </c>
      <c r="D4" s="6" t="s">
        <v>132</v>
      </c>
      <c r="E4">
        <v>3</v>
      </c>
      <c r="F4">
        <v>1985</v>
      </c>
      <c r="G4">
        <v>199</v>
      </c>
      <c r="H4" s="1">
        <f t="shared" si="0"/>
        <v>0.10025188916876575</v>
      </c>
      <c r="I4" s="2">
        <f t="shared" si="1"/>
        <v>10.025188916876575</v>
      </c>
      <c r="J4">
        <v>1321.1159737417943</v>
      </c>
    </row>
    <row r="5" spans="1:10" x14ac:dyDescent="0.25">
      <c r="A5">
        <v>2024</v>
      </c>
      <c r="B5" t="s">
        <v>130</v>
      </c>
      <c r="C5" t="s">
        <v>135</v>
      </c>
      <c r="D5" s="6" t="s">
        <v>132</v>
      </c>
      <c r="E5">
        <v>4</v>
      </c>
      <c r="F5">
        <v>1871</v>
      </c>
      <c r="G5">
        <v>199.10000000000002</v>
      </c>
      <c r="H5" s="1">
        <f t="shared" si="0"/>
        <v>0.10641368252271514</v>
      </c>
      <c r="I5" s="2">
        <f t="shared" si="1"/>
        <v>10.641368252271514</v>
      </c>
      <c r="J5">
        <v>1450.2188183807439</v>
      </c>
    </row>
    <row r="6" spans="1:10" x14ac:dyDescent="0.25">
      <c r="A6">
        <v>2024</v>
      </c>
      <c r="B6" t="s">
        <v>130</v>
      </c>
      <c r="C6" t="s">
        <v>137</v>
      </c>
      <c r="D6" s="6" t="s">
        <v>132</v>
      </c>
      <c r="E6">
        <v>6</v>
      </c>
      <c r="F6">
        <v>3659</v>
      </c>
      <c r="G6">
        <v>472.90000000000003</v>
      </c>
      <c r="H6" s="1">
        <f t="shared" si="0"/>
        <v>0.12924296255807599</v>
      </c>
      <c r="I6" s="2">
        <f t="shared" si="1"/>
        <v>12.924296255807599</v>
      </c>
      <c r="J6">
        <v>2586.980306345733</v>
      </c>
    </row>
    <row r="7" spans="1:10" x14ac:dyDescent="0.25">
      <c r="A7">
        <v>2024</v>
      </c>
      <c r="B7" t="s">
        <v>130</v>
      </c>
      <c r="C7" t="s">
        <v>138</v>
      </c>
      <c r="D7" s="6" t="s">
        <v>132</v>
      </c>
      <c r="E7">
        <v>7</v>
      </c>
      <c r="F7">
        <v>2993</v>
      </c>
      <c r="G7">
        <v>323.90000000000003</v>
      </c>
      <c r="H7" s="1">
        <f t="shared" si="0"/>
        <v>0.10821917808219179</v>
      </c>
      <c r="I7" s="2">
        <f t="shared" si="1"/>
        <v>10.82191780821918</v>
      </c>
      <c r="J7">
        <v>1771.8818380743983</v>
      </c>
    </row>
    <row r="8" spans="1:10" x14ac:dyDescent="0.25">
      <c r="A8">
        <v>2024</v>
      </c>
      <c r="B8" t="s">
        <v>130</v>
      </c>
      <c r="C8" t="s">
        <v>139</v>
      </c>
      <c r="D8" s="6" t="s">
        <v>132</v>
      </c>
      <c r="E8">
        <v>8</v>
      </c>
      <c r="F8">
        <v>2459</v>
      </c>
      <c r="G8">
        <v>226.3</v>
      </c>
      <c r="H8" s="1">
        <f t="shared" si="0"/>
        <v>9.2029280195201305E-2</v>
      </c>
      <c r="I8" s="2">
        <f t="shared" si="1"/>
        <v>9.2029280195201313</v>
      </c>
      <c r="J8">
        <v>1237.9649890590808</v>
      </c>
    </row>
    <row r="9" spans="1:10" x14ac:dyDescent="0.25">
      <c r="A9">
        <v>2024</v>
      </c>
      <c r="B9" t="s">
        <v>130</v>
      </c>
      <c r="C9" t="s">
        <v>140</v>
      </c>
      <c r="D9" s="6" t="s">
        <v>132</v>
      </c>
      <c r="E9">
        <v>9</v>
      </c>
      <c r="F9">
        <v>868</v>
      </c>
      <c r="G9">
        <v>130.10000000000002</v>
      </c>
      <c r="H9" s="1">
        <f t="shared" si="0"/>
        <v>0.14988479262672813</v>
      </c>
      <c r="I9" s="2">
        <f t="shared" si="1"/>
        <v>14.988479262672813</v>
      </c>
      <c r="J9">
        <v>952.95404814004382</v>
      </c>
    </row>
    <row r="10" spans="1:10" x14ac:dyDescent="0.25">
      <c r="A10">
        <v>2024</v>
      </c>
      <c r="B10" t="s">
        <v>130</v>
      </c>
      <c r="C10" t="s">
        <v>141</v>
      </c>
      <c r="D10" s="6" t="s">
        <v>132</v>
      </c>
      <c r="E10">
        <v>10</v>
      </c>
      <c r="F10">
        <v>1477</v>
      </c>
      <c r="G10">
        <v>106.1</v>
      </c>
      <c r="H10" s="1">
        <f t="shared" si="0"/>
        <v>7.1834800270819218E-2</v>
      </c>
      <c r="I10" s="2">
        <f t="shared" si="1"/>
        <v>7.1834800270819219</v>
      </c>
      <c r="J10">
        <v>856.12691466083152</v>
      </c>
    </row>
    <row r="11" spans="1:10" x14ac:dyDescent="0.25">
      <c r="A11">
        <v>2024</v>
      </c>
      <c r="B11" t="s">
        <v>130</v>
      </c>
      <c r="C11" t="s">
        <v>142</v>
      </c>
      <c r="D11" s="6" t="s">
        <v>132</v>
      </c>
      <c r="E11">
        <v>11</v>
      </c>
      <c r="F11">
        <v>895</v>
      </c>
      <c r="G11">
        <v>107.5</v>
      </c>
      <c r="H11" s="1">
        <f t="shared" si="0"/>
        <v>0.12011173184357542</v>
      </c>
      <c r="I11" s="2">
        <f t="shared" si="1"/>
        <v>12.011173184357542</v>
      </c>
      <c r="J11">
        <v>910.83150984682698</v>
      </c>
    </row>
    <row r="12" spans="1:10" x14ac:dyDescent="0.25">
      <c r="A12">
        <v>2024</v>
      </c>
      <c r="B12" t="s">
        <v>130</v>
      </c>
      <c r="C12" t="s">
        <v>143</v>
      </c>
      <c r="D12" s="6" t="s">
        <v>132</v>
      </c>
      <c r="E12">
        <v>12</v>
      </c>
      <c r="F12">
        <v>2688</v>
      </c>
      <c r="G12">
        <v>274</v>
      </c>
      <c r="H12" s="1">
        <f t="shared" si="0"/>
        <v>0.10193452380952381</v>
      </c>
      <c r="I12" s="2">
        <f t="shared" si="1"/>
        <v>10.193452380952381</v>
      </c>
      <c r="J12">
        <v>1498.90590809628</v>
      </c>
    </row>
    <row r="13" spans="1:10" x14ac:dyDescent="0.25">
      <c r="A13">
        <v>2024</v>
      </c>
      <c r="B13" t="s">
        <v>130</v>
      </c>
      <c r="C13" t="s">
        <v>141</v>
      </c>
      <c r="D13" s="6" t="s">
        <v>132</v>
      </c>
      <c r="E13">
        <v>13</v>
      </c>
      <c r="F13">
        <v>1224</v>
      </c>
      <c r="G13">
        <v>76.2</v>
      </c>
      <c r="H13" s="1">
        <f t="shared" si="0"/>
        <v>6.2254901960784315E-2</v>
      </c>
      <c r="I13" s="2">
        <f t="shared" si="1"/>
        <v>6.2254901960784315</v>
      </c>
      <c r="J13">
        <v>586.43326039387307</v>
      </c>
    </row>
    <row r="14" spans="1:10" x14ac:dyDescent="0.25">
      <c r="A14">
        <v>2024</v>
      </c>
      <c r="B14" t="s">
        <v>130</v>
      </c>
      <c r="C14" t="s">
        <v>139</v>
      </c>
      <c r="D14" s="6" t="s">
        <v>132</v>
      </c>
      <c r="E14">
        <v>14</v>
      </c>
      <c r="F14">
        <v>3055</v>
      </c>
      <c r="G14">
        <v>301.10000000000002</v>
      </c>
      <c r="H14" s="1">
        <f t="shared" si="0"/>
        <v>9.8559738134206223E-2</v>
      </c>
      <c r="I14" s="2">
        <f t="shared" si="1"/>
        <v>9.8559738134206221</v>
      </c>
      <c r="J14">
        <v>1647.1553610503283</v>
      </c>
    </row>
    <row r="15" spans="1:10" x14ac:dyDescent="0.25">
      <c r="A15">
        <v>2024</v>
      </c>
      <c r="B15" t="s">
        <v>130</v>
      </c>
      <c r="C15" t="s">
        <v>140</v>
      </c>
      <c r="D15" s="6" t="s">
        <v>132</v>
      </c>
      <c r="E15">
        <v>15</v>
      </c>
      <c r="F15">
        <v>971</v>
      </c>
      <c r="G15">
        <v>143.20000000000002</v>
      </c>
      <c r="H15" s="1">
        <f t="shared" si="0"/>
        <v>0.14747682801235842</v>
      </c>
      <c r="I15" s="2">
        <f t="shared" si="1"/>
        <v>14.747682801235843</v>
      </c>
      <c r="J15">
        <v>1360.5032822757114</v>
      </c>
    </row>
    <row r="16" spans="1:10" x14ac:dyDescent="0.25">
      <c r="A16">
        <v>2024</v>
      </c>
      <c r="B16" t="s">
        <v>130</v>
      </c>
      <c r="C16" t="s">
        <v>133</v>
      </c>
      <c r="D16" s="6" t="s">
        <v>132</v>
      </c>
      <c r="E16">
        <v>16</v>
      </c>
      <c r="F16">
        <v>2438</v>
      </c>
      <c r="G16">
        <v>255.9</v>
      </c>
      <c r="H16" s="1">
        <f t="shared" si="0"/>
        <v>0.10496308449548811</v>
      </c>
      <c r="I16" s="2">
        <f t="shared" si="1"/>
        <v>10.496308449548811</v>
      </c>
      <c r="J16">
        <v>1636.2144420131292</v>
      </c>
    </row>
    <row r="17" spans="1:10" x14ac:dyDescent="0.25">
      <c r="A17">
        <v>2024</v>
      </c>
      <c r="B17" t="s">
        <v>130</v>
      </c>
      <c r="C17" t="s">
        <v>138</v>
      </c>
      <c r="D17" s="6" t="s">
        <v>132</v>
      </c>
      <c r="E17">
        <v>17</v>
      </c>
      <c r="F17">
        <v>2408</v>
      </c>
      <c r="G17">
        <v>262.90000000000003</v>
      </c>
      <c r="H17" s="1">
        <f t="shared" si="0"/>
        <v>0.10917774086378738</v>
      </c>
      <c r="I17" s="2">
        <f t="shared" si="1"/>
        <v>10.917774086378738</v>
      </c>
      <c r="J17">
        <v>1438.1838074398249</v>
      </c>
    </row>
    <row r="18" spans="1:10" x14ac:dyDescent="0.25">
      <c r="A18">
        <v>2024</v>
      </c>
      <c r="B18" t="s">
        <v>130</v>
      </c>
      <c r="C18" t="s">
        <v>135</v>
      </c>
      <c r="D18" s="6" t="s">
        <v>132</v>
      </c>
      <c r="E18">
        <v>18</v>
      </c>
      <c r="F18">
        <v>2506</v>
      </c>
      <c r="G18">
        <v>260.40000000000003</v>
      </c>
      <c r="H18" s="1">
        <f t="shared" si="0"/>
        <v>0.10391061452513968</v>
      </c>
      <c r="I18" s="2">
        <f t="shared" si="1"/>
        <v>10.391061452513968</v>
      </c>
      <c r="J18">
        <v>1684.9015317286651</v>
      </c>
    </row>
    <row r="19" spans="1:10" x14ac:dyDescent="0.25">
      <c r="A19">
        <v>2024</v>
      </c>
      <c r="B19" t="s">
        <v>130</v>
      </c>
      <c r="C19" t="s">
        <v>136</v>
      </c>
      <c r="D19" s="6" t="s">
        <v>132</v>
      </c>
      <c r="E19">
        <v>19</v>
      </c>
      <c r="F19">
        <v>2076</v>
      </c>
      <c r="G19">
        <v>265.5</v>
      </c>
      <c r="H19" s="1">
        <f t="shared" si="0"/>
        <v>0.12789017341040462</v>
      </c>
      <c r="I19" s="2">
        <f t="shared" si="1"/>
        <v>12.789017341040463</v>
      </c>
      <c r="J19">
        <v>1712.253829321663</v>
      </c>
    </row>
    <row r="20" spans="1:10" x14ac:dyDescent="0.25">
      <c r="A20">
        <v>2024</v>
      </c>
      <c r="B20" t="s">
        <v>130</v>
      </c>
      <c r="C20" t="s">
        <v>142</v>
      </c>
      <c r="D20" s="6" t="s">
        <v>132</v>
      </c>
      <c r="E20">
        <v>20</v>
      </c>
      <c r="F20">
        <v>922</v>
      </c>
      <c r="G20">
        <v>132.20000000000002</v>
      </c>
      <c r="H20" s="1">
        <f t="shared" si="0"/>
        <v>0.14338394793926248</v>
      </c>
      <c r="I20" s="2">
        <f t="shared" si="1"/>
        <v>14.338394793926248</v>
      </c>
      <c r="J20">
        <v>894.96717724288851</v>
      </c>
    </row>
    <row r="21" spans="1:10" x14ac:dyDescent="0.25">
      <c r="A21">
        <v>2024</v>
      </c>
      <c r="B21" t="s">
        <v>130</v>
      </c>
      <c r="C21" t="s">
        <v>131</v>
      </c>
      <c r="D21" s="6" t="s">
        <v>132</v>
      </c>
      <c r="E21">
        <v>21</v>
      </c>
      <c r="F21">
        <v>1569</v>
      </c>
      <c r="G21">
        <v>195.8</v>
      </c>
      <c r="H21" s="1">
        <f t="shared" si="0"/>
        <v>0.12479286169534737</v>
      </c>
      <c r="I21" s="2">
        <f t="shared" si="1"/>
        <v>12.479286169534737</v>
      </c>
      <c r="J21">
        <v>1430.5251641137854</v>
      </c>
    </row>
    <row r="22" spans="1:10" x14ac:dyDescent="0.25">
      <c r="A22">
        <v>2024</v>
      </c>
      <c r="B22" t="s">
        <v>130</v>
      </c>
      <c r="C22" t="s">
        <v>143</v>
      </c>
      <c r="D22" s="6" t="s">
        <v>132</v>
      </c>
      <c r="E22">
        <v>22</v>
      </c>
      <c r="F22">
        <v>2910</v>
      </c>
      <c r="G22">
        <v>331.3</v>
      </c>
      <c r="H22" s="1">
        <f t="shared" si="0"/>
        <v>0.11384879725085911</v>
      </c>
      <c r="I22" s="2">
        <f t="shared" si="1"/>
        <v>11.384879725085911</v>
      </c>
      <c r="J22">
        <v>1812.3632385120352</v>
      </c>
    </row>
    <row r="23" spans="1:10" x14ac:dyDescent="0.25">
      <c r="A23">
        <v>2024</v>
      </c>
      <c r="B23" t="s">
        <v>130</v>
      </c>
      <c r="C23" t="s">
        <v>137</v>
      </c>
      <c r="D23" s="6" t="s">
        <v>132</v>
      </c>
      <c r="E23">
        <v>23</v>
      </c>
      <c r="F23">
        <v>2601</v>
      </c>
      <c r="G23">
        <v>329.5</v>
      </c>
      <c r="H23" s="1">
        <f t="shared" si="0"/>
        <v>0.12668204536716648</v>
      </c>
      <c r="I23" s="2">
        <f t="shared" si="1"/>
        <v>12.668204536716649</v>
      </c>
      <c r="J23">
        <v>1802.5164113785556</v>
      </c>
    </row>
    <row r="24" spans="1:10" x14ac:dyDescent="0.25">
      <c r="A24">
        <v>2024</v>
      </c>
      <c r="B24" t="s">
        <v>130</v>
      </c>
      <c r="C24" t="s">
        <v>134</v>
      </c>
      <c r="D24" s="6" t="s">
        <v>132</v>
      </c>
      <c r="E24">
        <v>24</v>
      </c>
      <c r="F24">
        <v>1935</v>
      </c>
      <c r="G24">
        <v>229</v>
      </c>
      <c r="H24" s="1">
        <f t="shared" si="0"/>
        <v>0.11834625322997416</v>
      </c>
      <c r="I24" s="2">
        <f t="shared" si="1"/>
        <v>11.834625322997416</v>
      </c>
      <c r="J24">
        <v>1613.785557986871</v>
      </c>
    </row>
    <row r="25" spans="1:10" x14ac:dyDescent="0.25">
      <c r="A25">
        <v>2024</v>
      </c>
      <c r="B25" t="s">
        <v>130</v>
      </c>
      <c r="C25" t="s">
        <v>133</v>
      </c>
      <c r="D25" s="6" t="s">
        <v>132</v>
      </c>
      <c r="E25">
        <v>25</v>
      </c>
      <c r="F25">
        <v>2429</v>
      </c>
      <c r="G25">
        <v>264.8</v>
      </c>
      <c r="H25" s="1">
        <f t="shared" si="0"/>
        <v>0.10901605599011939</v>
      </c>
      <c r="I25" s="2">
        <f t="shared" si="1"/>
        <v>10.901605599011939</v>
      </c>
      <c r="J25">
        <v>1796.4989059080965</v>
      </c>
    </row>
    <row r="26" spans="1:10" x14ac:dyDescent="0.25">
      <c r="A26">
        <v>2024</v>
      </c>
      <c r="B26" t="s">
        <v>130</v>
      </c>
      <c r="C26" t="s">
        <v>131</v>
      </c>
      <c r="D26" s="6" t="s">
        <v>132</v>
      </c>
      <c r="E26">
        <v>26</v>
      </c>
      <c r="F26">
        <v>2077</v>
      </c>
      <c r="G26">
        <v>256.8</v>
      </c>
      <c r="H26" s="1">
        <f t="shared" si="0"/>
        <v>0.12363986519017815</v>
      </c>
      <c r="I26" s="2">
        <f t="shared" si="1"/>
        <v>12.363986519017816</v>
      </c>
      <c r="J26">
        <v>1636.7614879649891</v>
      </c>
    </row>
    <row r="27" spans="1:10" x14ac:dyDescent="0.25">
      <c r="A27">
        <v>2024</v>
      </c>
      <c r="B27" t="s">
        <v>130</v>
      </c>
      <c r="C27" t="s">
        <v>139</v>
      </c>
      <c r="D27" s="6" t="s">
        <v>132</v>
      </c>
      <c r="E27">
        <v>27</v>
      </c>
      <c r="F27">
        <v>2677</v>
      </c>
      <c r="G27">
        <v>263.7</v>
      </c>
      <c r="H27" s="1">
        <f t="shared" si="0"/>
        <v>9.850579006350392E-2</v>
      </c>
      <c r="I27" s="2">
        <f t="shared" si="1"/>
        <v>9.850579006350392</v>
      </c>
      <c r="J27">
        <v>1442.5601750547046</v>
      </c>
    </row>
    <row r="28" spans="1:10" x14ac:dyDescent="0.25">
      <c r="A28">
        <v>2024</v>
      </c>
      <c r="B28" t="s">
        <v>130</v>
      </c>
      <c r="C28" t="s">
        <v>140</v>
      </c>
      <c r="D28" s="6" t="s">
        <v>132</v>
      </c>
      <c r="E28">
        <v>28</v>
      </c>
      <c r="F28">
        <v>1392</v>
      </c>
      <c r="G28">
        <v>198.60000000000002</v>
      </c>
      <c r="H28" s="1">
        <f t="shared" si="0"/>
        <v>0.14267241379310347</v>
      </c>
      <c r="I28" s="2">
        <f t="shared" si="1"/>
        <v>14.267241379310347</v>
      </c>
      <c r="J28">
        <v>1736.870897155361</v>
      </c>
    </row>
    <row r="29" spans="1:10" x14ac:dyDescent="0.25">
      <c r="A29">
        <v>2024</v>
      </c>
      <c r="B29" t="s">
        <v>130</v>
      </c>
      <c r="C29" t="s">
        <v>143</v>
      </c>
      <c r="D29" s="6" t="s">
        <v>132</v>
      </c>
      <c r="E29">
        <v>29</v>
      </c>
      <c r="F29">
        <v>2920</v>
      </c>
      <c r="G29">
        <v>307.3</v>
      </c>
      <c r="H29" s="1">
        <f t="shared" si="0"/>
        <v>0.10523972602739727</v>
      </c>
      <c r="I29" s="2">
        <f t="shared" si="1"/>
        <v>10.523972602739727</v>
      </c>
      <c r="J29">
        <v>1681.0722100656455</v>
      </c>
    </row>
    <row r="30" spans="1:10" x14ac:dyDescent="0.25">
      <c r="A30">
        <v>2024</v>
      </c>
      <c r="B30" t="s">
        <v>130</v>
      </c>
      <c r="C30" t="s">
        <v>142</v>
      </c>
      <c r="D30" s="6" t="s">
        <v>132</v>
      </c>
      <c r="E30">
        <v>30</v>
      </c>
      <c r="F30">
        <v>1114</v>
      </c>
      <c r="G30">
        <v>151.9</v>
      </c>
      <c r="H30" s="1">
        <f t="shared" si="0"/>
        <v>0.13635547576301615</v>
      </c>
      <c r="I30" s="2">
        <f t="shared" si="1"/>
        <v>13.635547576301615</v>
      </c>
      <c r="J30">
        <v>1155.9080962800874</v>
      </c>
    </row>
    <row r="31" spans="1:10" x14ac:dyDescent="0.25">
      <c r="A31">
        <v>2024</v>
      </c>
      <c r="B31" t="s">
        <v>130</v>
      </c>
      <c r="C31" t="s">
        <v>141</v>
      </c>
      <c r="D31" s="6" t="s">
        <v>132</v>
      </c>
      <c r="E31">
        <v>31</v>
      </c>
      <c r="F31">
        <v>1305</v>
      </c>
      <c r="G31">
        <v>89.7</v>
      </c>
      <c r="H31" s="1">
        <f t="shared" si="0"/>
        <v>6.8735632183908046E-2</v>
      </c>
      <c r="I31" s="2">
        <f t="shared" si="1"/>
        <v>6.8735632183908049</v>
      </c>
      <c r="J31">
        <v>691.46608315098479</v>
      </c>
    </row>
    <row r="32" spans="1:10" x14ac:dyDescent="0.25">
      <c r="A32">
        <v>2024</v>
      </c>
      <c r="B32" t="s">
        <v>130</v>
      </c>
      <c r="C32" t="s">
        <v>134</v>
      </c>
      <c r="D32" s="6" t="s">
        <v>132</v>
      </c>
      <c r="E32">
        <v>32</v>
      </c>
      <c r="F32">
        <v>2043</v>
      </c>
      <c r="G32">
        <v>220.4</v>
      </c>
      <c r="H32" s="1">
        <f t="shared" si="0"/>
        <v>0.10788056779246206</v>
      </c>
      <c r="I32" s="2">
        <f t="shared" si="1"/>
        <v>10.788056779246206</v>
      </c>
      <c r="J32">
        <v>1548.1400437636764</v>
      </c>
    </row>
    <row r="33" spans="1:10" x14ac:dyDescent="0.25">
      <c r="A33">
        <v>2024</v>
      </c>
      <c r="B33" t="s">
        <v>130</v>
      </c>
      <c r="C33" t="s">
        <v>135</v>
      </c>
      <c r="D33" s="6" t="s">
        <v>132</v>
      </c>
      <c r="E33">
        <v>33</v>
      </c>
      <c r="F33">
        <v>3606</v>
      </c>
      <c r="G33">
        <v>391.90000000000003</v>
      </c>
      <c r="H33" s="1">
        <f t="shared" si="0"/>
        <v>0.10867997781475319</v>
      </c>
      <c r="I33" s="2">
        <f t="shared" si="1"/>
        <v>10.867997781475319</v>
      </c>
      <c r="J33">
        <v>2449.1247264770241</v>
      </c>
    </row>
    <row r="34" spans="1:10" x14ac:dyDescent="0.25">
      <c r="A34">
        <v>2024</v>
      </c>
      <c r="B34" t="s">
        <v>130</v>
      </c>
      <c r="C34" t="s">
        <v>137</v>
      </c>
      <c r="D34" s="6" t="s">
        <v>132</v>
      </c>
      <c r="E34">
        <v>34</v>
      </c>
      <c r="F34">
        <v>2771</v>
      </c>
      <c r="G34">
        <v>350.40000000000003</v>
      </c>
      <c r="H34" s="1">
        <f t="shared" si="0"/>
        <v>0.1264525442078672</v>
      </c>
      <c r="I34" s="2">
        <f t="shared" si="1"/>
        <v>12.645254420786719</v>
      </c>
      <c r="J34">
        <v>1916.8490153172868</v>
      </c>
    </row>
    <row r="35" spans="1:10" x14ac:dyDescent="0.25">
      <c r="A35">
        <v>2024</v>
      </c>
      <c r="B35" t="s">
        <v>130</v>
      </c>
      <c r="C35" t="s">
        <v>136</v>
      </c>
      <c r="D35" s="6" t="s">
        <v>132</v>
      </c>
      <c r="E35">
        <v>35</v>
      </c>
      <c r="F35">
        <v>2336</v>
      </c>
      <c r="G35">
        <v>282.5</v>
      </c>
      <c r="H35" s="1">
        <f t="shared" si="0"/>
        <v>0.1209332191780822</v>
      </c>
      <c r="I35" s="2">
        <f t="shared" si="1"/>
        <v>12.09332191780822</v>
      </c>
      <c r="J35">
        <v>2071.1159737417938</v>
      </c>
    </row>
    <row r="36" spans="1:10" x14ac:dyDescent="0.25">
      <c r="A36">
        <v>2024</v>
      </c>
      <c r="B36" t="s">
        <v>130</v>
      </c>
      <c r="C36" t="s">
        <v>138</v>
      </c>
      <c r="D36" s="6" t="s">
        <v>132</v>
      </c>
      <c r="E36">
        <v>36</v>
      </c>
      <c r="F36">
        <v>3232</v>
      </c>
      <c r="G36">
        <v>340.2</v>
      </c>
      <c r="H36" s="1">
        <f t="shared" si="0"/>
        <v>0.10525990099009901</v>
      </c>
      <c r="I36" s="2">
        <f t="shared" si="1"/>
        <v>10.525990099009901</v>
      </c>
      <c r="J36">
        <v>1861.0503282275711</v>
      </c>
    </row>
    <row r="37" spans="1:10" x14ac:dyDescent="0.25">
      <c r="A37">
        <v>2024</v>
      </c>
      <c r="B37" t="s">
        <v>130</v>
      </c>
      <c r="C37" t="s">
        <v>131</v>
      </c>
      <c r="D37" s="6" t="s">
        <v>144</v>
      </c>
      <c r="E37">
        <v>37</v>
      </c>
      <c r="F37">
        <v>3843</v>
      </c>
      <c r="G37">
        <v>584.59999999999991</v>
      </c>
      <c r="H37" s="1">
        <f t="shared" si="0"/>
        <v>0.15212073900598488</v>
      </c>
      <c r="I37" s="2">
        <f t="shared" si="1"/>
        <v>15.212073900598488</v>
      </c>
      <c r="J37">
        <v>3729.7592997811817</v>
      </c>
    </row>
    <row r="38" spans="1:10" x14ac:dyDescent="0.25">
      <c r="A38">
        <v>2024</v>
      </c>
      <c r="B38" t="s">
        <v>130</v>
      </c>
      <c r="C38" t="s">
        <v>133</v>
      </c>
      <c r="D38" s="6" t="s">
        <v>144</v>
      </c>
      <c r="E38">
        <v>38</v>
      </c>
      <c r="F38">
        <v>5120</v>
      </c>
      <c r="G38">
        <v>851.09999999999991</v>
      </c>
      <c r="H38" s="1">
        <f t="shared" si="0"/>
        <v>0.16623046874999997</v>
      </c>
      <c r="I38" s="2">
        <f t="shared" si="1"/>
        <v>16.623046874999996</v>
      </c>
      <c r="J38">
        <v>5551.9693654266957</v>
      </c>
    </row>
    <row r="39" spans="1:10" x14ac:dyDescent="0.25">
      <c r="A39">
        <v>2024</v>
      </c>
      <c r="B39" t="s">
        <v>130</v>
      </c>
      <c r="C39" t="s">
        <v>134</v>
      </c>
      <c r="D39" s="6" t="s">
        <v>144</v>
      </c>
      <c r="E39">
        <v>39</v>
      </c>
      <c r="F39">
        <v>4007</v>
      </c>
      <c r="G39">
        <v>539.79999999999995</v>
      </c>
      <c r="H39" s="1">
        <f t="shared" si="0"/>
        <v>0.13471425006239079</v>
      </c>
      <c r="I39" s="2">
        <f t="shared" si="1"/>
        <v>13.47142500623908</v>
      </c>
      <c r="J39">
        <v>3612.1444201312902</v>
      </c>
    </row>
    <row r="40" spans="1:10" x14ac:dyDescent="0.25">
      <c r="A40">
        <v>2024</v>
      </c>
      <c r="B40" t="s">
        <v>130</v>
      </c>
      <c r="C40" t="s">
        <v>135</v>
      </c>
      <c r="D40" s="6" t="s">
        <v>144</v>
      </c>
      <c r="E40">
        <v>40</v>
      </c>
      <c r="F40">
        <v>4295</v>
      </c>
      <c r="G40">
        <v>628.09999999999991</v>
      </c>
      <c r="H40" s="1">
        <f t="shared" si="0"/>
        <v>0.14623981373690337</v>
      </c>
      <c r="I40" s="2">
        <f t="shared" si="1"/>
        <v>14.623981373690336</v>
      </c>
      <c r="J40">
        <v>3928.3369803063447</v>
      </c>
    </row>
    <row r="41" spans="1:10" x14ac:dyDescent="0.25">
      <c r="A41">
        <v>2024</v>
      </c>
      <c r="B41" t="s">
        <v>130</v>
      </c>
      <c r="C41" t="s">
        <v>136</v>
      </c>
      <c r="D41" s="6" t="s">
        <v>144</v>
      </c>
      <c r="E41">
        <v>41</v>
      </c>
      <c r="F41">
        <v>2511</v>
      </c>
      <c r="G41">
        <v>415.2</v>
      </c>
      <c r="H41" s="1">
        <f t="shared" si="0"/>
        <v>0.16535244922341696</v>
      </c>
      <c r="I41" s="2">
        <f t="shared" si="1"/>
        <v>16.535244922341697</v>
      </c>
      <c r="J41">
        <v>2659.7374179431072</v>
      </c>
    </row>
    <row r="42" spans="1:10" x14ac:dyDescent="0.25">
      <c r="A42">
        <v>2024</v>
      </c>
      <c r="B42" t="s">
        <v>130</v>
      </c>
      <c r="C42" t="s">
        <v>137</v>
      </c>
      <c r="D42" s="6" t="s">
        <v>144</v>
      </c>
      <c r="E42">
        <v>42</v>
      </c>
      <c r="F42">
        <v>4668</v>
      </c>
      <c r="G42">
        <v>788.3</v>
      </c>
      <c r="H42" s="1">
        <f t="shared" si="0"/>
        <v>0.16887317909168809</v>
      </c>
      <c r="I42" s="2">
        <f t="shared" si="1"/>
        <v>16.887317909168807</v>
      </c>
      <c r="J42">
        <v>4312.3632385120345</v>
      </c>
    </row>
    <row r="43" spans="1:10" x14ac:dyDescent="0.25">
      <c r="A43">
        <v>2024</v>
      </c>
      <c r="B43" t="s">
        <v>130</v>
      </c>
      <c r="C43" t="s">
        <v>138</v>
      </c>
      <c r="D43" s="6" t="s">
        <v>144</v>
      </c>
      <c r="E43">
        <v>43</v>
      </c>
      <c r="F43">
        <v>4580</v>
      </c>
      <c r="G43">
        <v>544.59999999999991</v>
      </c>
      <c r="H43" s="1">
        <f t="shared" si="0"/>
        <v>0.11890829694323142</v>
      </c>
      <c r="I43" s="2">
        <f t="shared" si="1"/>
        <v>11.890829694323141</v>
      </c>
      <c r="J43">
        <v>2979.2122538293206</v>
      </c>
    </row>
    <row r="44" spans="1:10" x14ac:dyDescent="0.25">
      <c r="A44">
        <v>2024</v>
      </c>
      <c r="B44" t="s">
        <v>130</v>
      </c>
      <c r="C44" t="s">
        <v>139</v>
      </c>
      <c r="D44" s="6" t="s">
        <v>144</v>
      </c>
      <c r="E44">
        <v>44</v>
      </c>
      <c r="F44">
        <v>5522</v>
      </c>
      <c r="G44">
        <v>753.19999999999993</v>
      </c>
      <c r="H44" s="1">
        <f t="shared" si="0"/>
        <v>0.13639985512495473</v>
      </c>
      <c r="I44" s="2">
        <f t="shared" si="1"/>
        <v>13.639985512495473</v>
      </c>
      <c r="J44">
        <v>4120.3501094091898</v>
      </c>
    </row>
    <row r="45" spans="1:10" x14ac:dyDescent="0.25">
      <c r="A45">
        <v>2024</v>
      </c>
      <c r="B45" t="s">
        <v>130</v>
      </c>
      <c r="C45" t="s">
        <v>140</v>
      </c>
      <c r="D45" s="6" t="s">
        <v>144</v>
      </c>
      <c r="E45">
        <v>45</v>
      </c>
      <c r="F45">
        <v>2152</v>
      </c>
      <c r="G45">
        <v>430.2</v>
      </c>
      <c r="H45" s="1">
        <f t="shared" si="0"/>
        <v>0.19990706319702603</v>
      </c>
      <c r="I45" s="2">
        <f t="shared" si="1"/>
        <v>19.990706319702603</v>
      </c>
      <c r="J45">
        <v>3164.1137855579868</v>
      </c>
    </row>
    <row r="46" spans="1:10" x14ac:dyDescent="0.25">
      <c r="A46">
        <v>2024</v>
      </c>
      <c r="B46" t="s">
        <v>130</v>
      </c>
      <c r="C46" t="s">
        <v>141</v>
      </c>
      <c r="D46" s="6" t="s">
        <v>144</v>
      </c>
      <c r="E46">
        <v>46</v>
      </c>
      <c r="F46">
        <v>1850</v>
      </c>
      <c r="G46">
        <v>163.80000000000001</v>
      </c>
      <c r="H46" s="1">
        <f t="shared" si="0"/>
        <v>8.8540540540540544E-2</v>
      </c>
      <c r="I46" s="2">
        <f t="shared" si="1"/>
        <v>8.8540540540540551</v>
      </c>
    </row>
    <row r="47" spans="1:10" x14ac:dyDescent="0.25">
      <c r="A47">
        <v>2024</v>
      </c>
      <c r="B47" t="s">
        <v>130</v>
      </c>
      <c r="C47" t="s">
        <v>142</v>
      </c>
      <c r="D47" s="6" t="s">
        <v>144</v>
      </c>
      <c r="E47">
        <v>47</v>
      </c>
      <c r="F47">
        <v>2784</v>
      </c>
      <c r="G47">
        <v>452.40000000000003</v>
      </c>
      <c r="H47" s="1">
        <f t="shared" si="0"/>
        <v>0.16250000000000001</v>
      </c>
      <c r="I47" s="2">
        <f t="shared" si="1"/>
        <v>16.25</v>
      </c>
      <c r="J47">
        <v>2830.9628008752738</v>
      </c>
    </row>
    <row r="48" spans="1:10" x14ac:dyDescent="0.25">
      <c r="A48">
        <v>2024</v>
      </c>
      <c r="B48" t="s">
        <v>130</v>
      </c>
      <c r="C48" t="s">
        <v>143</v>
      </c>
      <c r="D48" s="6" t="s">
        <v>144</v>
      </c>
      <c r="E48">
        <v>48</v>
      </c>
      <c r="F48">
        <v>4331</v>
      </c>
      <c r="G48">
        <v>599.19999999999993</v>
      </c>
      <c r="H48" s="1">
        <f t="shared" si="0"/>
        <v>0.13835141999538211</v>
      </c>
      <c r="I48" s="2">
        <f t="shared" si="1"/>
        <v>13.835141999538211</v>
      </c>
      <c r="J48">
        <v>3277.8993435448579</v>
      </c>
    </row>
    <row r="49" spans="1:10" x14ac:dyDescent="0.25">
      <c r="A49">
        <v>2024</v>
      </c>
      <c r="B49" t="s">
        <v>130</v>
      </c>
      <c r="C49" t="s">
        <v>141</v>
      </c>
      <c r="D49" s="6" t="s">
        <v>144</v>
      </c>
      <c r="E49">
        <v>49</v>
      </c>
      <c r="F49">
        <v>1988</v>
      </c>
      <c r="G49">
        <v>182.70000000000002</v>
      </c>
      <c r="H49" s="1">
        <f t="shared" si="0"/>
        <v>9.1901408450704228E-2</v>
      </c>
      <c r="I49" s="2">
        <f t="shared" si="1"/>
        <v>9.1901408450704221</v>
      </c>
    </row>
    <row r="50" spans="1:10" x14ac:dyDescent="0.25">
      <c r="A50">
        <v>2024</v>
      </c>
      <c r="B50" t="s">
        <v>130</v>
      </c>
      <c r="C50" t="s">
        <v>139</v>
      </c>
      <c r="D50" s="6" t="s">
        <v>144</v>
      </c>
      <c r="E50">
        <v>50</v>
      </c>
      <c r="F50">
        <v>6562</v>
      </c>
      <c r="G50">
        <v>960.3</v>
      </c>
      <c r="H50" s="1">
        <f t="shared" si="0"/>
        <v>0.14634257848217005</v>
      </c>
      <c r="I50" s="2">
        <f t="shared" si="1"/>
        <v>14.634257848217006</v>
      </c>
      <c r="J50">
        <v>5253.2822757111599</v>
      </c>
    </row>
    <row r="51" spans="1:10" x14ac:dyDescent="0.25">
      <c r="A51">
        <v>2024</v>
      </c>
      <c r="B51" t="s">
        <v>130</v>
      </c>
      <c r="C51" t="s">
        <v>140</v>
      </c>
      <c r="D51" s="6" t="s">
        <v>144</v>
      </c>
      <c r="E51">
        <v>51</v>
      </c>
      <c r="F51">
        <v>2425</v>
      </c>
      <c r="G51">
        <v>456.5</v>
      </c>
      <c r="H51" s="1">
        <f t="shared" si="0"/>
        <v>0.18824742268041236</v>
      </c>
      <c r="I51" s="2">
        <f t="shared" si="1"/>
        <v>18.824742268041238</v>
      </c>
      <c r="J51">
        <v>3196.936542669584</v>
      </c>
    </row>
    <row r="52" spans="1:10" x14ac:dyDescent="0.25">
      <c r="A52">
        <v>2024</v>
      </c>
      <c r="B52" t="s">
        <v>130</v>
      </c>
      <c r="C52" t="s">
        <v>133</v>
      </c>
      <c r="D52" s="6" t="s">
        <v>144</v>
      </c>
      <c r="E52">
        <v>52</v>
      </c>
      <c r="F52">
        <v>4421</v>
      </c>
      <c r="G52">
        <v>702.5</v>
      </c>
      <c r="H52" s="1">
        <f t="shared" si="0"/>
        <v>0.1589007011988238</v>
      </c>
      <c r="I52" s="2">
        <f t="shared" si="1"/>
        <v>15.890070119882379</v>
      </c>
      <c r="J52">
        <v>4379.1028446389491</v>
      </c>
    </row>
    <row r="53" spans="1:10" x14ac:dyDescent="0.25">
      <c r="A53">
        <v>2024</v>
      </c>
      <c r="B53" t="s">
        <v>130</v>
      </c>
      <c r="C53" t="s">
        <v>138</v>
      </c>
      <c r="D53" s="6" t="s">
        <v>144</v>
      </c>
      <c r="E53">
        <v>53</v>
      </c>
      <c r="F53">
        <v>5249</v>
      </c>
      <c r="G53">
        <v>746.59999999999991</v>
      </c>
      <c r="H53" s="1">
        <f t="shared" si="0"/>
        <v>0.14223661649838062</v>
      </c>
      <c r="I53" s="2">
        <f t="shared" si="1"/>
        <v>14.223661649838062</v>
      </c>
      <c r="J53">
        <v>4084.2450765864328</v>
      </c>
    </row>
    <row r="54" spans="1:10" x14ac:dyDescent="0.25">
      <c r="A54">
        <v>2024</v>
      </c>
      <c r="B54" t="s">
        <v>130</v>
      </c>
      <c r="C54" t="s">
        <v>135</v>
      </c>
      <c r="D54" s="6" t="s">
        <v>144</v>
      </c>
      <c r="E54">
        <v>54</v>
      </c>
      <c r="F54">
        <v>4503</v>
      </c>
      <c r="G54">
        <v>730.9</v>
      </c>
      <c r="H54" s="1">
        <f t="shared" si="0"/>
        <v>0.16231401288030201</v>
      </c>
      <c r="I54" s="2">
        <f t="shared" si="1"/>
        <v>16.231401288030199</v>
      </c>
      <c r="J54">
        <v>4579.8687089715531</v>
      </c>
    </row>
    <row r="55" spans="1:10" x14ac:dyDescent="0.25">
      <c r="A55">
        <v>2024</v>
      </c>
      <c r="B55" t="s">
        <v>130</v>
      </c>
      <c r="C55" t="s">
        <v>136</v>
      </c>
      <c r="D55" s="6" t="s">
        <v>144</v>
      </c>
      <c r="E55">
        <v>55</v>
      </c>
      <c r="F55">
        <v>2874</v>
      </c>
      <c r="G55">
        <v>500.50000000000006</v>
      </c>
      <c r="H55" s="1">
        <f t="shared" si="0"/>
        <v>0.17414752957550456</v>
      </c>
      <c r="I55" s="2">
        <f t="shared" si="1"/>
        <v>17.414752957550455</v>
      </c>
      <c r="J55">
        <v>3208.4245076586431</v>
      </c>
    </row>
    <row r="56" spans="1:10" x14ac:dyDescent="0.25">
      <c r="A56">
        <v>2024</v>
      </c>
      <c r="B56" t="s">
        <v>130</v>
      </c>
      <c r="C56" t="s">
        <v>142</v>
      </c>
      <c r="D56" s="6" t="s">
        <v>144</v>
      </c>
      <c r="E56">
        <v>56</v>
      </c>
      <c r="F56">
        <v>3294</v>
      </c>
      <c r="G56">
        <v>476.3</v>
      </c>
      <c r="H56" s="1">
        <f t="shared" si="0"/>
        <v>0.14459623557984214</v>
      </c>
      <c r="I56" s="2">
        <f t="shared" si="1"/>
        <v>14.459623557984214</v>
      </c>
      <c r="J56">
        <v>3094.6389496717725</v>
      </c>
    </row>
    <row r="57" spans="1:10" x14ac:dyDescent="0.25">
      <c r="A57">
        <v>2024</v>
      </c>
      <c r="B57" t="s">
        <v>130</v>
      </c>
      <c r="C57" s="3" t="s">
        <v>131</v>
      </c>
      <c r="D57" s="6" t="s">
        <v>144</v>
      </c>
      <c r="E57">
        <v>57</v>
      </c>
      <c r="F57">
        <v>4928</v>
      </c>
      <c r="G57">
        <v>778.09999999999991</v>
      </c>
      <c r="H57" s="1">
        <f t="shared" si="0"/>
        <v>0.15789366883116882</v>
      </c>
      <c r="I57" s="2">
        <f t="shared" si="1"/>
        <v>15.789366883116882</v>
      </c>
      <c r="J57" s="3">
        <v>4454.0481400437629</v>
      </c>
    </row>
    <row r="58" spans="1:10" x14ac:dyDescent="0.25">
      <c r="A58">
        <v>2024</v>
      </c>
      <c r="B58" t="s">
        <v>130</v>
      </c>
      <c r="C58" t="s">
        <v>143</v>
      </c>
      <c r="D58" s="6" t="s">
        <v>144</v>
      </c>
      <c r="E58">
        <v>58</v>
      </c>
      <c r="F58">
        <v>3465</v>
      </c>
      <c r="G58">
        <v>470.3</v>
      </c>
      <c r="H58" s="1">
        <f t="shared" si="0"/>
        <v>0.13572871572871573</v>
      </c>
      <c r="I58" s="2">
        <f t="shared" si="1"/>
        <v>13.572871572871573</v>
      </c>
      <c r="J58">
        <v>2572.7571115973742</v>
      </c>
    </row>
    <row r="59" spans="1:10" x14ac:dyDescent="0.25">
      <c r="A59">
        <v>2024</v>
      </c>
      <c r="B59" t="s">
        <v>130</v>
      </c>
      <c r="C59" t="s">
        <v>137</v>
      </c>
      <c r="D59" s="6" t="s">
        <v>144</v>
      </c>
      <c r="E59">
        <v>59</v>
      </c>
      <c r="F59">
        <v>4507</v>
      </c>
      <c r="G59">
        <v>674.4</v>
      </c>
      <c r="H59" s="1">
        <f t="shared" si="0"/>
        <v>0.14963390281783892</v>
      </c>
      <c r="I59" s="2">
        <f t="shared" si="1"/>
        <v>14.963390281783893</v>
      </c>
      <c r="J59">
        <v>3689.2778993435445</v>
      </c>
    </row>
    <row r="60" spans="1:10" x14ac:dyDescent="0.25">
      <c r="A60">
        <v>2024</v>
      </c>
      <c r="B60" t="s">
        <v>130</v>
      </c>
      <c r="C60" t="s">
        <v>134</v>
      </c>
      <c r="D60" s="6" t="s">
        <v>144</v>
      </c>
      <c r="E60">
        <v>60</v>
      </c>
      <c r="F60">
        <v>4124</v>
      </c>
      <c r="G60">
        <v>521.09999999999991</v>
      </c>
      <c r="H60" s="1">
        <f t="shared" si="0"/>
        <v>0.12635790494665372</v>
      </c>
      <c r="I60" s="2">
        <f t="shared" si="1"/>
        <v>12.635790494665372</v>
      </c>
      <c r="J60">
        <v>3242.34135667396</v>
      </c>
    </row>
    <row r="61" spans="1:10" x14ac:dyDescent="0.25">
      <c r="A61">
        <v>2024</v>
      </c>
      <c r="B61" s="4" t="s">
        <v>130</v>
      </c>
      <c r="C61" s="4" t="s">
        <v>133</v>
      </c>
      <c r="D61" s="7" t="s">
        <v>144</v>
      </c>
      <c r="E61">
        <v>61</v>
      </c>
      <c r="F61">
        <v>4829</v>
      </c>
      <c r="G61">
        <v>703.9</v>
      </c>
      <c r="H61" s="1">
        <f t="shared" si="0"/>
        <v>0.14576516877200249</v>
      </c>
      <c r="I61" s="2">
        <f t="shared" si="1"/>
        <v>14.576516877200248</v>
      </c>
      <c r="J61" s="4">
        <v>4652.6258205689273</v>
      </c>
    </row>
    <row r="62" spans="1:10" x14ac:dyDescent="0.25">
      <c r="A62">
        <v>2024</v>
      </c>
      <c r="B62" t="s">
        <v>130</v>
      </c>
      <c r="C62" t="s">
        <v>131</v>
      </c>
      <c r="D62" s="6" t="s">
        <v>144</v>
      </c>
      <c r="E62">
        <v>62</v>
      </c>
      <c r="F62">
        <v>4281</v>
      </c>
      <c r="G62">
        <v>665.69999999999993</v>
      </c>
      <c r="H62" s="1">
        <f t="shared" si="0"/>
        <v>0.15550105115627189</v>
      </c>
      <c r="I62" s="2">
        <f t="shared" si="1"/>
        <v>15.550105115627188</v>
      </c>
      <c r="J62">
        <v>4184.9015317286648</v>
      </c>
    </row>
    <row r="63" spans="1:10" x14ac:dyDescent="0.25">
      <c r="A63">
        <v>2024</v>
      </c>
      <c r="B63" t="s">
        <v>130</v>
      </c>
      <c r="C63" t="s">
        <v>139</v>
      </c>
      <c r="D63" s="6" t="s">
        <v>144</v>
      </c>
      <c r="E63">
        <v>63</v>
      </c>
      <c r="F63">
        <v>5849</v>
      </c>
      <c r="G63">
        <v>813.5</v>
      </c>
      <c r="H63" s="1">
        <f t="shared" si="0"/>
        <v>0.13908360403487777</v>
      </c>
      <c r="I63" s="2">
        <f t="shared" si="1"/>
        <v>13.908360403487777</v>
      </c>
      <c r="J63">
        <v>4450.2188183807439</v>
      </c>
    </row>
    <row r="64" spans="1:10" x14ac:dyDescent="0.25">
      <c r="A64">
        <v>2024</v>
      </c>
      <c r="B64" t="s">
        <v>130</v>
      </c>
      <c r="C64" t="s">
        <v>140</v>
      </c>
      <c r="D64" s="6" t="s">
        <v>144</v>
      </c>
      <c r="E64">
        <v>64</v>
      </c>
      <c r="F64">
        <v>2119</v>
      </c>
      <c r="G64">
        <v>423.1</v>
      </c>
      <c r="H64" s="1">
        <f t="shared" si="0"/>
        <v>0.19966965549787638</v>
      </c>
      <c r="I64" s="2">
        <f t="shared" si="1"/>
        <v>19.966965549787638</v>
      </c>
      <c r="J64">
        <v>2958.4245076586435</v>
      </c>
    </row>
    <row r="65" spans="1:10" x14ac:dyDescent="0.25">
      <c r="A65">
        <v>2024</v>
      </c>
      <c r="B65" t="s">
        <v>130</v>
      </c>
      <c r="C65" t="s">
        <v>143</v>
      </c>
      <c r="D65" s="6" t="s">
        <v>144</v>
      </c>
      <c r="E65">
        <v>65</v>
      </c>
      <c r="F65">
        <v>5554</v>
      </c>
      <c r="G65">
        <v>738.8</v>
      </c>
      <c r="H65" s="1">
        <f t="shared" si="0"/>
        <v>0.13302124594886566</v>
      </c>
      <c r="I65" s="2">
        <f t="shared" si="1"/>
        <v>13.302124594886566</v>
      </c>
      <c r="J65">
        <v>4041.575492341356</v>
      </c>
    </row>
    <row r="66" spans="1:10" x14ac:dyDescent="0.25">
      <c r="A66">
        <v>2024</v>
      </c>
      <c r="B66" t="s">
        <v>130</v>
      </c>
      <c r="C66" t="s">
        <v>142</v>
      </c>
      <c r="D66" s="6" t="s">
        <v>144</v>
      </c>
      <c r="E66">
        <v>66</v>
      </c>
      <c r="F66">
        <v>2490</v>
      </c>
      <c r="G66">
        <v>405.2</v>
      </c>
      <c r="H66" s="1">
        <f t="shared" ref="H66:H71" si="2">+G66/F66</f>
        <v>0.16273092369477912</v>
      </c>
      <c r="I66" s="2">
        <f t="shared" ref="I66:I71" si="3">+H66*100</f>
        <v>16.273092369477911</v>
      </c>
      <c r="J66">
        <v>2670.6783369803061</v>
      </c>
    </row>
    <row r="67" spans="1:10" x14ac:dyDescent="0.25">
      <c r="A67">
        <v>2024</v>
      </c>
      <c r="B67" t="s">
        <v>130</v>
      </c>
      <c r="C67" t="s">
        <v>141</v>
      </c>
      <c r="D67" s="6" t="s">
        <v>144</v>
      </c>
      <c r="E67">
        <v>67</v>
      </c>
      <c r="F67">
        <v>4416</v>
      </c>
      <c r="G67">
        <v>383</v>
      </c>
      <c r="H67" s="1">
        <f t="shared" si="2"/>
        <v>8.6730072463768113E-2</v>
      </c>
      <c r="I67" s="2">
        <f t="shared" si="3"/>
        <v>8.6730072463768106</v>
      </c>
      <c r="J67">
        <v>2442.5601750547044</v>
      </c>
    </row>
    <row r="68" spans="1:10" x14ac:dyDescent="0.25">
      <c r="A68">
        <v>2024</v>
      </c>
      <c r="B68" t="s">
        <v>130</v>
      </c>
      <c r="C68" t="s">
        <v>134</v>
      </c>
      <c r="D68" s="6" t="s">
        <v>144</v>
      </c>
      <c r="E68">
        <v>68</v>
      </c>
      <c r="F68">
        <v>5236</v>
      </c>
      <c r="G68">
        <v>703</v>
      </c>
      <c r="H68" s="1">
        <f t="shared" si="2"/>
        <v>0.13426279602750191</v>
      </c>
      <c r="I68" s="2">
        <f t="shared" si="3"/>
        <v>13.42627960275019</v>
      </c>
      <c r="J68">
        <v>4363.2385120350109</v>
      </c>
    </row>
    <row r="69" spans="1:10" x14ac:dyDescent="0.25">
      <c r="A69">
        <v>2024</v>
      </c>
      <c r="B69" t="s">
        <v>130</v>
      </c>
      <c r="C69" t="s">
        <v>135</v>
      </c>
      <c r="D69" s="6" t="s">
        <v>144</v>
      </c>
      <c r="E69">
        <v>69</v>
      </c>
      <c r="F69">
        <v>3530</v>
      </c>
      <c r="G69">
        <v>483.8</v>
      </c>
      <c r="H69" s="1">
        <f t="shared" si="2"/>
        <v>0.13705382436260624</v>
      </c>
      <c r="I69" s="2">
        <f t="shared" si="3"/>
        <v>13.705382436260624</v>
      </c>
      <c r="J69">
        <v>3097.3741794310722</v>
      </c>
    </row>
    <row r="70" spans="1:10" x14ac:dyDescent="0.25">
      <c r="A70">
        <v>2024</v>
      </c>
      <c r="B70" t="s">
        <v>130</v>
      </c>
      <c r="C70" t="s">
        <v>137</v>
      </c>
      <c r="D70" s="6" t="s">
        <v>144</v>
      </c>
      <c r="E70">
        <v>70</v>
      </c>
      <c r="F70">
        <v>4355</v>
      </c>
      <c r="G70">
        <v>658.5</v>
      </c>
      <c r="H70" s="1">
        <f t="shared" si="2"/>
        <v>0.15120551090700343</v>
      </c>
      <c r="I70" s="2">
        <f t="shared" si="3"/>
        <v>15.120551090700344</v>
      </c>
      <c r="J70">
        <v>3602.2975929978115</v>
      </c>
    </row>
    <row r="71" spans="1:10" x14ac:dyDescent="0.25">
      <c r="A71">
        <v>2024</v>
      </c>
      <c r="B71" t="s">
        <v>130</v>
      </c>
      <c r="C71" t="s">
        <v>136</v>
      </c>
      <c r="D71" s="6" t="s">
        <v>144</v>
      </c>
      <c r="E71">
        <v>71</v>
      </c>
      <c r="F71">
        <v>4590</v>
      </c>
      <c r="G71">
        <v>687.5</v>
      </c>
      <c r="H71" s="1">
        <f t="shared" si="2"/>
        <v>0.14978213507625274</v>
      </c>
      <c r="I71" s="2">
        <f t="shared" si="3"/>
        <v>14.978213507625274</v>
      </c>
      <c r="J71">
        <v>4084.7921225382929</v>
      </c>
    </row>
    <row r="72" spans="1:10" x14ac:dyDescent="0.25">
      <c r="A72">
        <v>2024</v>
      </c>
      <c r="B72" t="s">
        <v>130</v>
      </c>
      <c r="C72" t="s">
        <v>138</v>
      </c>
      <c r="D72" s="6" t="s">
        <v>144</v>
      </c>
      <c r="E72">
        <v>72</v>
      </c>
      <c r="F72">
        <v>4616</v>
      </c>
      <c r="G72">
        <v>611.5</v>
      </c>
      <c r="H72" s="1">
        <f>+G72/F72</f>
        <v>0.1324740034662045</v>
      </c>
      <c r="I72" s="2">
        <f>+H72*100</f>
        <v>13.24740034662045</v>
      </c>
      <c r="J72">
        <v>3345.1859956236299</v>
      </c>
    </row>
    <row r="73" spans="1:10" x14ac:dyDescent="0.25">
      <c r="A73">
        <v>2025</v>
      </c>
      <c r="B73" t="s">
        <v>130</v>
      </c>
      <c r="C73" t="s">
        <v>131</v>
      </c>
      <c r="D73" s="6" t="s">
        <v>144</v>
      </c>
      <c r="E73">
        <v>101</v>
      </c>
      <c r="F73">
        <v>2616</v>
      </c>
      <c r="G73">
        <v>335.2</v>
      </c>
      <c r="H73" s="1">
        <f t="shared" ref="H73:H136" si="4">+G73/F73</f>
        <v>0.12813455657492354</v>
      </c>
      <c r="I73" s="2">
        <f t="shared" ref="I73:I136" si="5">+H73*100</f>
        <v>12.813455657492353</v>
      </c>
      <c r="J73">
        <v>3667.3960612691467</v>
      </c>
    </row>
    <row r="74" spans="1:10" x14ac:dyDescent="0.25">
      <c r="A74">
        <v>2025</v>
      </c>
      <c r="B74" t="s">
        <v>130</v>
      </c>
      <c r="C74" t="s">
        <v>145</v>
      </c>
      <c r="D74" s="6" t="s">
        <v>144</v>
      </c>
      <c r="E74">
        <v>102</v>
      </c>
      <c r="F74">
        <v>2926</v>
      </c>
      <c r="G74">
        <v>282.89999999999998</v>
      </c>
      <c r="H74" s="1">
        <f t="shared" si="4"/>
        <v>9.6684894053315096E-2</v>
      </c>
      <c r="I74" s="2">
        <f t="shared" si="5"/>
        <v>9.6684894053315098</v>
      </c>
      <c r="J74">
        <v>3095.1859956236322</v>
      </c>
    </row>
    <row r="75" spans="1:10" x14ac:dyDescent="0.25">
      <c r="A75">
        <v>2025</v>
      </c>
      <c r="B75" t="s">
        <v>130</v>
      </c>
      <c r="C75" t="s">
        <v>133</v>
      </c>
      <c r="D75" s="6" t="s">
        <v>144</v>
      </c>
      <c r="E75">
        <v>103</v>
      </c>
      <c r="F75">
        <v>3398</v>
      </c>
      <c r="G75">
        <v>429.7</v>
      </c>
      <c r="H75" s="1">
        <f t="shared" si="4"/>
        <v>0.1264567392583873</v>
      </c>
      <c r="I75" s="2">
        <f t="shared" si="5"/>
        <v>12.645673925838729</v>
      </c>
      <c r="J75">
        <v>4701.3129102844641</v>
      </c>
    </row>
    <row r="76" spans="1:10" x14ac:dyDescent="0.25">
      <c r="A76">
        <v>2025</v>
      </c>
      <c r="B76" t="s">
        <v>130</v>
      </c>
      <c r="C76" t="s">
        <v>139</v>
      </c>
      <c r="D76" s="6" t="s">
        <v>144</v>
      </c>
      <c r="E76">
        <v>104</v>
      </c>
      <c r="F76">
        <v>3780</v>
      </c>
      <c r="G76">
        <v>333.9</v>
      </c>
      <c r="H76" s="1">
        <f t="shared" si="4"/>
        <v>8.8333333333333333E-2</v>
      </c>
      <c r="I76" s="2">
        <f t="shared" si="5"/>
        <v>8.8333333333333339</v>
      </c>
      <c r="J76">
        <v>3653.172866520787</v>
      </c>
    </row>
    <row r="77" spans="1:10" x14ac:dyDescent="0.25">
      <c r="A77">
        <v>2025</v>
      </c>
      <c r="B77" t="s">
        <v>130</v>
      </c>
      <c r="C77" t="s">
        <v>135</v>
      </c>
      <c r="D77" s="6" t="s">
        <v>144</v>
      </c>
      <c r="E77">
        <v>105</v>
      </c>
      <c r="F77">
        <v>2582</v>
      </c>
      <c r="G77">
        <v>287.60000000000002</v>
      </c>
      <c r="H77" s="1">
        <f t="shared" si="4"/>
        <v>0.11138652207591015</v>
      </c>
      <c r="I77" s="2">
        <f t="shared" si="5"/>
        <v>11.138652207591015</v>
      </c>
      <c r="J77">
        <v>3146.6083150984682</v>
      </c>
    </row>
    <row r="78" spans="1:10" x14ac:dyDescent="0.25">
      <c r="A78">
        <v>2025</v>
      </c>
      <c r="B78" t="s">
        <v>130</v>
      </c>
      <c r="C78" t="s">
        <v>136</v>
      </c>
      <c r="D78" s="6" t="s">
        <v>144</v>
      </c>
      <c r="E78">
        <v>106</v>
      </c>
      <c r="F78">
        <v>3593</v>
      </c>
      <c r="G78">
        <v>401.8</v>
      </c>
      <c r="H78" s="1">
        <f t="shared" si="4"/>
        <v>0.11182855552463124</v>
      </c>
      <c r="I78" s="2">
        <f t="shared" si="5"/>
        <v>11.182855552463124</v>
      </c>
      <c r="J78">
        <v>4396.0612691466085</v>
      </c>
    </row>
    <row r="79" spans="1:10" x14ac:dyDescent="0.25">
      <c r="A79">
        <v>2025</v>
      </c>
      <c r="B79" t="s">
        <v>130</v>
      </c>
      <c r="C79" t="s">
        <v>134</v>
      </c>
      <c r="D79" s="6" t="s">
        <v>144</v>
      </c>
      <c r="E79">
        <v>107</v>
      </c>
      <c r="F79">
        <v>2616</v>
      </c>
      <c r="G79">
        <v>229.3</v>
      </c>
      <c r="H79" s="1">
        <f t="shared" si="4"/>
        <v>8.7652905198776762E-2</v>
      </c>
      <c r="I79" s="2">
        <f t="shared" si="5"/>
        <v>8.7652905198776754</v>
      </c>
      <c r="J79">
        <v>2508.7527352297593</v>
      </c>
    </row>
    <row r="80" spans="1:10" x14ac:dyDescent="0.25">
      <c r="A80">
        <v>2025</v>
      </c>
      <c r="B80" t="s">
        <v>130</v>
      </c>
      <c r="C80" t="s">
        <v>137</v>
      </c>
      <c r="D80" s="6" t="s">
        <v>144</v>
      </c>
      <c r="E80">
        <v>108</v>
      </c>
      <c r="F80">
        <v>2606</v>
      </c>
      <c r="G80">
        <v>265.8</v>
      </c>
      <c r="H80" s="1">
        <f t="shared" si="4"/>
        <v>0.10199539524174982</v>
      </c>
      <c r="I80" s="2">
        <f t="shared" si="5"/>
        <v>10.199539524174982</v>
      </c>
      <c r="J80">
        <v>2908.0962800875277</v>
      </c>
    </row>
    <row r="81" spans="1:10" x14ac:dyDescent="0.25">
      <c r="A81">
        <v>2025</v>
      </c>
      <c r="B81" t="s">
        <v>130</v>
      </c>
      <c r="C81" t="s">
        <v>138</v>
      </c>
      <c r="D81" s="6" t="s">
        <v>144</v>
      </c>
      <c r="E81">
        <v>109</v>
      </c>
      <c r="F81">
        <v>3053</v>
      </c>
      <c r="G81">
        <v>335.4</v>
      </c>
      <c r="H81" s="1">
        <f t="shared" si="4"/>
        <v>0.10985915492957746</v>
      </c>
      <c r="I81" s="2">
        <f t="shared" si="5"/>
        <v>10.985915492957746</v>
      </c>
      <c r="J81">
        <v>3669.5842450765858</v>
      </c>
    </row>
    <row r="82" spans="1:10" x14ac:dyDescent="0.25">
      <c r="A82">
        <v>2025</v>
      </c>
      <c r="B82" t="s">
        <v>130</v>
      </c>
      <c r="C82" t="s">
        <v>134</v>
      </c>
      <c r="D82" s="6" t="s">
        <v>144</v>
      </c>
      <c r="E82">
        <v>201</v>
      </c>
      <c r="F82">
        <v>2307</v>
      </c>
      <c r="G82">
        <v>269.39999999999998</v>
      </c>
      <c r="H82" s="1">
        <f t="shared" si="4"/>
        <v>0.11677503250975292</v>
      </c>
      <c r="I82" s="2">
        <f t="shared" si="5"/>
        <v>11.677503250975292</v>
      </c>
      <c r="J82">
        <v>2947.4835886214437</v>
      </c>
    </row>
    <row r="83" spans="1:10" x14ac:dyDescent="0.25">
      <c r="A83">
        <v>2025</v>
      </c>
      <c r="B83" t="s">
        <v>130</v>
      </c>
      <c r="C83" t="s">
        <v>135</v>
      </c>
      <c r="D83" s="6" t="s">
        <v>144</v>
      </c>
      <c r="E83">
        <v>202</v>
      </c>
      <c r="F83">
        <v>2442</v>
      </c>
      <c r="G83">
        <v>275.2</v>
      </c>
      <c r="H83" s="1">
        <f t="shared" si="4"/>
        <v>0.11269451269451269</v>
      </c>
      <c r="I83" s="2">
        <f t="shared" si="5"/>
        <v>11.26945126945127</v>
      </c>
      <c r="J83">
        <v>3010.9409190371989</v>
      </c>
    </row>
    <row r="84" spans="1:10" x14ac:dyDescent="0.25">
      <c r="A84">
        <v>2025</v>
      </c>
      <c r="B84" t="s">
        <v>130</v>
      </c>
      <c r="C84" t="s">
        <v>138</v>
      </c>
      <c r="D84" s="6" t="s">
        <v>144</v>
      </c>
      <c r="E84">
        <v>203</v>
      </c>
      <c r="F84">
        <v>3019</v>
      </c>
      <c r="G84">
        <v>315.89999999999998</v>
      </c>
      <c r="H84" s="1">
        <f t="shared" si="4"/>
        <v>0.10463729711825107</v>
      </c>
      <c r="I84" s="2">
        <f t="shared" si="5"/>
        <v>10.463729711825106</v>
      </c>
      <c r="J84">
        <v>3456.236323851203</v>
      </c>
    </row>
    <row r="85" spans="1:10" x14ac:dyDescent="0.25">
      <c r="A85">
        <v>2025</v>
      </c>
      <c r="B85" t="s">
        <v>130</v>
      </c>
      <c r="C85" t="s">
        <v>139</v>
      </c>
      <c r="D85" s="6" t="s">
        <v>144</v>
      </c>
      <c r="E85">
        <v>205</v>
      </c>
      <c r="F85">
        <v>3728</v>
      </c>
      <c r="G85">
        <v>377.8</v>
      </c>
      <c r="H85" s="1">
        <f t="shared" si="4"/>
        <v>0.1013412017167382</v>
      </c>
      <c r="I85" s="2">
        <f t="shared" si="5"/>
        <v>10.134120171673819</v>
      </c>
      <c r="J85">
        <v>4133.4792122538292</v>
      </c>
    </row>
    <row r="86" spans="1:10" x14ac:dyDescent="0.25">
      <c r="A86">
        <v>2025</v>
      </c>
      <c r="B86" t="s">
        <v>130</v>
      </c>
      <c r="C86" t="s">
        <v>133</v>
      </c>
      <c r="D86" s="6" t="s">
        <v>144</v>
      </c>
      <c r="E86">
        <v>206</v>
      </c>
      <c r="F86">
        <v>2840</v>
      </c>
      <c r="G86">
        <v>370</v>
      </c>
      <c r="H86" s="1">
        <f t="shared" si="4"/>
        <v>0.13028169014084506</v>
      </c>
      <c r="I86" s="2">
        <f t="shared" si="5"/>
        <v>13.028169014084506</v>
      </c>
      <c r="J86">
        <v>4048.1400437636762</v>
      </c>
    </row>
    <row r="87" spans="1:10" x14ac:dyDescent="0.25">
      <c r="A87">
        <v>2025</v>
      </c>
      <c r="B87" t="s">
        <v>130</v>
      </c>
      <c r="C87" t="s">
        <v>131</v>
      </c>
      <c r="D87" s="6" t="s">
        <v>144</v>
      </c>
      <c r="E87">
        <v>207</v>
      </c>
      <c r="F87">
        <v>2721</v>
      </c>
      <c r="G87">
        <v>386.7</v>
      </c>
      <c r="H87" s="1">
        <f t="shared" si="4"/>
        <v>0.14211686879823593</v>
      </c>
      <c r="I87" s="2">
        <f t="shared" si="5"/>
        <v>14.211686879823592</v>
      </c>
      <c r="J87">
        <v>4230.853391684901</v>
      </c>
    </row>
    <row r="88" spans="1:10" x14ac:dyDescent="0.25">
      <c r="A88">
        <v>2025</v>
      </c>
      <c r="B88" t="s">
        <v>130</v>
      </c>
      <c r="C88" t="s">
        <v>137</v>
      </c>
      <c r="D88" s="6" t="s">
        <v>144</v>
      </c>
      <c r="E88">
        <v>208</v>
      </c>
      <c r="F88">
        <v>3075</v>
      </c>
      <c r="G88">
        <v>344.9</v>
      </c>
      <c r="H88" s="1">
        <f t="shared" si="4"/>
        <v>0.11216260162601625</v>
      </c>
      <c r="I88" s="2">
        <f t="shared" si="5"/>
        <v>11.216260162601625</v>
      </c>
      <c r="J88">
        <v>3773.5229759299782</v>
      </c>
    </row>
    <row r="89" spans="1:10" x14ac:dyDescent="0.25">
      <c r="A89">
        <v>2025</v>
      </c>
      <c r="B89" t="s">
        <v>130</v>
      </c>
      <c r="C89" t="s">
        <v>136</v>
      </c>
      <c r="D89" s="6" t="s">
        <v>144</v>
      </c>
      <c r="E89">
        <v>209</v>
      </c>
      <c r="F89">
        <v>3218</v>
      </c>
      <c r="G89">
        <v>346.9</v>
      </c>
      <c r="H89" s="1">
        <f t="shared" si="4"/>
        <v>0.10779987569919204</v>
      </c>
      <c r="I89" s="2">
        <f t="shared" si="5"/>
        <v>10.779987569919204</v>
      </c>
      <c r="J89">
        <v>3795.404814004376</v>
      </c>
    </row>
    <row r="90" spans="1:10" x14ac:dyDescent="0.25">
      <c r="A90">
        <v>2025</v>
      </c>
      <c r="B90" t="s">
        <v>130</v>
      </c>
      <c r="C90" t="s">
        <v>133</v>
      </c>
      <c r="D90" s="6" t="s">
        <v>144</v>
      </c>
      <c r="E90">
        <v>301</v>
      </c>
      <c r="F90">
        <v>4007</v>
      </c>
      <c r="G90">
        <v>500.20000000000005</v>
      </c>
      <c r="H90" s="1">
        <f t="shared" si="4"/>
        <v>0.12483154479660595</v>
      </c>
      <c r="I90" s="2">
        <f t="shared" si="5"/>
        <v>12.483154479660595</v>
      </c>
      <c r="J90">
        <v>5472.6477024070027</v>
      </c>
    </row>
    <row r="91" spans="1:10" x14ac:dyDescent="0.25">
      <c r="A91">
        <v>2025</v>
      </c>
      <c r="B91" t="s">
        <v>130</v>
      </c>
      <c r="C91" t="s">
        <v>139</v>
      </c>
      <c r="D91" s="6" t="s">
        <v>144</v>
      </c>
      <c r="E91">
        <v>303</v>
      </c>
      <c r="F91">
        <v>2306</v>
      </c>
      <c r="G91">
        <v>219.2</v>
      </c>
      <c r="H91" s="1">
        <f t="shared" si="4"/>
        <v>9.5056374674761482E-2</v>
      </c>
      <c r="I91" s="2">
        <f t="shared" si="5"/>
        <v>9.5056374674761486</v>
      </c>
      <c r="J91">
        <v>2398.2494529540481</v>
      </c>
    </row>
    <row r="92" spans="1:10" x14ac:dyDescent="0.25">
      <c r="A92">
        <v>2025</v>
      </c>
      <c r="B92" t="s">
        <v>130</v>
      </c>
      <c r="C92" t="s">
        <v>135</v>
      </c>
      <c r="D92" s="6" t="s">
        <v>144</v>
      </c>
      <c r="E92">
        <v>304</v>
      </c>
      <c r="F92">
        <v>2961</v>
      </c>
      <c r="G92">
        <v>328.6</v>
      </c>
      <c r="H92" s="1">
        <f t="shared" si="4"/>
        <v>0.11097602161431949</v>
      </c>
      <c r="I92" s="2">
        <f t="shared" si="5"/>
        <v>11.097602161431949</v>
      </c>
      <c r="J92">
        <v>3595.1859956236322</v>
      </c>
    </row>
    <row r="93" spans="1:10" x14ac:dyDescent="0.25">
      <c r="A93">
        <v>2025</v>
      </c>
      <c r="B93" t="s">
        <v>130</v>
      </c>
      <c r="C93" t="s">
        <v>136</v>
      </c>
      <c r="D93" s="6" t="s">
        <v>144</v>
      </c>
      <c r="E93">
        <v>305</v>
      </c>
      <c r="F93">
        <v>1819</v>
      </c>
      <c r="G93">
        <v>203.6</v>
      </c>
      <c r="H93" s="1">
        <f t="shared" si="4"/>
        <v>0.11192963166575041</v>
      </c>
      <c r="I93" s="2">
        <f t="shared" si="5"/>
        <v>11.192963166575041</v>
      </c>
      <c r="J93">
        <v>2227.5711159737416</v>
      </c>
    </row>
    <row r="94" spans="1:10" x14ac:dyDescent="0.25">
      <c r="A94">
        <v>2025</v>
      </c>
      <c r="B94" t="s">
        <v>130</v>
      </c>
      <c r="C94" t="s">
        <v>131</v>
      </c>
      <c r="D94" s="6" t="s">
        <v>144</v>
      </c>
      <c r="E94">
        <v>306</v>
      </c>
      <c r="F94">
        <v>2732</v>
      </c>
      <c r="G94">
        <v>377.2</v>
      </c>
      <c r="H94" s="1">
        <f t="shared" si="4"/>
        <v>0.13806734992679356</v>
      </c>
      <c r="I94" s="2">
        <f t="shared" si="5"/>
        <v>13.806734992679356</v>
      </c>
      <c r="J94">
        <v>4126.9146608315095</v>
      </c>
    </row>
    <row r="95" spans="1:10" x14ac:dyDescent="0.25">
      <c r="A95">
        <v>2025</v>
      </c>
      <c r="B95" t="s">
        <v>130</v>
      </c>
      <c r="C95" t="s">
        <v>137</v>
      </c>
      <c r="D95" s="6" t="s">
        <v>144</v>
      </c>
      <c r="E95">
        <v>307</v>
      </c>
      <c r="F95">
        <v>2552</v>
      </c>
      <c r="G95">
        <v>287.5</v>
      </c>
      <c r="H95" s="1">
        <f t="shared" si="4"/>
        <v>0.11265673981191222</v>
      </c>
      <c r="I95" s="2">
        <f t="shared" si="5"/>
        <v>11.265673981191222</v>
      </c>
      <c r="J95">
        <v>3145.5142231947484</v>
      </c>
    </row>
    <row r="96" spans="1:10" x14ac:dyDescent="0.25">
      <c r="A96">
        <v>2025</v>
      </c>
      <c r="B96" t="s">
        <v>130</v>
      </c>
      <c r="C96" t="s">
        <v>134</v>
      </c>
      <c r="D96" s="6" t="s">
        <v>144</v>
      </c>
      <c r="E96">
        <v>308</v>
      </c>
      <c r="F96">
        <v>2827</v>
      </c>
      <c r="G96">
        <v>333.9</v>
      </c>
      <c r="H96" s="1">
        <f t="shared" si="4"/>
        <v>0.11811107180756986</v>
      </c>
      <c r="I96" s="2">
        <f t="shared" si="5"/>
        <v>11.811107180756986</v>
      </c>
      <c r="J96">
        <v>3653.172866520787</v>
      </c>
    </row>
    <row r="97" spans="1:10" x14ac:dyDescent="0.25">
      <c r="A97">
        <v>2025</v>
      </c>
      <c r="B97" t="s">
        <v>130</v>
      </c>
      <c r="C97" t="s">
        <v>138</v>
      </c>
      <c r="D97" s="6" t="s">
        <v>144</v>
      </c>
      <c r="E97">
        <v>309</v>
      </c>
      <c r="F97">
        <v>3086</v>
      </c>
      <c r="G97">
        <v>341.1</v>
      </c>
      <c r="H97" s="1">
        <f t="shared" si="4"/>
        <v>0.11053143227478938</v>
      </c>
      <c r="I97" s="2">
        <f t="shared" si="5"/>
        <v>11.053143227478939</v>
      </c>
      <c r="J97">
        <v>3731.9474835886213</v>
      </c>
    </row>
    <row r="98" spans="1:10" x14ac:dyDescent="0.25">
      <c r="A98">
        <v>2025</v>
      </c>
      <c r="B98" t="s">
        <v>130</v>
      </c>
      <c r="C98" t="s">
        <v>139</v>
      </c>
      <c r="D98" s="6" t="s">
        <v>144</v>
      </c>
      <c r="E98">
        <v>401</v>
      </c>
      <c r="F98">
        <v>3211</v>
      </c>
      <c r="G98">
        <v>305.3</v>
      </c>
      <c r="H98" s="1">
        <f t="shared" si="4"/>
        <v>9.5079414512612898E-2</v>
      </c>
      <c r="I98" s="2">
        <f t="shared" si="5"/>
        <v>9.5079414512612903</v>
      </c>
      <c r="J98">
        <v>3340.2625820568928</v>
      </c>
    </row>
    <row r="99" spans="1:10" x14ac:dyDescent="0.25">
      <c r="A99">
        <v>2025</v>
      </c>
      <c r="B99" t="s">
        <v>130</v>
      </c>
      <c r="C99" t="s">
        <v>131</v>
      </c>
      <c r="D99" s="6" t="s">
        <v>144</v>
      </c>
      <c r="E99">
        <v>402</v>
      </c>
      <c r="F99">
        <v>1812</v>
      </c>
      <c r="G99">
        <v>269</v>
      </c>
      <c r="H99" s="1">
        <f t="shared" si="4"/>
        <v>0.14845474613686535</v>
      </c>
      <c r="I99" s="2">
        <f t="shared" si="5"/>
        <v>14.845474613686536</v>
      </c>
      <c r="J99">
        <v>2943.1072210065645</v>
      </c>
    </row>
    <row r="100" spans="1:10" x14ac:dyDescent="0.25">
      <c r="A100">
        <v>2025</v>
      </c>
      <c r="B100" t="s">
        <v>130</v>
      </c>
      <c r="C100" t="s">
        <v>135</v>
      </c>
      <c r="D100" s="6" t="s">
        <v>144</v>
      </c>
      <c r="E100">
        <v>403</v>
      </c>
      <c r="F100">
        <v>2792</v>
      </c>
      <c r="G100">
        <v>347.3</v>
      </c>
      <c r="H100" s="1">
        <f t="shared" si="4"/>
        <v>0.12439111747851003</v>
      </c>
      <c r="I100" s="2">
        <f t="shared" si="5"/>
        <v>12.439111747851003</v>
      </c>
      <c r="J100">
        <v>3799.7811816192557</v>
      </c>
    </row>
    <row r="101" spans="1:10" x14ac:dyDescent="0.25">
      <c r="A101">
        <v>2025</v>
      </c>
      <c r="B101" t="s">
        <v>130</v>
      </c>
      <c r="C101" t="s">
        <v>138</v>
      </c>
      <c r="D101" s="6" t="s">
        <v>144</v>
      </c>
      <c r="E101">
        <v>404</v>
      </c>
      <c r="F101">
        <v>3187</v>
      </c>
      <c r="G101">
        <v>326.5</v>
      </c>
      <c r="H101" s="1">
        <f t="shared" si="4"/>
        <v>0.10244744273611547</v>
      </c>
      <c r="I101" s="2">
        <f t="shared" si="5"/>
        <v>10.244744273611547</v>
      </c>
      <c r="J101">
        <v>3572.2100656455141</v>
      </c>
    </row>
    <row r="102" spans="1:10" x14ac:dyDescent="0.25">
      <c r="A102">
        <v>2025</v>
      </c>
      <c r="B102" t="s">
        <v>130</v>
      </c>
      <c r="C102" t="s">
        <v>134</v>
      </c>
      <c r="D102" s="6" t="s">
        <v>144</v>
      </c>
      <c r="E102">
        <v>405</v>
      </c>
      <c r="F102">
        <v>3021</v>
      </c>
      <c r="G102">
        <v>326.10000000000002</v>
      </c>
      <c r="H102" s="1">
        <f t="shared" si="4"/>
        <v>0.10794438927507449</v>
      </c>
      <c r="I102" s="2">
        <f t="shared" si="5"/>
        <v>10.79443892750745</v>
      </c>
      <c r="J102">
        <v>3567.8336980306344</v>
      </c>
    </row>
    <row r="103" spans="1:10" x14ac:dyDescent="0.25">
      <c r="A103">
        <v>2025</v>
      </c>
      <c r="B103" t="s">
        <v>130</v>
      </c>
      <c r="C103" t="s">
        <v>133</v>
      </c>
      <c r="D103" s="6" t="s">
        <v>144</v>
      </c>
      <c r="E103">
        <v>406</v>
      </c>
      <c r="F103">
        <v>3411</v>
      </c>
      <c r="G103">
        <v>439.2</v>
      </c>
      <c r="H103" s="1">
        <f t="shared" si="4"/>
        <v>0.12875989445910291</v>
      </c>
      <c r="I103" s="2">
        <f t="shared" si="5"/>
        <v>12.875989445910291</v>
      </c>
      <c r="J103">
        <v>4805.2516411378556</v>
      </c>
    </row>
    <row r="104" spans="1:10" x14ac:dyDescent="0.25">
      <c r="A104">
        <v>2025</v>
      </c>
      <c r="B104" t="s">
        <v>130</v>
      </c>
      <c r="C104" t="s">
        <v>136</v>
      </c>
      <c r="D104" s="6" t="s">
        <v>144</v>
      </c>
      <c r="E104">
        <v>407</v>
      </c>
      <c r="F104">
        <v>3050</v>
      </c>
      <c r="G104">
        <v>345.5</v>
      </c>
      <c r="H104" s="1">
        <f t="shared" si="4"/>
        <v>0.11327868852459017</v>
      </c>
      <c r="I104" s="2">
        <f t="shared" si="5"/>
        <v>11.327868852459016</v>
      </c>
      <c r="J104">
        <v>3780.087527352297</v>
      </c>
    </row>
    <row r="105" spans="1:10" x14ac:dyDescent="0.25">
      <c r="A105">
        <v>2025</v>
      </c>
      <c r="B105" t="s">
        <v>130</v>
      </c>
      <c r="C105" t="s">
        <v>137</v>
      </c>
      <c r="D105" s="6" t="s">
        <v>144</v>
      </c>
      <c r="E105">
        <v>408</v>
      </c>
      <c r="F105">
        <v>2253</v>
      </c>
      <c r="G105">
        <v>280.7</v>
      </c>
      <c r="H105" s="1">
        <f t="shared" si="4"/>
        <v>0.12458943630714603</v>
      </c>
      <c r="I105" s="2">
        <f t="shared" si="5"/>
        <v>12.458943630714604</v>
      </c>
      <c r="J105">
        <v>3071.1159737417943</v>
      </c>
    </row>
    <row r="106" spans="1:10" x14ac:dyDescent="0.25">
      <c r="A106">
        <v>2025</v>
      </c>
      <c r="B106" t="s">
        <v>130</v>
      </c>
      <c r="C106" t="s">
        <v>131</v>
      </c>
      <c r="D106" s="6" t="s">
        <v>132</v>
      </c>
      <c r="E106">
        <v>501</v>
      </c>
      <c r="F106">
        <v>2626</v>
      </c>
      <c r="G106">
        <v>353.7</v>
      </c>
      <c r="H106" s="1">
        <f t="shared" si="4"/>
        <v>0.13469154607768469</v>
      </c>
      <c r="I106" s="2">
        <f t="shared" si="5"/>
        <v>13.469154607768468</v>
      </c>
    </row>
    <row r="107" spans="1:10" x14ac:dyDescent="0.25">
      <c r="A107">
        <v>2025</v>
      </c>
      <c r="B107" t="s">
        <v>130</v>
      </c>
      <c r="C107" t="s">
        <v>145</v>
      </c>
      <c r="D107" s="6" t="s">
        <v>132</v>
      </c>
      <c r="E107">
        <v>502</v>
      </c>
      <c r="F107">
        <v>2720</v>
      </c>
      <c r="G107">
        <v>282.10000000000002</v>
      </c>
      <c r="H107" s="1">
        <f t="shared" si="4"/>
        <v>0.10371323529411766</v>
      </c>
      <c r="I107" s="2">
        <f t="shared" si="5"/>
        <v>10.371323529411766</v>
      </c>
    </row>
    <row r="108" spans="1:10" x14ac:dyDescent="0.25">
      <c r="A108">
        <v>2025</v>
      </c>
      <c r="B108" t="s">
        <v>130</v>
      </c>
      <c r="C108" t="s">
        <v>133</v>
      </c>
      <c r="D108" s="6" t="s">
        <v>132</v>
      </c>
      <c r="E108">
        <v>503</v>
      </c>
      <c r="F108">
        <v>3016</v>
      </c>
      <c r="G108">
        <v>341.9</v>
      </c>
      <c r="H108" s="1">
        <f t="shared" si="4"/>
        <v>0.11336206896551723</v>
      </c>
      <c r="I108" s="2">
        <f t="shared" si="5"/>
        <v>11.336206896551722</v>
      </c>
    </row>
    <row r="109" spans="1:10" x14ac:dyDescent="0.25">
      <c r="A109">
        <v>2025</v>
      </c>
      <c r="B109" t="s">
        <v>130</v>
      </c>
      <c r="C109" t="s">
        <v>139</v>
      </c>
      <c r="D109" s="6" t="s">
        <v>132</v>
      </c>
      <c r="E109">
        <v>504</v>
      </c>
      <c r="F109">
        <v>1442</v>
      </c>
      <c r="G109">
        <v>134.30000000000001</v>
      </c>
      <c r="H109" s="1">
        <f t="shared" si="4"/>
        <v>9.3134535367545082E-2</v>
      </c>
      <c r="I109" s="2">
        <f t="shared" si="5"/>
        <v>9.3134535367545084</v>
      </c>
      <c r="J109">
        <v>1469.3654266958424</v>
      </c>
    </row>
    <row r="110" spans="1:10" x14ac:dyDescent="0.25">
      <c r="A110">
        <v>2025</v>
      </c>
      <c r="B110" t="s">
        <v>130</v>
      </c>
      <c r="C110" t="s">
        <v>135</v>
      </c>
      <c r="D110" s="6" t="s">
        <v>132</v>
      </c>
      <c r="E110">
        <v>505</v>
      </c>
      <c r="F110">
        <v>968</v>
      </c>
      <c r="G110">
        <v>107.7</v>
      </c>
      <c r="H110" s="1">
        <f t="shared" si="4"/>
        <v>0.1112603305785124</v>
      </c>
      <c r="I110" s="2">
        <f t="shared" si="5"/>
        <v>11.12603305785124</v>
      </c>
      <c r="J110">
        <v>1178.3369803063456</v>
      </c>
    </row>
    <row r="111" spans="1:10" x14ac:dyDescent="0.25">
      <c r="A111">
        <v>2025</v>
      </c>
      <c r="B111" t="s">
        <v>130</v>
      </c>
      <c r="C111" t="s">
        <v>136</v>
      </c>
      <c r="D111" s="6" t="s">
        <v>132</v>
      </c>
      <c r="E111">
        <v>506</v>
      </c>
      <c r="F111">
        <v>1493</v>
      </c>
      <c r="G111">
        <v>177.7</v>
      </c>
      <c r="H111" s="1">
        <f t="shared" si="4"/>
        <v>0.11902210314802411</v>
      </c>
      <c r="I111" s="2">
        <f t="shared" si="5"/>
        <v>11.902210314802412</v>
      </c>
      <c r="J111">
        <v>1944.2013129102843</v>
      </c>
    </row>
    <row r="112" spans="1:10" x14ac:dyDescent="0.25">
      <c r="A112">
        <v>2025</v>
      </c>
      <c r="B112" t="s">
        <v>130</v>
      </c>
      <c r="C112" t="s">
        <v>134</v>
      </c>
      <c r="D112" s="6" t="s">
        <v>132</v>
      </c>
      <c r="E112">
        <v>507</v>
      </c>
      <c r="F112">
        <v>1308</v>
      </c>
      <c r="G112">
        <v>142.69999999999999</v>
      </c>
      <c r="H112" s="1">
        <f t="shared" si="4"/>
        <v>0.10909785932721712</v>
      </c>
      <c r="I112" s="2">
        <f t="shared" si="5"/>
        <v>10.909785932721713</v>
      </c>
      <c r="J112">
        <v>1561.2691466083149</v>
      </c>
    </row>
    <row r="113" spans="1:10" x14ac:dyDescent="0.25">
      <c r="A113">
        <v>2025</v>
      </c>
      <c r="B113" t="s">
        <v>130</v>
      </c>
      <c r="C113" t="s">
        <v>137</v>
      </c>
      <c r="D113" s="6" t="s">
        <v>132</v>
      </c>
      <c r="E113">
        <v>508</v>
      </c>
      <c r="F113">
        <v>1089</v>
      </c>
      <c r="G113">
        <v>128.4</v>
      </c>
      <c r="H113" s="1">
        <f t="shared" si="4"/>
        <v>0.11790633608815428</v>
      </c>
      <c r="I113" s="2">
        <f t="shared" si="5"/>
        <v>11.790633608815428</v>
      </c>
      <c r="J113">
        <v>1404.8140043763678</v>
      </c>
    </row>
    <row r="114" spans="1:10" x14ac:dyDescent="0.25">
      <c r="A114">
        <v>2025</v>
      </c>
      <c r="B114" t="s">
        <v>130</v>
      </c>
      <c r="C114" t="s">
        <v>138</v>
      </c>
      <c r="D114" s="6" t="s">
        <v>132</v>
      </c>
      <c r="E114">
        <v>509</v>
      </c>
      <c r="F114">
        <v>1486</v>
      </c>
      <c r="G114">
        <v>150.4</v>
      </c>
      <c r="H114" s="1">
        <f t="shared" si="4"/>
        <v>0.10121130551816959</v>
      </c>
      <c r="I114" s="2">
        <f t="shared" si="5"/>
        <v>10.121130551816959</v>
      </c>
      <c r="J114">
        <v>1645.5142231947482</v>
      </c>
    </row>
    <row r="115" spans="1:10" x14ac:dyDescent="0.25">
      <c r="A115">
        <v>2025</v>
      </c>
      <c r="B115" t="s">
        <v>130</v>
      </c>
      <c r="C115" t="s">
        <v>134</v>
      </c>
      <c r="D115" s="6" t="s">
        <v>132</v>
      </c>
      <c r="E115">
        <v>601</v>
      </c>
      <c r="F115">
        <v>1002</v>
      </c>
      <c r="G115">
        <v>100.6</v>
      </c>
      <c r="H115" s="1">
        <f t="shared" si="4"/>
        <v>0.10039920159680638</v>
      </c>
      <c r="I115" s="2">
        <f t="shared" si="5"/>
        <v>10.039920159680637</v>
      </c>
      <c r="J115">
        <v>1100.6564551422318</v>
      </c>
    </row>
    <row r="116" spans="1:10" x14ac:dyDescent="0.25">
      <c r="A116">
        <v>2025</v>
      </c>
      <c r="B116" t="s">
        <v>130</v>
      </c>
      <c r="C116" t="s">
        <v>135</v>
      </c>
      <c r="D116" s="6" t="s">
        <v>132</v>
      </c>
      <c r="E116">
        <v>602</v>
      </c>
      <c r="F116">
        <v>1017</v>
      </c>
      <c r="G116">
        <v>100.2</v>
      </c>
      <c r="H116" s="1">
        <f t="shared" si="4"/>
        <v>9.8525073746312683E-2</v>
      </c>
      <c r="I116" s="2">
        <f t="shared" si="5"/>
        <v>9.8525073746312675</v>
      </c>
      <c r="J116">
        <v>1096.2800875273522</v>
      </c>
    </row>
    <row r="117" spans="1:10" x14ac:dyDescent="0.25">
      <c r="A117">
        <v>2025</v>
      </c>
      <c r="B117" t="s">
        <v>130</v>
      </c>
      <c r="C117" t="s">
        <v>138</v>
      </c>
      <c r="D117" s="6" t="s">
        <v>132</v>
      </c>
      <c r="E117">
        <v>603</v>
      </c>
      <c r="F117">
        <v>1104</v>
      </c>
      <c r="G117">
        <v>131.6</v>
      </c>
      <c r="H117" s="1">
        <f t="shared" si="4"/>
        <v>0.11920289855072463</v>
      </c>
      <c r="I117" s="2">
        <f t="shared" si="5"/>
        <v>11.920289855072463</v>
      </c>
      <c r="J117">
        <v>1439.8249452954049</v>
      </c>
    </row>
    <row r="118" spans="1:10" x14ac:dyDescent="0.25">
      <c r="A118">
        <v>2025</v>
      </c>
      <c r="B118" t="s">
        <v>130</v>
      </c>
      <c r="C118" t="s">
        <v>139</v>
      </c>
      <c r="D118" s="6" t="s">
        <v>132</v>
      </c>
      <c r="E118">
        <v>605</v>
      </c>
      <c r="F118">
        <v>1512</v>
      </c>
      <c r="G118">
        <v>144.30000000000001</v>
      </c>
      <c r="H118" s="1">
        <f t="shared" si="4"/>
        <v>9.5436507936507944E-2</v>
      </c>
      <c r="I118" s="2">
        <f t="shared" si="5"/>
        <v>9.5436507936507944</v>
      </c>
      <c r="J118">
        <v>1578.7746170678338</v>
      </c>
    </row>
    <row r="119" spans="1:10" x14ac:dyDescent="0.25">
      <c r="A119">
        <v>2025</v>
      </c>
      <c r="B119" t="s">
        <v>130</v>
      </c>
      <c r="C119" t="s">
        <v>133</v>
      </c>
      <c r="D119" s="6" t="s">
        <v>132</v>
      </c>
      <c r="E119">
        <v>606</v>
      </c>
      <c r="F119">
        <v>807</v>
      </c>
      <c r="G119">
        <v>109.30000000000001</v>
      </c>
      <c r="H119" s="1">
        <f t="shared" si="4"/>
        <v>0.13543990086741017</v>
      </c>
      <c r="I119" s="2">
        <f t="shared" si="5"/>
        <v>13.543990086741017</v>
      </c>
      <c r="J119">
        <v>1195.8424507658642</v>
      </c>
    </row>
    <row r="120" spans="1:10" x14ac:dyDescent="0.25">
      <c r="A120">
        <v>2025</v>
      </c>
      <c r="B120" t="s">
        <v>130</v>
      </c>
      <c r="C120" t="s">
        <v>131</v>
      </c>
      <c r="D120" s="6" t="s">
        <v>132</v>
      </c>
      <c r="E120">
        <v>607</v>
      </c>
      <c r="F120">
        <v>1010</v>
      </c>
      <c r="G120">
        <v>132.30000000000001</v>
      </c>
      <c r="H120" s="1">
        <f t="shared" si="4"/>
        <v>0.130990099009901</v>
      </c>
      <c r="I120" s="2">
        <f t="shared" si="5"/>
        <v>13.099009900990099</v>
      </c>
      <c r="J120">
        <v>1447.4835886214441</v>
      </c>
    </row>
    <row r="121" spans="1:10" x14ac:dyDescent="0.25">
      <c r="A121">
        <v>2025</v>
      </c>
      <c r="B121" t="s">
        <v>130</v>
      </c>
      <c r="C121" t="s">
        <v>137</v>
      </c>
      <c r="D121" s="6" t="s">
        <v>132</v>
      </c>
      <c r="E121">
        <v>608</v>
      </c>
      <c r="F121">
        <v>1514</v>
      </c>
      <c r="G121">
        <v>172.4</v>
      </c>
      <c r="H121" s="1">
        <f t="shared" si="4"/>
        <v>0.11387054161162484</v>
      </c>
      <c r="I121" s="2">
        <f t="shared" si="5"/>
        <v>11.387054161162483</v>
      </c>
      <c r="J121">
        <v>1886.214442013129</v>
      </c>
    </row>
    <row r="122" spans="1:10" x14ac:dyDescent="0.25">
      <c r="A122">
        <v>2025</v>
      </c>
      <c r="B122" t="s">
        <v>130</v>
      </c>
      <c r="C122" t="s">
        <v>136</v>
      </c>
      <c r="D122" s="6" t="s">
        <v>132</v>
      </c>
      <c r="E122">
        <v>609</v>
      </c>
      <c r="F122">
        <v>1712</v>
      </c>
      <c r="G122">
        <v>206</v>
      </c>
      <c r="H122" s="1">
        <f t="shared" si="4"/>
        <v>0.12032710280373832</v>
      </c>
      <c r="I122" s="2">
        <f t="shared" si="5"/>
        <v>12.032710280373832</v>
      </c>
      <c r="J122">
        <v>2253.8293216630195</v>
      </c>
    </row>
    <row r="123" spans="1:10" x14ac:dyDescent="0.25">
      <c r="A123">
        <v>2025</v>
      </c>
      <c r="B123" t="s">
        <v>130</v>
      </c>
      <c r="C123" t="s">
        <v>133</v>
      </c>
      <c r="D123" s="6" t="s">
        <v>132</v>
      </c>
      <c r="E123">
        <v>701</v>
      </c>
      <c r="F123">
        <v>2528</v>
      </c>
      <c r="G123">
        <v>322.3</v>
      </c>
      <c r="H123" s="1">
        <f t="shared" si="4"/>
        <v>0.12749208860759495</v>
      </c>
      <c r="I123" s="2">
        <f t="shared" si="5"/>
        <v>12.749208860759495</v>
      </c>
    </row>
    <row r="124" spans="1:10" x14ac:dyDescent="0.25">
      <c r="A124">
        <v>2025</v>
      </c>
      <c r="B124" t="s">
        <v>130</v>
      </c>
      <c r="C124" t="s">
        <v>139</v>
      </c>
      <c r="D124" s="6" t="s">
        <v>132</v>
      </c>
      <c r="E124">
        <v>703</v>
      </c>
      <c r="F124">
        <v>2630</v>
      </c>
      <c r="G124">
        <v>215.4</v>
      </c>
      <c r="H124" s="1">
        <f t="shared" si="4"/>
        <v>8.190114068441065E-2</v>
      </c>
      <c r="I124" s="2">
        <f t="shared" si="5"/>
        <v>8.1901140684410656</v>
      </c>
    </row>
    <row r="125" spans="1:10" x14ac:dyDescent="0.25">
      <c r="A125">
        <v>2025</v>
      </c>
      <c r="B125" t="s">
        <v>130</v>
      </c>
      <c r="C125" t="s">
        <v>135</v>
      </c>
      <c r="D125" s="6" t="s">
        <v>132</v>
      </c>
      <c r="E125">
        <v>704</v>
      </c>
      <c r="F125">
        <v>2665</v>
      </c>
      <c r="G125">
        <v>293.7</v>
      </c>
      <c r="H125" s="1">
        <f t="shared" si="4"/>
        <v>0.11020637898686679</v>
      </c>
      <c r="I125" s="2">
        <f t="shared" si="5"/>
        <v>11.02063789868668</v>
      </c>
    </row>
    <row r="126" spans="1:10" x14ac:dyDescent="0.25">
      <c r="A126">
        <v>2025</v>
      </c>
      <c r="B126" t="s">
        <v>130</v>
      </c>
      <c r="C126" t="s">
        <v>136</v>
      </c>
      <c r="D126" s="6" t="s">
        <v>132</v>
      </c>
      <c r="E126">
        <v>705</v>
      </c>
      <c r="F126">
        <v>2564</v>
      </c>
      <c r="G126">
        <v>285.2</v>
      </c>
      <c r="H126" s="1">
        <f t="shared" si="4"/>
        <v>0.11123244929797191</v>
      </c>
      <c r="I126" s="2">
        <f t="shared" si="5"/>
        <v>11.12324492979719</v>
      </c>
    </row>
    <row r="127" spans="1:10" x14ac:dyDescent="0.25">
      <c r="A127">
        <v>2025</v>
      </c>
      <c r="B127" t="s">
        <v>130</v>
      </c>
      <c r="C127" t="s">
        <v>131</v>
      </c>
      <c r="D127" s="6" t="s">
        <v>132</v>
      </c>
      <c r="E127">
        <v>706</v>
      </c>
      <c r="F127">
        <v>776</v>
      </c>
      <c r="G127">
        <v>98.3</v>
      </c>
      <c r="H127" s="1">
        <f t="shared" si="4"/>
        <v>0.12667525773195876</v>
      </c>
      <c r="I127" s="2">
        <f t="shared" si="5"/>
        <v>12.667525773195877</v>
      </c>
      <c r="J127">
        <v>1075.4923413566739</v>
      </c>
    </row>
    <row r="128" spans="1:10" x14ac:dyDescent="0.25">
      <c r="A128">
        <v>2025</v>
      </c>
      <c r="B128" t="s">
        <v>130</v>
      </c>
      <c r="C128" t="s">
        <v>137</v>
      </c>
      <c r="D128" s="6" t="s">
        <v>132</v>
      </c>
      <c r="E128">
        <v>707</v>
      </c>
      <c r="F128">
        <v>844</v>
      </c>
      <c r="G128">
        <v>93.6</v>
      </c>
      <c r="H128" s="1">
        <f t="shared" si="4"/>
        <v>0.11090047393364928</v>
      </c>
      <c r="I128" s="2">
        <f t="shared" si="5"/>
        <v>11.090047393364928</v>
      </c>
      <c r="J128">
        <v>1024.0700218818379</v>
      </c>
    </row>
    <row r="129" spans="1:10" x14ac:dyDescent="0.25">
      <c r="A129">
        <v>2025</v>
      </c>
      <c r="B129" t="s">
        <v>130</v>
      </c>
      <c r="C129" t="s">
        <v>134</v>
      </c>
      <c r="D129" s="6" t="s">
        <v>132</v>
      </c>
      <c r="E129">
        <v>708</v>
      </c>
      <c r="F129">
        <v>1072</v>
      </c>
      <c r="G129">
        <v>120.19999999999999</v>
      </c>
      <c r="H129" s="1">
        <f t="shared" si="4"/>
        <v>0.11212686567164178</v>
      </c>
      <c r="I129" s="2">
        <f t="shared" si="5"/>
        <v>11.212686567164178</v>
      </c>
      <c r="J129">
        <v>1315.0984682713345</v>
      </c>
    </row>
    <row r="130" spans="1:10" x14ac:dyDescent="0.25">
      <c r="A130">
        <v>2025</v>
      </c>
      <c r="B130" t="s">
        <v>130</v>
      </c>
      <c r="C130" t="s">
        <v>138</v>
      </c>
      <c r="D130" s="6" t="s">
        <v>132</v>
      </c>
      <c r="E130">
        <v>709</v>
      </c>
      <c r="F130">
        <v>1450</v>
      </c>
      <c r="G130">
        <v>152.6</v>
      </c>
      <c r="H130" s="1">
        <f t="shared" si="4"/>
        <v>0.10524137931034483</v>
      </c>
      <c r="I130" s="2">
        <f t="shared" si="5"/>
        <v>10.524137931034483</v>
      </c>
      <c r="J130">
        <v>1669.5842450765861</v>
      </c>
    </row>
    <row r="131" spans="1:10" x14ac:dyDescent="0.25">
      <c r="A131">
        <v>2025</v>
      </c>
      <c r="B131" t="s">
        <v>130</v>
      </c>
      <c r="C131" t="s">
        <v>139</v>
      </c>
      <c r="D131" s="6" t="s">
        <v>132</v>
      </c>
      <c r="E131">
        <v>801</v>
      </c>
      <c r="F131">
        <v>1641</v>
      </c>
      <c r="G131">
        <v>147.6</v>
      </c>
      <c r="H131" s="1">
        <f t="shared" si="4"/>
        <v>8.994515539305302E-2</v>
      </c>
      <c r="I131" s="2">
        <f t="shared" si="5"/>
        <v>8.9945155393053025</v>
      </c>
      <c r="J131">
        <v>1614.8796498905906</v>
      </c>
    </row>
    <row r="132" spans="1:10" x14ac:dyDescent="0.25">
      <c r="A132">
        <v>2025</v>
      </c>
      <c r="B132" t="s">
        <v>130</v>
      </c>
      <c r="C132" t="s">
        <v>131</v>
      </c>
      <c r="D132" s="6" t="s">
        <v>132</v>
      </c>
      <c r="E132">
        <v>802</v>
      </c>
      <c r="F132">
        <v>911</v>
      </c>
      <c r="G132">
        <v>121</v>
      </c>
      <c r="H132" s="1">
        <f t="shared" si="4"/>
        <v>0.13282107574094401</v>
      </c>
      <c r="I132" s="2">
        <f t="shared" si="5"/>
        <v>13.2821075740944</v>
      </c>
      <c r="J132">
        <v>1323.851203501094</v>
      </c>
    </row>
    <row r="133" spans="1:10" x14ac:dyDescent="0.25">
      <c r="A133">
        <v>2025</v>
      </c>
      <c r="B133" t="s">
        <v>130</v>
      </c>
      <c r="C133" t="s">
        <v>135</v>
      </c>
      <c r="D133" s="6" t="s">
        <v>132</v>
      </c>
      <c r="E133">
        <v>803</v>
      </c>
      <c r="F133">
        <v>1403</v>
      </c>
      <c r="G133">
        <v>161.5</v>
      </c>
      <c r="H133" s="1">
        <f t="shared" si="4"/>
        <v>0.11511047754811118</v>
      </c>
      <c r="I133" s="2">
        <f t="shared" si="5"/>
        <v>11.511047754811118</v>
      </c>
      <c r="J133">
        <v>1766.9584245076585</v>
      </c>
    </row>
    <row r="134" spans="1:10" x14ac:dyDescent="0.25">
      <c r="A134">
        <v>2025</v>
      </c>
      <c r="B134" t="s">
        <v>130</v>
      </c>
      <c r="C134" t="s">
        <v>138</v>
      </c>
      <c r="D134" s="6" t="s">
        <v>132</v>
      </c>
      <c r="E134">
        <v>804</v>
      </c>
      <c r="F134">
        <v>1394</v>
      </c>
      <c r="G134">
        <v>137.6</v>
      </c>
      <c r="H134" s="1">
        <f t="shared" si="4"/>
        <v>9.8708751793400287E-2</v>
      </c>
      <c r="I134" s="2">
        <f t="shared" si="5"/>
        <v>9.8708751793400289</v>
      </c>
      <c r="J134">
        <v>1505.4704595185995</v>
      </c>
    </row>
    <row r="135" spans="1:10" x14ac:dyDescent="0.25">
      <c r="A135">
        <v>2025</v>
      </c>
      <c r="B135" t="s">
        <v>130</v>
      </c>
      <c r="C135" t="s">
        <v>134</v>
      </c>
      <c r="D135" s="6" t="s">
        <v>132</v>
      </c>
      <c r="E135">
        <v>805</v>
      </c>
      <c r="F135">
        <v>1436</v>
      </c>
      <c r="G135">
        <v>145.30000000000001</v>
      </c>
      <c r="H135" s="1">
        <f t="shared" si="4"/>
        <v>0.10118384401114207</v>
      </c>
      <c r="I135" s="2">
        <f t="shared" si="5"/>
        <v>10.118384401114207</v>
      </c>
      <c r="J135">
        <v>1589.7155361050329</v>
      </c>
    </row>
    <row r="136" spans="1:10" x14ac:dyDescent="0.25">
      <c r="A136">
        <v>2025</v>
      </c>
      <c r="B136" t="s">
        <v>130</v>
      </c>
      <c r="C136" t="s">
        <v>133</v>
      </c>
      <c r="D136" s="6" t="s">
        <v>132</v>
      </c>
      <c r="E136">
        <v>806</v>
      </c>
      <c r="F136">
        <v>1233</v>
      </c>
      <c r="G136">
        <v>178.9</v>
      </c>
      <c r="H136" s="1">
        <f t="shared" si="4"/>
        <v>0.14509326845093268</v>
      </c>
      <c r="I136" s="2">
        <f t="shared" si="5"/>
        <v>14.509326845093268</v>
      </c>
      <c r="J136">
        <v>1957.3304157549233</v>
      </c>
    </row>
    <row r="137" spans="1:10" x14ac:dyDescent="0.25">
      <c r="A137">
        <v>2025</v>
      </c>
      <c r="B137" t="s">
        <v>130</v>
      </c>
      <c r="C137" t="s">
        <v>136</v>
      </c>
      <c r="D137" s="6" t="s">
        <v>132</v>
      </c>
      <c r="E137">
        <v>807</v>
      </c>
      <c r="F137">
        <v>1772</v>
      </c>
      <c r="G137">
        <v>225</v>
      </c>
      <c r="H137" s="1">
        <f t="shared" ref="H137:H138" si="6">+G137/F137</f>
        <v>0.12697516930022573</v>
      </c>
      <c r="I137" s="2">
        <f t="shared" ref="I137:I138" si="7">+H137*100</f>
        <v>12.697516930022573</v>
      </c>
      <c r="J137">
        <v>2461.7067833698029</v>
      </c>
    </row>
    <row r="138" spans="1:10" x14ac:dyDescent="0.25">
      <c r="A138">
        <v>2025</v>
      </c>
      <c r="B138" t="s">
        <v>130</v>
      </c>
      <c r="C138" t="s">
        <v>137</v>
      </c>
      <c r="D138" s="6" t="s">
        <v>132</v>
      </c>
      <c r="E138">
        <v>808</v>
      </c>
      <c r="F138">
        <v>1070</v>
      </c>
      <c r="G138">
        <v>117.19999999999999</v>
      </c>
      <c r="H138" s="1">
        <f t="shared" si="6"/>
        <v>0.10953271028037383</v>
      </c>
      <c r="I138" s="2">
        <f t="shared" si="7"/>
        <v>10.953271028037383</v>
      </c>
      <c r="J138">
        <v>1282.2757111597371</v>
      </c>
    </row>
  </sheetData>
  <autoFilter ref="A1:F1" xr:uid="{AF5C3984-5116-481D-81B0-5209D5AC5FB1}">
    <sortState xmlns:xlrd2="http://schemas.microsoft.com/office/spreadsheetml/2017/richdata2" ref="A2:F72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Meira</dc:creator>
  <cp:lastModifiedBy>Martina Meira</cp:lastModifiedBy>
  <dcterms:created xsi:type="dcterms:W3CDTF">2026-05-20T20:04:17Z</dcterms:created>
  <dcterms:modified xsi:type="dcterms:W3CDTF">2026-05-26T20:53:29Z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2026-05-20T20:47:45Z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9ef53fa1-a8d9-485c-8169-0beff931b7a2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