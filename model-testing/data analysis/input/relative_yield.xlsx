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281417187380/WOPIServiceId_TP_BOX_2/WOPIUserId_-/"/>
    </mc:Choice>
  </mc:AlternateContent>
  <xr:revisionPtr revIDLastSave="109" documentId="8_{89F8CA57-0CC0-41D1-8B3F-332C4F588D62}" xr6:coauthVersionLast="47" xr6:coauthVersionMax="47" xr10:uidLastSave="{FD4410C0-6DD5-4956-9B53-8CBC7D91BB88}"/>
  <bookViews>
    <workbookView xWindow="28680" yWindow="-120" windowWidth="29040" windowHeight="15720" xr2:uid="{102E4068-1511-4ED2-BC59-2FADBD826B81}"/>
  </bookViews>
  <sheets>
    <sheet name="Sheet1" sheetId="1" r:id="rId1"/>
  </sheets>
  <externalReferences>
    <externalReference r:id="rId2"/>
  </externalReferences>
  <definedNames>
    <definedName name="_xlnm._FilterDatabase" localSheetId="0" hidden="1">Sheet1!$I$1:$N$1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2" i="1" l="1"/>
  <c r="F13" i="1"/>
  <c r="F14" i="1"/>
  <c r="F15" i="1"/>
  <c r="F16" i="1"/>
  <c r="F17" i="1"/>
  <c r="F18" i="1"/>
  <c r="F19" i="1"/>
  <c r="F20" i="1"/>
  <c r="F21" i="1"/>
  <c r="F22" i="1"/>
  <c r="E22" i="1"/>
  <c r="D22" i="1"/>
  <c r="E21" i="1"/>
  <c r="D21" i="1"/>
  <c r="E20" i="1"/>
  <c r="D20" i="1"/>
  <c r="E19" i="1"/>
  <c r="D19" i="1"/>
  <c r="E18" i="1"/>
  <c r="D18" i="1"/>
  <c r="D17" i="1"/>
  <c r="E17" i="1"/>
  <c r="E16" i="1"/>
  <c r="D16" i="1"/>
  <c r="E15" i="1"/>
  <c r="D15" i="1"/>
  <c r="E14" i="1"/>
  <c r="D14" i="1"/>
  <c r="D13" i="1"/>
  <c r="E13" i="1"/>
  <c r="D12" i="1"/>
  <c r="E12" i="1"/>
  <c r="F8" i="1"/>
  <c r="F9" i="1"/>
  <c r="F2" i="1"/>
  <c r="D11" i="1"/>
  <c r="F11" i="1" s="1"/>
  <c r="E11" i="1"/>
  <c r="E10" i="1"/>
  <c r="D10" i="1"/>
  <c r="F10" i="1" s="1"/>
  <c r="E9" i="1"/>
  <c r="D9" i="1"/>
  <c r="E8" i="1"/>
  <c r="D8" i="1"/>
  <c r="E7" i="1"/>
  <c r="D7" i="1"/>
  <c r="F7" i="1" s="1"/>
  <c r="E6" i="1"/>
  <c r="D6" i="1"/>
  <c r="F6" i="1" s="1"/>
  <c r="D5" i="1"/>
  <c r="E5" i="1"/>
  <c r="D4" i="1"/>
  <c r="E4" i="1"/>
  <c r="D3" i="1"/>
  <c r="F3" i="1" s="1"/>
  <c r="E3" i="1"/>
  <c r="F4" i="1" l="1"/>
  <c r="F5" i="1"/>
</calcChain>
</file>

<file path=xl/sharedStrings.xml><?xml version="1.0" encoding="utf-8"?>
<sst xmlns="http://schemas.openxmlformats.org/spreadsheetml/2006/main" count="96" uniqueCount="20">
  <si>
    <t>Year</t>
  </si>
  <si>
    <t>Harvest</t>
  </si>
  <si>
    <t>Genotype</t>
  </si>
  <si>
    <t>Yield_Irrig</t>
  </si>
  <si>
    <t>final</t>
  </si>
  <si>
    <t>P42A84E</t>
  </si>
  <si>
    <t> R19-42848</t>
  </si>
  <si>
    <t>P48A14E</t>
  </si>
  <si>
    <t>P52A14SE</t>
  </si>
  <si>
    <t>R19C-1012</t>
  </si>
  <si>
    <t>R18-14502</t>
  </si>
  <si>
    <t>R18C-13665</t>
  </si>
  <si>
    <t>R19-46252</t>
  </si>
  <si>
    <t>R19-45980</t>
  </si>
  <si>
    <t>PI471938</t>
  </si>
  <si>
    <t>PI548431</t>
  </si>
  <si>
    <t>PI603457A</t>
  </si>
  <si>
    <t>PI507408</t>
  </si>
  <si>
    <t>Relative_yield</t>
  </si>
  <si>
    <t>Yield_rainfed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</si>
</sst>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2129440723200/WOPIServiceId_TP_BOX_2/WOPIUserId_-/soybean_data_input.xlsx" TargetMode="External"/><Relationship Id="rId2" Type="http://schemas.openxmlformats.org/officeDocument/2006/relationships/externalLinkPath" Target="https://api.box.com/wopi/files/2129440723200/WOPIServiceId_TP_BOX_2/WOPIUserId_-/soybean_data_input.xlsx" TargetMode="External"/><Relationship Id="rId1" Type="http://schemas.openxmlformats.org/officeDocument/2006/relationships/externalLinkPath" Target="/wopi/files/2129440723200/WOPIServiceId_TP_BOX_2/WOPIUserId_-/soybean_data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adme"/>
      <sheetName val="genotypes"/>
      <sheetName val="2024-H2"/>
      <sheetName val="2024-H3"/>
      <sheetName val="2024-H4"/>
      <sheetName val="all"/>
      <sheetName val="%reduction"/>
      <sheetName val="2024-selected"/>
      <sheetName val="interaction_plots"/>
      <sheetName val="all mm"/>
      <sheetName val="Sheet3"/>
      <sheetName val="relative-yie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15">
          <cell r="O315">
            <v>1712.253829321663</v>
          </cell>
        </row>
        <row r="316">
          <cell r="F316">
            <v>1516.9584245076585</v>
          </cell>
          <cell r="O316">
            <v>2071.1159737417938</v>
          </cell>
        </row>
        <row r="317">
          <cell r="F317">
            <v>1430.5251641137854</v>
          </cell>
          <cell r="O317">
            <v>2659.7374179431072</v>
          </cell>
        </row>
        <row r="318">
          <cell r="F318">
            <v>1636.7614879649891</v>
          </cell>
          <cell r="O318">
            <v>3208.4245076586431</v>
          </cell>
        </row>
        <row r="319">
          <cell r="F319">
            <v>3729.7592997811817</v>
          </cell>
          <cell r="O319">
            <v>4084.7921225382929</v>
          </cell>
        </row>
        <row r="320">
          <cell r="F320">
            <v>4454.0481400437629</v>
          </cell>
          <cell r="O320">
            <v>4396.0612691466085</v>
          </cell>
        </row>
        <row r="321">
          <cell r="F321">
            <v>4184.9015317286648</v>
          </cell>
          <cell r="O321">
            <v>3795.404814004376</v>
          </cell>
        </row>
        <row r="322">
          <cell r="F322">
            <v>3667.3960612691467</v>
          </cell>
          <cell r="O322">
            <v>2227.5711159737416</v>
          </cell>
        </row>
        <row r="323">
          <cell r="F323">
            <v>4230.853391684901</v>
          </cell>
          <cell r="O323">
            <v>3780.087527352297</v>
          </cell>
        </row>
        <row r="324">
          <cell r="F324">
            <v>4126.9146608315095</v>
          </cell>
          <cell r="O324">
            <v>1944.2013129102843</v>
          </cell>
        </row>
        <row r="325">
          <cell r="F325">
            <v>2943.1072210065645</v>
          </cell>
          <cell r="O325">
            <v>2253.8293216630195</v>
          </cell>
        </row>
        <row r="327">
          <cell r="F327">
            <v>1447.4835886214441</v>
          </cell>
          <cell r="O327">
            <v>2461.7067833698029</v>
          </cell>
        </row>
        <row r="328">
          <cell r="F328">
            <v>1075.4923413566739</v>
          </cell>
          <cell r="O328">
            <v>2586.980306345733</v>
          </cell>
        </row>
        <row r="329">
          <cell r="F329">
            <v>1323.851203501094</v>
          </cell>
          <cell r="O329">
            <v>1802.5164113785556</v>
          </cell>
        </row>
        <row r="330">
          <cell r="F330">
            <v>1449.671772428884</v>
          </cell>
          <cell r="O330">
            <v>1916.8490153172868</v>
          </cell>
        </row>
        <row r="331">
          <cell r="F331">
            <v>1636.2144420131292</v>
          </cell>
          <cell r="O331">
            <v>4312.3632385120345</v>
          </cell>
        </row>
        <row r="332">
          <cell r="F332">
            <v>1796.4989059080965</v>
          </cell>
          <cell r="O332">
            <v>3689.2778993435445</v>
          </cell>
        </row>
        <row r="333">
          <cell r="F333">
            <v>5551.9693654266957</v>
          </cell>
          <cell r="O333">
            <v>3602.2975929978115</v>
          </cell>
        </row>
        <row r="334">
          <cell r="F334">
            <v>4379.1028446389491</v>
          </cell>
          <cell r="O334">
            <v>2908.0962800875277</v>
          </cell>
        </row>
        <row r="335">
          <cell r="F335">
            <v>4652.6258205689273</v>
          </cell>
          <cell r="O335">
            <v>3773.5229759299782</v>
          </cell>
        </row>
        <row r="336">
          <cell r="F336">
            <v>4701.3129102844641</v>
          </cell>
          <cell r="O336">
            <v>3145.5142231947484</v>
          </cell>
        </row>
        <row r="337">
          <cell r="F337">
            <v>4048.1400437636762</v>
          </cell>
          <cell r="O337">
            <v>3071.1159737417943</v>
          </cell>
        </row>
        <row r="338">
          <cell r="F338">
            <v>5472.6477024070027</v>
          </cell>
          <cell r="O338">
            <v>1404.8140043763678</v>
          </cell>
        </row>
        <row r="339">
          <cell r="F339">
            <v>4805.2516411378556</v>
          </cell>
          <cell r="O339">
            <v>1886.214442013129</v>
          </cell>
        </row>
        <row r="340">
          <cell r="O340">
            <v>1024.0700218818379</v>
          </cell>
        </row>
        <row r="341">
          <cell r="F341">
            <v>1195.8424507658642</v>
          </cell>
          <cell r="O341">
            <v>1282.2757111597371</v>
          </cell>
        </row>
        <row r="342">
          <cell r="O342">
            <v>1237.9649890590808</v>
          </cell>
        </row>
        <row r="343">
          <cell r="F343">
            <v>1957.3304157549233</v>
          </cell>
          <cell r="O343">
            <v>1647.1553610503283</v>
          </cell>
        </row>
        <row r="344">
          <cell r="F344">
            <v>1321.1159737417943</v>
          </cell>
          <cell r="O344">
            <v>1442.5601750547046</v>
          </cell>
        </row>
        <row r="345">
          <cell r="F345">
            <v>1613.785557986871</v>
          </cell>
          <cell r="O345">
            <v>4120.3501094091898</v>
          </cell>
        </row>
        <row r="346">
          <cell r="F346">
            <v>1548.1400437636764</v>
          </cell>
          <cell r="O346">
            <v>5253.2822757111599</v>
          </cell>
        </row>
        <row r="347">
          <cell r="F347">
            <v>3612.1444201312902</v>
          </cell>
          <cell r="O347">
            <v>4450.2188183807439</v>
          </cell>
        </row>
        <row r="348">
          <cell r="F348">
            <v>3242.34135667396</v>
          </cell>
          <cell r="O348">
            <v>3653.172866520787</v>
          </cell>
        </row>
        <row r="349">
          <cell r="F349">
            <v>4363.2385120350109</v>
          </cell>
          <cell r="O349">
            <v>4133.4792122538292</v>
          </cell>
        </row>
        <row r="350">
          <cell r="F350">
            <v>2508.7527352297593</v>
          </cell>
          <cell r="O350">
            <v>2398.2494529540481</v>
          </cell>
        </row>
        <row r="351">
          <cell r="F351">
            <v>2947.4835886214437</v>
          </cell>
          <cell r="O351">
            <v>3340.2625820568928</v>
          </cell>
        </row>
        <row r="352">
          <cell r="F352">
            <v>3653.172866520787</v>
          </cell>
          <cell r="O352">
            <v>1469.3654266958424</v>
          </cell>
        </row>
        <row r="353">
          <cell r="F353">
            <v>3567.8336980306344</v>
          </cell>
          <cell r="O353">
            <v>1578.7746170678338</v>
          </cell>
        </row>
        <row r="354">
          <cell r="F354">
            <v>1561.2691466083149</v>
          </cell>
        </row>
        <row r="355">
          <cell r="F355">
            <v>1100.6564551422318</v>
          </cell>
          <cell r="O355">
            <v>1614.8796498905906</v>
          </cell>
        </row>
        <row r="356">
          <cell r="F356">
            <v>1315.0984682713345</v>
          </cell>
          <cell r="O356">
            <v>1771.8818380743983</v>
          </cell>
        </row>
        <row r="357">
          <cell r="F357">
            <v>1589.7155361050329</v>
          </cell>
          <cell r="O357">
            <v>1438.1838074398249</v>
          </cell>
        </row>
        <row r="358">
          <cell r="F358">
            <v>952.95404814004382</v>
          </cell>
          <cell r="O358">
            <v>1861.0503282275711</v>
          </cell>
        </row>
        <row r="359">
          <cell r="F359">
            <v>1360.5032822757114</v>
          </cell>
          <cell r="O359">
            <v>2979.2122538293206</v>
          </cell>
        </row>
        <row r="360">
          <cell r="F360">
            <v>1736.870897155361</v>
          </cell>
          <cell r="O360">
            <v>4084.2450765864328</v>
          </cell>
        </row>
        <row r="361">
          <cell r="F361">
            <v>3164.1137855579868</v>
          </cell>
          <cell r="O361">
            <v>3345.1859956236299</v>
          </cell>
        </row>
        <row r="362">
          <cell r="F362">
            <v>3196.936542669584</v>
          </cell>
          <cell r="O362">
            <v>3669.5842450765858</v>
          </cell>
        </row>
        <row r="363">
          <cell r="F363">
            <v>2958.4245076586435</v>
          </cell>
          <cell r="O363">
            <v>3456.236323851203</v>
          </cell>
        </row>
        <row r="364">
          <cell r="F364">
            <v>1498.90590809628</v>
          </cell>
          <cell r="O364">
            <v>3731.9474835886213</v>
          </cell>
        </row>
        <row r="365">
          <cell r="F365">
            <v>1812.3632385120352</v>
          </cell>
          <cell r="O365">
            <v>3572.2100656455141</v>
          </cell>
        </row>
        <row r="366">
          <cell r="F366">
            <v>1681.0722100656455</v>
          </cell>
          <cell r="O366">
            <v>1645.5142231947482</v>
          </cell>
        </row>
        <row r="367">
          <cell r="F367">
            <v>3277.8993435448579</v>
          </cell>
          <cell r="O367">
            <v>1439.8249452954049</v>
          </cell>
        </row>
        <row r="368">
          <cell r="F368">
            <v>2572.7571115973742</v>
          </cell>
          <cell r="O368">
            <v>1669.5842450765861</v>
          </cell>
        </row>
        <row r="369">
          <cell r="F369">
            <v>4041.575492341356</v>
          </cell>
          <cell r="O369">
            <v>1505.4704595185995</v>
          </cell>
        </row>
        <row r="370">
          <cell r="F370">
            <v>856.12691466083152</v>
          </cell>
          <cell r="O370">
            <v>1450.2188183807439</v>
          </cell>
        </row>
        <row r="371">
          <cell r="F371">
            <v>586.43326039387307</v>
          </cell>
          <cell r="O371">
            <v>1684.9015317286651</v>
          </cell>
        </row>
        <row r="372">
          <cell r="F372">
            <v>691.46608315098479</v>
          </cell>
          <cell r="O372">
            <v>2449.1247264770241</v>
          </cell>
        </row>
        <row r="373">
          <cell r="O373">
            <v>3928.3369803063447</v>
          </cell>
        </row>
        <row r="374">
          <cell r="O374">
            <v>4579.8687089715531</v>
          </cell>
        </row>
        <row r="375">
          <cell r="F375">
            <v>2442.5601750547044</v>
          </cell>
          <cell r="O375">
            <v>3097.3741794310722</v>
          </cell>
        </row>
        <row r="376">
          <cell r="F376">
            <v>910.83150984682698</v>
          </cell>
          <cell r="O376">
            <v>3146.6083150984682</v>
          </cell>
        </row>
        <row r="377">
          <cell r="F377">
            <v>894.96717724288851</v>
          </cell>
          <cell r="O377">
            <v>3010.9409190371989</v>
          </cell>
        </row>
        <row r="378">
          <cell r="F378">
            <v>1155.9080962800874</v>
          </cell>
          <cell r="O378">
            <v>3595.1859956236322</v>
          </cell>
        </row>
        <row r="379">
          <cell r="F379">
            <v>2830.9628008752738</v>
          </cell>
          <cell r="O379">
            <v>3799.7811816192557</v>
          </cell>
        </row>
        <row r="380">
          <cell r="F380">
            <v>3094.6389496717725</v>
          </cell>
          <cell r="O380">
            <v>1178.3369803063456</v>
          </cell>
        </row>
        <row r="381">
          <cell r="F381">
            <v>2670.6783369803061</v>
          </cell>
          <cell r="O381">
            <v>1096.2800875273522</v>
          </cell>
        </row>
        <row r="383">
          <cell r="O383">
            <v>1766.9584245076585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87DEB-A676-4DBF-BC0D-B7893D68CA3E}">
  <dimension ref="A1:N22"/>
  <sheetViews>
    <sheetView tabSelected="1" zoomScale="130" zoomScaleNormal="130" workbookViewId="0">
      <selection activeCell="N2" sqref="N2:N22"/>
    </sheetView>
  </sheetViews>
  <sheetFormatPr defaultRowHeight="15" x14ac:dyDescent="0.25"/>
  <cols>
    <col min="3" max="3" width="10.28515625" bestFit="1" customWidth="1"/>
    <col min="4" max="4" width="12" bestFit="1" customWidth="1"/>
    <col min="5" max="5" width="12.28515625" bestFit="1" customWidth="1"/>
    <col min="6" max="6" width="12.85546875" bestFit="1" customWidth="1"/>
    <col min="11" max="11" width="11.85546875" bestFit="1" customWidth="1"/>
    <col min="12" max="14" width="13.140625" bestFit="1" customWidth="1"/>
  </cols>
  <sheetData>
    <row r="1" spans="1:14" x14ac:dyDescent="0.25">
      <c r="A1" t="s">
        <v>0</v>
      </c>
      <c r="B1" t="s">
        <v>1</v>
      </c>
      <c r="C1" s="1" t="s">
        <v>2</v>
      </c>
      <c r="D1" t="s">
        <v>3</v>
      </c>
      <c r="E1" t="s">
        <v>19</v>
      </c>
      <c r="F1" t="s">
        <v>18</v>
      </c>
      <c r="I1" s="2" t="s">
        <v>0</v>
      </c>
      <c r="J1" s="2" t="s">
        <v>1</v>
      </c>
      <c r="K1" s="2" t="s">
        <v>2</v>
      </c>
      <c r="L1" s="2" t="s">
        <v>3</v>
      </c>
      <c r="M1" s="2" t="s">
        <v>19</v>
      </c>
      <c r="N1" s="2" t="s">
        <v>18</v>
      </c>
    </row>
    <row r="2" spans="1:14" x14ac:dyDescent="0.25">
      <c r="A2">
        <v>2025</v>
      </c>
      <c r="B2" t="s">
        <v>4</v>
      </c>
      <c r="C2" t="s">
        <v>6</v>
      </c>
      <c r="D2">
        <v>3095.1859956236322</v>
      </c>
      <c r="F2">
        <f>+D2-E2</f>
        <v>3095.1859956236322</v>
      </c>
      <c r="I2">
        <v>2025</v>
      </c>
      <c r="J2" t="s">
        <v>4</v>
      </c>
      <c r="K2" t="s">
        <v>10</v>
      </c>
      <c r="L2">
        <v>3549.7811816192561</v>
      </c>
      <c r="M2">
        <v>2219.9124726477025</v>
      </c>
      <c r="N2">
        <v>1329.8687089715536</v>
      </c>
    </row>
    <row r="3" spans="1:14" x14ac:dyDescent="0.25">
      <c r="A3">
        <v>2024</v>
      </c>
      <c r="B3" t="s">
        <v>4</v>
      </c>
      <c r="C3" t="s">
        <v>5</v>
      </c>
      <c r="D3">
        <f>+AVERAGE('[1]relative-yield'!$F$319:$F$321)</f>
        <v>4122.9029905178695</v>
      </c>
      <c r="E3">
        <f>+AVERAGE('[1]relative-yield'!$F$316:$F$318)</f>
        <v>1528.0816921954777</v>
      </c>
      <c r="F3">
        <f t="shared" ref="F3:F22" si="0">+D3-E3</f>
        <v>2594.8212983223921</v>
      </c>
      <c r="I3">
        <v>2024</v>
      </c>
      <c r="J3" t="s">
        <v>4</v>
      </c>
      <c r="K3" t="s">
        <v>10</v>
      </c>
      <c r="L3">
        <v>3317.6513493800144</v>
      </c>
      <c r="M3">
        <v>1891.6849015317284</v>
      </c>
      <c r="N3">
        <v>1425.966447848286</v>
      </c>
    </row>
    <row r="4" spans="1:14" x14ac:dyDescent="0.25">
      <c r="A4">
        <v>2025</v>
      </c>
      <c r="B4" t="s">
        <v>4</v>
      </c>
      <c r="C4" t="s">
        <v>5</v>
      </c>
      <c r="D4">
        <f>+AVERAGE('[1]relative-yield'!$F$322:$F$325)</f>
        <v>3742.0678336980304</v>
      </c>
      <c r="E4">
        <f>+AVERAGE('[1]relative-yield'!$F$327:$F$329)</f>
        <v>1282.2757111597373</v>
      </c>
      <c r="F4">
        <f t="shared" si="0"/>
        <v>2459.7921225382934</v>
      </c>
      <c r="I4">
        <v>2024</v>
      </c>
      <c r="J4" t="s">
        <v>4</v>
      </c>
      <c r="K4" t="s">
        <v>17</v>
      </c>
      <c r="L4">
        <v>3297.4106491611965</v>
      </c>
      <c r="M4">
        <v>1664.1137855579871</v>
      </c>
      <c r="N4">
        <v>1633.2968636032094</v>
      </c>
    </row>
    <row r="5" spans="1:14" x14ac:dyDescent="0.25">
      <c r="A5">
        <v>2024</v>
      </c>
      <c r="B5" t="s">
        <v>4</v>
      </c>
      <c r="C5" t="s">
        <v>7</v>
      </c>
      <c r="D5">
        <f>+AVERAGE('[1]relative-yield'!$F$333:$F$335)</f>
        <v>4861.2326768781904</v>
      </c>
      <c r="E5">
        <f>+AVERAGE('[1]relative-yield'!$F$330:$F$332)</f>
        <v>1627.4617067833699</v>
      </c>
      <c r="F5">
        <f t="shared" si="0"/>
        <v>3233.7709700948208</v>
      </c>
      <c r="I5">
        <v>2024</v>
      </c>
      <c r="J5" t="s">
        <v>4</v>
      </c>
      <c r="K5" t="s">
        <v>15</v>
      </c>
      <c r="L5">
        <v>2442.5601750547044</v>
      </c>
      <c r="M5">
        <v>711.34208606856316</v>
      </c>
      <c r="N5">
        <v>1731.2180889861411</v>
      </c>
    </row>
    <row r="6" spans="1:14" x14ac:dyDescent="0.25">
      <c r="A6">
        <v>2025</v>
      </c>
      <c r="B6" t="s">
        <v>4</v>
      </c>
      <c r="C6" t="s">
        <v>7</v>
      </c>
      <c r="D6">
        <f>+AVERAGE('[1]relative-yield'!$F$336:$F$339)</f>
        <v>4756.8380743982498</v>
      </c>
      <c r="E6">
        <f>+AVERAGE('[1]relative-yield'!$F$340:$F$343)</f>
        <v>1576.5864332603937</v>
      </c>
      <c r="F6">
        <f t="shared" si="0"/>
        <v>3180.251641137856</v>
      </c>
      <c r="I6">
        <v>2024</v>
      </c>
      <c r="J6" t="s">
        <v>4</v>
      </c>
      <c r="K6" t="s">
        <v>14</v>
      </c>
      <c r="L6">
        <v>3106.4916119620716</v>
      </c>
      <c r="M6">
        <v>1350.1094091903722</v>
      </c>
      <c r="N6">
        <v>1756.3822027716994</v>
      </c>
    </row>
    <row r="7" spans="1:14" x14ac:dyDescent="0.25">
      <c r="A7">
        <v>2024</v>
      </c>
      <c r="B7" t="s">
        <v>4</v>
      </c>
      <c r="C7" t="s">
        <v>8</v>
      </c>
      <c r="D7">
        <f>+AVERAGE('[1]relative-yield'!$F$347:$F$349)</f>
        <v>3739.2414296134207</v>
      </c>
      <c r="E7">
        <f>+AVERAGE('[1]relative-yield'!$F$344:$F$346)</f>
        <v>1494.3471918307805</v>
      </c>
      <c r="F7">
        <f t="shared" si="0"/>
        <v>2244.8942377826402</v>
      </c>
      <c r="I7">
        <v>2024</v>
      </c>
      <c r="J7" t="s">
        <v>4</v>
      </c>
      <c r="K7" t="s">
        <v>11</v>
      </c>
      <c r="L7">
        <v>3867.9795769511297</v>
      </c>
      <c r="M7">
        <v>2102.1152443471919</v>
      </c>
      <c r="N7">
        <v>1765.8643326039378</v>
      </c>
    </row>
    <row r="8" spans="1:14" x14ac:dyDescent="0.25">
      <c r="A8">
        <v>2025</v>
      </c>
      <c r="B8" t="s">
        <v>4</v>
      </c>
      <c r="C8" t="s">
        <v>8</v>
      </c>
      <c r="D8">
        <f>+AVERAGE('[1]relative-yield'!$F$350:$F$353)</f>
        <v>3169.3107221006558</v>
      </c>
      <c r="E8">
        <f>+AVERAGE('[1]relative-yield'!$F$354:$F$357)</f>
        <v>1391.6849015317284</v>
      </c>
      <c r="F8">
        <f t="shared" si="0"/>
        <v>1777.6258205689273</v>
      </c>
      <c r="I8">
        <v>2025</v>
      </c>
      <c r="J8" t="s">
        <v>4</v>
      </c>
      <c r="K8" t="s">
        <v>8</v>
      </c>
      <c r="L8">
        <v>3169.3107221006558</v>
      </c>
      <c r="M8">
        <v>1391.6849015317284</v>
      </c>
      <c r="N8">
        <v>1777.6258205689273</v>
      </c>
    </row>
    <row r="9" spans="1:14" x14ac:dyDescent="0.25">
      <c r="A9">
        <v>2024</v>
      </c>
      <c r="B9" t="s">
        <v>4</v>
      </c>
      <c r="C9" t="s">
        <v>14</v>
      </c>
      <c r="D9">
        <f>+AVERAGE('[1]relative-yield'!$F$361:$F$363)</f>
        <v>3106.4916119620716</v>
      </c>
      <c r="E9">
        <f>+AVERAGE('[1]relative-yield'!$F$358:$F$360)</f>
        <v>1350.1094091903722</v>
      </c>
      <c r="F9">
        <f t="shared" si="0"/>
        <v>1756.3822027716994</v>
      </c>
      <c r="I9">
        <v>2024</v>
      </c>
      <c r="J9" t="s">
        <v>4</v>
      </c>
      <c r="K9" t="s">
        <v>12</v>
      </c>
      <c r="L9">
        <v>3469.5477753464606</v>
      </c>
      <c r="M9">
        <v>1690.371991247265</v>
      </c>
      <c r="N9">
        <v>1779.1757840991957</v>
      </c>
    </row>
    <row r="10" spans="1:14" x14ac:dyDescent="0.25">
      <c r="A10">
        <v>2024</v>
      </c>
      <c r="B10" t="s">
        <v>4</v>
      </c>
      <c r="C10" t="s">
        <v>17</v>
      </c>
      <c r="D10">
        <f>+AVERAGE('[1]relative-yield'!$F$367:$F$369)</f>
        <v>3297.4106491611965</v>
      </c>
      <c r="E10">
        <f>+AVERAGE('[1]relative-yield'!$F$364:$F$366)</f>
        <v>1664.1137855579871</v>
      </c>
      <c r="F10">
        <f t="shared" si="0"/>
        <v>1633.2968636032094</v>
      </c>
      <c r="I10">
        <v>2025</v>
      </c>
      <c r="J10" t="s">
        <v>4</v>
      </c>
      <c r="K10" t="s">
        <v>11</v>
      </c>
      <c r="L10">
        <v>3224.5623632385123</v>
      </c>
      <c r="M10">
        <v>1399.3435448577679</v>
      </c>
      <c r="N10">
        <v>1825.2188183807443</v>
      </c>
    </row>
    <row r="11" spans="1:14" x14ac:dyDescent="0.25">
      <c r="A11">
        <v>2024</v>
      </c>
      <c r="B11" t="s">
        <v>4</v>
      </c>
      <c r="C11" t="s">
        <v>15</v>
      </c>
      <c r="D11">
        <f>+'[1]relative-yield'!$F$375</f>
        <v>2442.5601750547044</v>
      </c>
      <c r="E11">
        <f>+AVERAGE('[1]relative-yield'!$F$370:$F$372)</f>
        <v>711.34208606856316</v>
      </c>
      <c r="F11">
        <f t="shared" si="0"/>
        <v>1731.2180889861411</v>
      </c>
      <c r="I11">
        <v>2025</v>
      </c>
      <c r="J11" t="s">
        <v>4</v>
      </c>
      <c r="K11" t="s">
        <v>13</v>
      </c>
      <c r="L11">
        <v>3381.2910284463896</v>
      </c>
      <c r="M11">
        <v>1554.3398978847556</v>
      </c>
      <c r="N11">
        <v>1826.951130561634</v>
      </c>
    </row>
    <row r="12" spans="1:14" x14ac:dyDescent="0.25">
      <c r="A12">
        <v>2024</v>
      </c>
      <c r="B12" t="s">
        <v>4</v>
      </c>
      <c r="C12" t="s">
        <v>16</v>
      </c>
      <c r="D12">
        <f>+AVERAGE('[1]relative-yield'!$F$379:$F$381)</f>
        <v>2865.426695842451</v>
      </c>
      <c r="E12">
        <f>+AVERAGE('[1]relative-yield'!$F$376:$F$378)</f>
        <v>987.23559445660101</v>
      </c>
      <c r="F12">
        <f t="shared" si="0"/>
        <v>1878.1911013858498</v>
      </c>
      <c r="I12">
        <v>2024</v>
      </c>
      <c r="J12" t="s">
        <v>4</v>
      </c>
      <c r="K12" t="s">
        <v>16</v>
      </c>
      <c r="L12">
        <v>2865.426695842451</v>
      </c>
      <c r="M12">
        <v>987.23559445660101</v>
      </c>
      <c r="N12">
        <v>1878.1911013858498</v>
      </c>
    </row>
    <row r="13" spans="1:14" x14ac:dyDescent="0.25">
      <c r="A13">
        <v>2024</v>
      </c>
      <c r="B13" t="s">
        <v>4</v>
      </c>
      <c r="C13" t="s">
        <v>10</v>
      </c>
      <c r="D13">
        <f>+AVERAGE('[1]relative-yield'!$O$317:$O$319)</f>
        <v>3317.6513493800144</v>
      </c>
      <c r="E13">
        <f>+AVERAGE('[1]relative-yield'!$O$314:$O$316)</f>
        <v>1891.6849015317284</v>
      </c>
      <c r="F13">
        <f t="shared" si="0"/>
        <v>1425.966447848286</v>
      </c>
      <c r="I13">
        <v>2024</v>
      </c>
      <c r="J13" t="s">
        <v>4</v>
      </c>
      <c r="K13" t="s">
        <v>9</v>
      </c>
      <c r="L13">
        <v>3868.5266229029899</v>
      </c>
      <c r="M13">
        <v>1861.4150255288107</v>
      </c>
      <c r="N13">
        <v>2007.1115973741792</v>
      </c>
    </row>
    <row r="14" spans="1:14" x14ac:dyDescent="0.25">
      <c r="A14">
        <v>2025</v>
      </c>
      <c r="B14" t="s">
        <v>4</v>
      </c>
      <c r="C14" t="s">
        <v>10</v>
      </c>
      <c r="D14">
        <f>+AVERAGE('[1]relative-yield'!$O$320:$O$323)</f>
        <v>3549.7811816192561</v>
      </c>
      <c r="E14">
        <f>+AVERAGE('[1]relative-yield'!$O$324:$O$327)</f>
        <v>2219.9124726477025</v>
      </c>
      <c r="F14">
        <f t="shared" si="0"/>
        <v>1329.8687089715536</v>
      </c>
      <c r="I14">
        <v>2025</v>
      </c>
      <c r="J14" t="s">
        <v>4</v>
      </c>
      <c r="K14" t="s">
        <v>9</v>
      </c>
      <c r="L14">
        <v>3388.1291028446385</v>
      </c>
      <c r="M14">
        <v>1347.1918307804519</v>
      </c>
      <c r="N14">
        <v>2040.9372720641866</v>
      </c>
    </row>
    <row r="15" spans="1:14" x14ac:dyDescent="0.25">
      <c r="A15">
        <v>2024</v>
      </c>
      <c r="B15" t="s">
        <v>4</v>
      </c>
      <c r="C15" t="s">
        <v>11</v>
      </c>
      <c r="D15">
        <f>+AVERAGE('[1]relative-yield'!$O$331:$O$333)</f>
        <v>3867.9795769511297</v>
      </c>
      <c r="E15">
        <f>+AVERAGE('[1]relative-yield'!$O$328:$O$330)</f>
        <v>2102.1152443471919</v>
      </c>
      <c r="F15">
        <f t="shared" si="0"/>
        <v>1765.8643326039378</v>
      </c>
      <c r="I15">
        <v>2025</v>
      </c>
      <c r="J15" t="s">
        <v>4</v>
      </c>
      <c r="K15" t="s">
        <v>12</v>
      </c>
      <c r="L15">
        <v>3607.4945295404814</v>
      </c>
      <c r="M15">
        <v>1565.0984682713347</v>
      </c>
      <c r="N15">
        <v>2042.3960612691467</v>
      </c>
    </row>
    <row r="16" spans="1:14" x14ac:dyDescent="0.25">
      <c r="A16">
        <v>2025</v>
      </c>
      <c r="B16" t="s">
        <v>4</v>
      </c>
      <c r="C16" t="s">
        <v>11</v>
      </c>
      <c r="D16">
        <f>+AVERAGE('[1]relative-yield'!$O$334:$O$337)</f>
        <v>3224.5623632385123</v>
      </c>
      <c r="E16">
        <f>+AVERAGE('[1]relative-yield'!$O$338:$O$341)</f>
        <v>1399.3435448577679</v>
      </c>
      <c r="F16">
        <f t="shared" si="0"/>
        <v>1825.2188183807443</v>
      </c>
      <c r="I16">
        <v>2024</v>
      </c>
      <c r="J16" t="s">
        <v>4</v>
      </c>
      <c r="K16" t="s">
        <v>8</v>
      </c>
      <c r="L16">
        <v>3739.2414296134207</v>
      </c>
      <c r="M16">
        <v>1494.3471918307805</v>
      </c>
      <c r="N16">
        <v>2244.8942377826402</v>
      </c>
    </row>
    <row r="17" spans="1:14" x14ac:dyDescent="0.25">
      <c r="A17">
        <v>2024</v>
      </c>
      <c r="B17" t="s">
        <v>4</v>
      </c>
      <c r="C17" t="s">
        <v>13</v>
      </c>
      <c r="D17">
        <f>+AVERAGE('[1]relative-yield'!$O$345:$O$347)</f>
        <v>4607.9504011670315</v>
      </c>
      <c r="E17">
        <f>+AVERAGE('[1]relative-yield'!$O$342:$O$344)</f>
        <v>1442.5601750547046</v>
      </c>
      <c r="F17">
        <f t="shared" si="0"/>
        <v>3165.3902261123267</v>
      </c>
      <c r="I17">
        <v>2025</v>
      </c>
      <c r="J17" t="s">
        <v>4</v>
      </c>
      <c r="K17" t="s">
        <v>5</v>
      </c>
      <c r="L17">
        <v>3742.0678336980304</v>
      </c>
      <c r="M17">
        <v>1282.2757111597373</v>
      </c>
      <c r="N17">
        <v>2459.7921225382934</v>
      </c>
    </row>
    <row r="18" spans="1:14" x14ac:dyDescent="0.25">
      <c r="A18">
        <v>2025</v>
      </c>
      <c r="B18" t="s">
        <v>4</v>
      </c>
      <c r="C18" t="s">
        <v>13</v>
      </c>
      <c r="D18">
        <f>+AVERAGE('[1]relative-yield'!$O$348:$O$351)</f>
        <v>3381.2910284463896</v>
      </c>
      <c r="E18">
        <f>+AVERAGE('[1]relative-yield'!$O$352:$O$355)</f>
        <v>1554.3398978847556</v>
      </c>
      <c r="F18">
        <f t="shared" si="0"/>
        <v>1826.951130561634</v>
      </c>
      <c r="I18">
        <v>2024</v>
      </c>
      <c r="J18" t="s">
        <v>4</v>
      </c>
      <c r="K18" t="s">
        <v>5</v>
      </c>
      <c r="L18">
        <v>4122.9029905178695</v>
      </c>
      <c r="M18">
        <v>1528.0816921954777</v>
      </c>
      <c r="N18">
        <v>2594.8212983223921</v>
      </c>
    </row>
    <row r="19" spans="1:14" x14ac:dyDescent="0.25">
      <c r="A19">
        <v>2024</v>
      </c>
      <c r="B19" t="s">
        <v>4</v>
      </c>
      <c r="C19" t="s">
        <v>12</v>
      </c>
      <c r="D19">
        <f>+AVERAGE('[1]relative-yield'!$O$359:$O$361)</f>
        <v>3469.5477753464606</v>
      </c>
      <c r="E19">
        <f>+AVERAGE('[1]relative-yield'!$O$356:$O$358)</f>
        <v>1690.371991247265</v>
      </c>
      <c r="F19">
        <f t="shared" si="0"/>
        <v>1779.1757840991957</v>
      </c>
      <c r="I19">
        <v>2025</v>
      </c>
      <c r="J19" t="s">
        <v>4</v>
      </c>
      <c r="K19" t="s">
        <v>6</v>
      </c>
      <c r="L19">
        <v>3095.1859956236322</v>
      </c>
      <c r="N19">
        <v>3095.1859956236322</v>
      </c>
    </row>
    <row r="20" spans="1:14" x14ac:dyDescent="0.25">
      <c r="A20">
        <v>2025</v>
      </c>
      <c r="B20" t="s">
        <v>4</v>
      </c>
      <c r="C20" t="s">
        <v>12</v>
      </c>
      <c r="D20">
        <f>+AVERAGE('[1]relative-yield'!$O$362:$O$365)</f>
        <v>3607.4945295404814</v>
      </c>
      <c r="E20">
        <f>+AVERAGE('[1]relative-yield'!$O$366:$O$369)</f>
        <v>1565.0984682713347</v>
      </c>
      <c r="F20">
        <f t="shared" si="0"/>
        <v>2042.3960612691467</v>
      </c>
      <c r="I20">
        <v>2024</v>
      </c>
      <c r="J20" t="s">
        <v>4</v>
      </c>
      <c r="K20" t="s">
        <v>13</v>
      </c>
      <c r="L20">
        <v>4607.9504011670315</v>
      </c>
      <c r="M20">
        <v>1442.5601750547046</v>
      </c>
      <c r="N20">
        <v>3165.3902261123267</v>
      </c>
    </row>
    <row r="21" spans="1:14" x14ac:dyDescent="0.25">
      <c r="A21">
        <v>2024</v>
      </c>
      <c r="B21" t="s">
        <v>4</v>
      </c>
      <c r="C21" t="s">
        <v>9</v>
      </c>
      <c r="D21">
        <f>+AVERAGE('[1]relative-yield'!$O$373:$O$375)</f>
        <v>3868.5266229029899</v>
      </c>
      <c r="E21">
        <f>+AVERAGE('[1]relative-yield'!$O$370:$O$372)</f>
        <v>1861.4150255288107</v>
      </c>
      <c r="F21">
        <f t="shared" si="0"/>
        <v>2007.1115973741792</v>
      </c>
      <c r="I21">
        <v>2025</v>
      </c>
      <c r="J21" t="s">
        <v>4</v>
      </c>
      <c r="K21" t="s">
        <v>7</v>
      </c>
      <c r="L21">
        <v>4756.8380743982498</v>
      </c>
      <c r="M21">
        <v>1576.5864332603937</v>
      </c>
      <c r="N21">
        <v>3180.251641137856</v>
      </c>
    </row>
    <row r="22" spans="1:14" x14ac:dyDescent="0.25">
      <c r="A22">
        <v>2025</v>
      </c>
      <c r="B22" t="s">
        <v>4</v>
      </c>
      <c r="C22" t="s">
        <v>9</v>
      </c>
      <c r="D22">
        <f>+AVERAGE('[1]relative-yield'!$O$376:$O$379)</f>
        <v>3388.1291028446385</v>
      </c>
      <c r="E22">
        <f>+AVERAGE('[1]relative-yield'!$O$380:$O$383)</f>
        <v>1347.1918307804519</v>
      </c>
      <c r="F22">
        <f t="shared" si="0"/>
        <v>2040.9372720641866</v>
      </c>
      <c r="I22">
        <v>2024</v>
      </c>
      <c r="J22" t="s">
        <v>4</v>
      </c>
      <c r="K22" t="s">
        <v>7</v>
      </c>
      <c r="L22">
        <v>4861.2326768781904</v>
      </c>
      <c r="M22">
        <v>1627.4617067833699</v>
      </c>
      <c r="N22">
        <v>3233.7709700948208</v>
      </c>
    </row>
  </sheetData>
  <autoFilter ref="I1:N1" xr:uid="{3DE87DEB-A676-4DBF-BC0D-B7893D68CA3E}">
    <sortState xmlns:xlrd2="http://schemas.microsoft.com/office/spreadsheetml/2017/richdata2" ref="I2:N22">
      <sortCondition ref="N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Meira</dc:creator>
  <cp:lastModifiedBy>Martina Meira</cp:lastModifiedBy>
  <dcterms:created xsi:type="dcterms:W3CDTF">2026-06-12T14:57:53Z</dcterms:created>
  <dcterms:modified xsi:type="dcterms:W3CDTF">2026-06-12T16:18:28Z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70d0e1-5e3d-4557-a9f8-84d8494b9cc8_Enabled">
    <vt:lpwstr>true</vt:lpwstr>
  </property>
  <property fmtid="{D5CDD505-2E9C-101B-9397-08002B2CF9AE}" pid="3" name="MSIP_Label_0570d0e1-5e3d-4557-a9f8-84d8494b9cc8_SetDate">
    <vt:lpwstr>2026-06-12T15:00:42Z</vt:lpwstr>
  </property>
  <property fmtid="{D5CDD505-2E9C-101B-9397-08002B2CF9AE}" pid="4" name="MSIP_Label_0570d0e1-5e3d-4557-a9f8-84d8494b9cc8_Method">
    <vt:lpwstr>Standard</vt:lpwstr>
  </property>
  <property fmtid="{D5CDD505-2E9C-101B-9397-08002B2CF9AE}" pid="5" name="MSIP_Label_0570d0e1-5e3d-4557-a9f8-84d8494b9cc8_Name">
    <vt:lpwstr>Public Data</vt:lpwstr>
  </property>
  <property fmtid="{D5CDD505-2E9C-101B-9397-08002B2CF9AE}" pid="6" name="MSIP_Label_0570d0e1-5e3d-4557-a9f8-84d8494b9cc8_SiteId">
    <vt:lpwstr>174d954f-585e-40c3-ae1c-01ada5f26723</vt:lpwstr>
  </property>
  <property fmtid="{D5CDD505-2E9C-101B-9397-08002B2CF9AE}" pid="7" name="MSIP_Label_0570d0e1-5e3d-4557-a9f8-84d8494b9cc8_ActionId">
    <vt:lpwstr>0ba95931-0408-4c59-a9f4-fd1bc8f97cd5</vt:lpwstr>
  </property>
  <property fmtid="{D5CDD505-2E9C-101B-9397-08002B2CF9AE}" pid="8" name="MSIP_Label_0570d0e1-5e3d-4557-a9f8-84d8494b9cc8_ContentBits">
    <vt:lpwstr>0</vt:lpwstr>
  </property>
  <property fmtid="{D5CDD505-2E9C-101B-9397-08002B2CF9AE}" pid="9" name="MSIP_Label_0570d0e1-5e3d-4557-a9f8-84d8494b9cc8_Tag">
    <vt:lpwstr>10, 3, 0, 1</vt:lpwstr>
  </property>
</Properties>
</file>