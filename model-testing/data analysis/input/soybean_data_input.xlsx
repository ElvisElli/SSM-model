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29440723200/WOPIServiceId_TP_BOX_2/WOPIUserId_-/"/>
    </mc:Choice>
  </mc:AlternateContent>
  <xr:revisionPtr revIDLastSave="1550" documentId="13_ncr:1_{FD57D5AB-30A2-4454-A064-0E1E769E1BCA}" xr6:coauthVersionLast="47" xr6:coauthVersionMax="47" xr10:uidLastSave="{B3CC1C33-C89D-4EB7-90C8-3DA040A3F598}"/>
  <bookViews>
    <workbookView xWindow="28680" yWindow="-120" windowWidth="29040" windowHeight="15720" firstSheet="3" activeTab="12" xr2:uid="{BE26EEED-19F2-476F-B7F6-386664A07AB9}"/>
  </bookViews>
  <sheets>
    <sheet name="readme" sheetId="3" r:id="rId1"/>
    <sheet name="genotypes" sheetId="4" r:id="rId2"/>
    <sheet name="2024-H2" sheetId="6" r:id="rId3"/>
    <sheet name="2024-H3" sheetId="7" r:id="rId4"/>
    <sheet name="2024-H4" sheetId="8" r:id="rId5"/>
    <sheet name="all" sheetId="1" r:id="rId6"/>
    <sheet name="%reduction" sheetId="12" r:id="rId7"/>
    <sheet name="2024-selected" sheetId="10" r:id="rId8"/>
    <sheet name="interaction_plots" sheetId="11" r:id="rId9"/>
    <sheet name="all mm" sheetId="5" r:id="rId10"/>
    <sheet name="Sheet3" sheetId="15" r:id="rId11"/>
    <sheet name="relative-yield" sheetId="16" r:id="rId12"/>
    <sheet name="relative_yield" sheetId="17" r:id="rId13"/>
  </sheets>
  <definedNames>
    <definedName name="_xlnm._FilterDatabase" localSheetId="5" hidden="1">all!$A$1:$AI$667</definedName>
    <definedName name="_xlnm._FilterDatabase" localSheetId="9" hidden="1">'all mm'!$A$1:$AG$667</definedName>
    <definedName name="_xlnm._FilterDatabase" localSheetId="0" hidden="1">readme!$R$6:$U$6</definedName>
    <definedName name="_xlnm._FilterDatabase" localSheetId="12" hidden="1">relative_yield!$I$1:$N$1</definedName>
    <definedName name="_xlnm._FilterDatabase" localSheetId="11" hidden="1">'relative-yield'!$A$1:$F$667</definedName>
    <definedName name="_xlnm._FilterDatabase" localSheetId="10" hidden="1">Sheet3!$A$1:$H$1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7" l="1"/>
  <c r="F2" i="17"/>
  <c r="D3" i="17"/>
  <c r="F3" i="17" s="1"/>
  <c r="E3" i="17"/>
  <c r="D4" i="17"/>
  <c r="E4" i="17"/>
  <c r="F4" i="17"/>
  <c r="D5" i="17"/>
  <c r="E5" i="17"/>
  <c r="F5" i="17"/>
  <c r="D6" i="17"/>
  <c r="F6" i="17" s="1"/>
  <c r="E6" i="17"/>
  <c r="D7" i="17"/>
  <c r="F7" i="17" s="1"/>
  <c r="E7" i="17"/>
  <c r="D8" i="17"/>
  <c r="E8" i="17"/>
  <c r="F8" i="17"/>
  <c r="D9" i="17"/>
  <c r="E9" i="17"/>
  <c r="F9" i="17"/>
  <c r="D10" i="17"/>
  <c r="E10" i="17"/>
  <c r="F10" i="17"/>
  <c r="D11" i="17"/>
  <c r="E11" i="17"/>
  <c r="F11" i="17"/>
  <c r="D12" i="17"/>
  <c r="F12" i="17" s="1"/>
  <c r="E12" i="17"/>
  <c r="D13" i="17"/>
  <c r="E13" i="17"/>
  <c r="F13" i="17"/>
  <c r="D14" i="17"/>
  <c r="E14" i="17"/>
  <c r="F14" i="17"/>
  <c r="D15" i="17"/>
  <c r="E15" i="17"/>
  <c r="F15" i="17"/>
  <c r="D16" i="17"/>
  <c r="F16" i="17" s="1"/>
  <c r="E16" i="17"/>
  <c r="D17" i="17"/>
  <c r="F17" i="17" s="1"/>
  <c r="E17" i="17"/>
  <c r="D18" i="17"/>
  <c r="E18" i="17"/>
  <c r="F18" i="17"/>
  <c r="D19" i="17"/>
  <c r="E19" i="17"/>
  <c r="F19" i="17"/>
  <c r="D20" i="17"/>
  <c r="E20" i="17"/>
  <c r="F20" i="17"/>
  <c r="D21" i="17"/>
  <c r="F21" i="17" s="1"/>
  <c r="E21" i="17"/>
  <c r="D22" i="17"/>
  <c r="E22" i="17"/>
  <c r="R4" i="12" l="1"/>
  <c r="R2" i="12"/>
  <c r="Q4" i="12"/>
  <c r="Q2" i="12"/>
  <c r="H4" i="12"/>
  <c r="I4" i="12" s="1"/>
  <c r="H2" i="12"/>
  <c r="I2" i="12" s="1"/>
  <c r="E2" i="12"/>
  <c r="E3" i="12"/>
  <c r="E4" i="12"/>
  <c r="E5" i="12"/>
  <c r="K485" i="5"/>
  <c r="K497" i="5"/>
  <c r="K498" i="5"/>
  <c r="K492" i="5"/>
  <c r="K503" i="5"/>
  <c r="K505" i="5"/>
  <c r="K490" i="5"/>
  <c r="K501" i="5"/>
  <c r="K493" i="5"/>
  <c r="K502" i="5"/>
  <c r="K487" i="5"/>
  <c r="K483" i="5"/>
  <c r="K482" i="5"/>
  <c r="K494" i="5"/>
  <c r="K488" i="5"/>
  <c r="K496" i="5"/>
  <c r="K504" i="5"/>
  <c r="K500" i="5"/>
  <c r="K489" i="5"/>
  <c r="K491" i="5"/>
  <c r="K495" i="5"/>
  <c r="K484" i="5"/>
  <c r="K486" i="5"/>
  <c r="K499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512" i="5"/>
  <c r="K510" i="5"/>
  <c r="K518" i="5"/>
  <c r="K520" i="5"/>
  <c r="K514" i="5"/>
  <c r="K513" i="5"/>
  <c r="K506" i="5"/>
  <c r="K509" i="5"/>
  <c r="K529" i="5"/>
  <c r="K528" i="5"/>
  <c r="K527" i="5"/>
  <c r="K523" i="5"/>
  <c r="K524" i="5"/>
  <c r="K522" i="5"/>
  <c r="K525" i="5"/>
  <c r="K511" i="5"/>
  <c r="K526" i="5"/>
  <c r="K507" i="5"/>
  <c r="K519" i="5"/>
  <c r="K508" i="5"/>
  <c r="K521" i="5"/>
  <c r="K517" i="5"/>
  <c r="K516" i="5"/>
  <c r="K515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37" i="5"/>
  <c r="K224" i="5"/>
  <c r="K310" i="5"/>
  <c r="K221" i="5"/>
  <c r="K208" i="5"/>
  <c r="K295" i="5"/>
  <c r="K240" i="5"/>
  <c r="K290" i="5"/>
  <c r="K227" i="5"/>
  <c r="K229" i="5"/>
  <c r="K298" i="5"/>
  <c r="K206" i="5"/>
  <c r="K217" i="5"/>
  <c r="K231" i="5"/>
  <c r="K292" i="5"/>
  <c r="K207" i="5"/>
  <c r="K233" i="5"/>
  <c r="K210" i="5"/>
  <c r="K235" i="5"/>
  <c r="K214" i="5"/>
  <c r="K107" i="5"/>
  <c r="K238" i="5"/>
  <c r="K124" i="5"/>
  <c r="K97" i="5"/>
  <c r="K108" i="5"/>
  <c r="K305" i="5"/>
  <c r="K259" i="5"/>
  <c r="K216" i="5"/>
  <c r="K90" i="5"/>
  <c r="K230" i="5"/>
  <c r="K96" i="5"/>
  <c r="K126" i="5"/>
  <c r="K101" i="5"/>
  <c r="K109" i="5"/>
  <c r="K92" i="5"/>
  <c r="K105" i="5"/>
  <c r="K209" i="5"/>
  <c r="K218" i="5"/>
  <c r="K204" i="5"/>
  <c r="K112" i="5"/>
  <c r="K118" i="5"/>
  <c r="K130" i="5"/>
  <c r="K94" i="5"/>
  <c r="K114" i="5"/>
  <c r="K201" i="5"/>
  <c r="K99" i="5"/>
  <c r="K117" i="5"/>
  <c r="K89" i="5"/>
  <c r="K123" i="5"/>
  <c r="K86" i="5"/>
  <c r="K143" i="5"/>
  <c r="K115" i="5"/>
  <c r="K195" i="5"/>
  <c r="K223" i="5"/>
  <c r="K87" i="5"/>
  <c r="K197" i="5"/>
  <c r="K267" i="5"/>
  <c r="K93" i="5"/>
  <c r="K104" i="5"/>
  <c r="K91" i="5"/>
  <c r="K88" i="5"/>
  <c r="K199" i="5"/>
  <c r="K106" i="5"/>
  <c r="K145" i="5"/>
  <c r="K225" i="5"/>
  <c r="K303" i="5"/>
  <c r="K100" i="5"/>
  <c r="K142" i="5"/>
  <c r="K242" i="5"/>
  <c r="K98" i="5"/>
  <c r="K103" i="5"/>
  <c r="K140" i="5"/>
  <c r="K308" i="5"/>
  <c r="K194" i="5"/>
  <c r="K120" i="5"/>
  <c r="K102" i="5"/>
  <c r="K119" i="5"/>
  <c r="K95" i="5"/>
  <c r="K121" i="5"/>
  <c r="K116" i="5"/>
  <c r="K141" i="5"/>
  <c r="K110" i="5"/>
  <c r="K111" i="5"/>
  <c r="K113" i="5"/>
  <c r="K136" i="5"/>
  <c r="K262" i="5"/>
  <c r="K139" i="5"/>
  <c r="K220" i="5"/>
  <c r="K274" i="5"/>
  <c r="K66" i="5"/>
  <c r="K286" i="5"/>
  <c r="K137" i="5"/>
  <c r="K85" i="5"/>
  <c r="K202" i="5"/>
  <c r="K125" i="5"/>
  <c r="K81" i="5"/>
  <c r="K269" i="5"/>
  <c r="K76" i="5"/>
  <c r="K250" i="5"/>
  <c r="K256" i="5"/>
  <c r="K359" i="5"/>
  <c r="K134" i="5"/>
  <c r="K281" i="5"/>
  <c r="K63" i="5"/>
  <c r="K71" i="5"/>
  <c r="K200" i="5"/>
  <c r="K65" i="5"/>
  <c r="K215" i="5"/>
  <c r="K78" i="5"/>
  <c r="K79" i="5"/>
  <c r="K75" i="5"/>
  <c r="K61" i="5"/>
  <c r="K272" i="5"/>
  <c r="K73" i="5"/>
  <c r="K62" i="5"/>
  <c r="K245" i="5"/>
  <c r="K51" i="5"/>
  <c r="K60" i="5"/>
  <c r="K70" i="5"/>
  <c r="K84" i="5"/>
  <c r="K55" i="5"/>
  <c r="K82" i="5"/>
  <c r="K74" i="5"/>
  <c r="K68" i="5"/>
  <c r="K67" i="5"/>
  <c r="K54" i="5"/>
  <c r="K57" i="5"/>
  <c r="K50" i="5"/>
  <c r="K132" i="5"/>
  <c r="K59" i="5"/>
  <c r="K251" i="5"/>
  <c r="K131" i="5"/>
  <c r="K56" i="5"/>
  <c r="K362" i="5"/>
  <c r="K72" i="5"/>
  <c r="K236" i="5"/>
  <c r="K77" i="5"/>
  <c r="K53" i="5"/>
  <c r="K83" i="5"/>
  <c r="K64" i="5"/>
  <c r="K69" i="5"/>
  <c r="K52" i="5"/>
  <c r="K80" i="5"/>
  <c r="K254" i="5"/>
  <c r="K58" i="5"/>
  <c r="K384" i="5"/>
  <c r="K353" i="5"/>
  <c r="K368" i="5"/>
  <c r="K354" i="5"/>
  <c r="K365" i="5"/>
  <c r="K373" i="5"/>
  <c r="K350" i="5"/>
  <c r="K315" i="5"/>
  <c r="K316" i="5"/>
  <c r="K317" i="5"/>
  <c r="K318" i="5"/>
  <c r="K322" i="5"/>
  <c r="K323" i="5"/>
  <c r="K324" i="5"/>
  <c r="K326" i="5"/>
  <c r="K328" i="5"/>
  <c r="K329" i="5"/>
  <c r="K331" i="5"/>
  <c r="K332" i="5"/>
  <c r="K333" i="5"/>
  <c r="K334" i="5"/>
  <c r="K337" i="5"/>
  <c r="K338" i="5"/>
  <c r="K339" i="5"/>
  <c r="K341" i="5"/>
  <c r="K343" i="5"/>
  <c r="K344" i="5"/>
  <c r="K345" i="5"/>
  <c r="K346" i="5"/>
  <c r="K348" i="5"/>
  <c r="K351" i="5"/>
  <c r="K352" i="5"/>
  <c r="K358" i="5"/>
  <c r="K360" i="5"/>
  <c r="K364" i="5"/>
  <c r="K367" i="5"/>
  <c r="K369" i="5"/>
  <c r="K370" i="5"/>
  <c r="K374" i="5"/>
  <c r="K375" i="5"/>
  <c r="K377" i="5"/>
  <c r="K379" i="5"/>
  <c r="K380" i="5"/>
  <c r="K381" i="5"/>
  <c r="K382" i="5"/>
  <c r="K314" i="5"/>
  <c r="O603" i="5"/>
  <c r="AA603" i="5" s="1"/>
  <c r="O604" i="5"/>
  <c r="AA604" i="5" s="1"/>
  <c r="O605" i="5"/>
  <c r="AA605" i="5" s="1"/>
  <c r="O606" i="5"/>
  <c r="AA606" i="5" s="1"/>
  <c r="O607" i="5"/>
  <c r="AA607" i="5" s="1"/>
  <c r="O608" i="5"/>
  <c r="AA608" i="5" s="1"/>
  <c r="O609" i="5"/>
  <c r="AA609" i="5" s="1"/>
  <c r="O610" i="5"/>
  <c r="AA610" i="5" s="1"/>
  <c r="O611" i="5"/>
  <c r="AA611" i="5" s="1"/>
  <c r="O612" i="5"/>
  <c r="AA612" i="5" s="1"/>
  <c r="O613" i="5"/>
  <c r="AA613" i="5" s="1"/>
  <c r="O614" i="5"/>
  <c r="AA614" i="5" s="1"/>
  <c r="O615" i="5"/>
  <c r="AA615" i="5" s="1"/>
  <c r="O616" i="5"/>
  <c r="AA616" i="5" s="1"/>
  <c r="O617" i="5"/>
  <c r="AA617" i="5" s="1"/>
  <c r="O618" i="5"/>
  <c r="AA618" i="5" s="1"/>
  <c r="O619" i="5"/>
  <c r="AA619" i="5" s="1"/>
  <c r="O620" i="5"/>
  <c r="AA620" i="5" s="1"/>
  <c r="O621" i="5"/>
  <c r="AA621" i="5" s="1"/>
  <c r="AB621" i="5" s="1"/>
  <c r="O622" i="5"/>
  <c r="AA622" i="5" s="1"/>
  <c r="O623" i="5"/>
  <c r="AA623" i="5" s="1"/>
  <c r="O624" i="5"/>
  <c r="AA624" i="5" s="1"/>
  <c r="O625" i="5"/>
  <c r="AA625" i="5" s="1"/>
  <c r="O626" i="5"/>
  <c r="AA626" i="5" s="1"/>
  <c r="O627" i="5"/>
  <c r="AA627" i="5" s="1"/>
  <c r="O628" i="5"/>
  <c r="AA628" i="5" s="1"/>
  <c r="O629" i="5"/>
  <c r="AA629" i="5" s="1"/>
  <c r="O630" i="5"/>
  <c r="AA630" i="5" s="1"/>
  <c r="O631" i="5"/>
  <c r="AA631" i="5" s="1"/>
  <c r="O632" i="5"/>
  <c r="AA632" i="5" s="1"/>
  <c r="O633" i="5"/>
  <c r="AA633" i="5" s="1"/>
  <c r="O634" i="5"/>
  <c r="AA634" i="5" s="1"/>
  <c r="O635" i="5"/>
  <c r="O636" i="5"/>
  <c r="O637" i="5"/>
  <c r="O638" i="5"/>
  <c r="AA638" i="5" s="1"/>
  <c r="O639" i="5"/>
  <c r="AA639" i="5" s="1"/>
  <c r="O640" i="5"/>
  <c r="AA640" i="5" s="1"/>
  <c r="O641" i="5"/>
  <c r="AA641" i="5" s="1"/>
  <c r="O642" i="5"/>
  <c r="AA642" i="5" s="1"/>
  <c r="O643" i="5"/>
  <c r="AA643" i="5" s="1"/>
  <c r="O644" i="5"/>
  <c r="AA644" i="5" s="1"/>
  <c r="O645" i="5"/>
  <c r="AA645" i="5" s="1"/>
  <c r="O646" i="5"/>
  <c r="AA646" i="5" s="1"/>
  <c r="O647" i="5"/>
  <c r="AA647" i="5" s="1"/>
  <c r="O648" i="5"/>
  <c r="AA648" i="5" s="1"/>
  <c r="O649" i="5"/>
  <c r="AA649" i="5" s="1"/>
  <c r="O650" i="5"/>
  <c r="AA650" i="5" s="1"/>
  <c r="O651" i="5"/>
  <c r="AA651" i="5" s="1"/>
  <c r="O652" i="5"/>
  <c r="O653" i="5"/>
  <c r="O654" i="5"/>
  <c r="O655" i="5"/>
  <c r="O656" i="5"/>
  <c r="AA656" i="5" s="1"/>
  <c r="O657" i="5"/>
  <c r="AA657" i="5" s="1"/>
  <c r="AB657" i="5" s="1"/>
  <c r="O658" i="5"/>
  <c r="AA658" i="5" s="1"/>
  <c r="AB658" i="5" s="1"/>
  <c r="O659" i="5"/>
  <c r="AA659" i="5" s="1"/>
  <c r="AB659" i="5" s="1"/>
  <c r="O660" i="5"/>
  <c r="AA660" i="5" s="1"/>
  <c r="O661" i="5"/>
  <c r="AA661" i="5" s="1"/>
  <c r="AB661" i="5" s="1"/>
  <c r="O662" i="5"/>
  <c r="AA662" i="5" s="1"/>
  <c r="AB662" i="5" s="1"/>
  <c r="O663" i="5"/>
  <c r="AA663" i="5" s="1"/>
  <c r="O664" i="5"/>
  <c r="AA664" i="5" s="1"/>
  <c r="O665" i="5"/>
  <c r="AA665" i="5" s="1"/>
  <c r="AB665" i="5" s="1"/>
  <c r="O666" i="5"/>
  <c r="AA666" i="5" s="1"/>
  <c r="AB666" i="5" s="1"/>
  <c r="O667" i="5"/>
  <c r="AA667" i="5" s="1"/>
  <c r="AB667" i="5" s="1"/>
  <c r="O602" i="5"/>
  <c r="AA602" i="5" s="1"/>
  <c r="O486" i="5"/>
  <c r="O484" i="5"/>
  <c r="O495" i="5"/>
  <c r="O491" i="5"/>
  <c r="O489" i="5"/>
  <c r="O500" i="5"/>
  <c r="O504" i="5"/>
  <c r="O496" i="5"/>
  <c r="O488" i="5"/>
  <c r="O494" i="5"/>
  <c r="O482" i="5"/>
  <c r="O483" i="5"/>
  <c r="O487" i="5"/>
  <c r="O502" i="5"/>
  <c r="O493" i="5"/>
  <c r="O501" i="5"/>
  <c r="O490" i="5"/>
  <c r="O505" i="5"/>
  <c r="O503" i="5"/>
  <c r="O492" i="5"/>
  <c r="O498" i="5"/>
  <c r="O497" i="5"/>
  <c r="O485" i="5"/>
  <c r="O499" i="5"/>
  <c r="O315" i="5"/>
  <c r="O316" i="5"/>
  <c r="O317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14" i="5"/>
  <c r="U510" i="5"/>
  <c r="U512" i="5"/>
  <c r="U518" i="5"/>
  <c r="U520" i="5"/>
  <c r="U514" i="5"/>
  <c r="U513" i="5"/>
  <c r="U506" i="5"/>
  <c r="U509" i="5"/>
  <c r="U528" i="5"/>
  <c r="U527" i="5"/>
  <c r="U529" i="5"/>
  <c r="U523" i="5"/>
  <c r="U524" i="5"/>
  <c r="U522" i="5"/>
  <c r="U511" i="5"/>
  <c r="U507" i="5"/>
  <c r="U519" i="5"/>
  <c r="U508" i="5"/>
  <c r="U521" i="5"/>
  <c r="U517" i="5"/>
  <c r="U516" i="5"/>
  <c r="U515" i="5"/>
  <c r="U526" i="5"/>
  <c r="U193" i="5"/>
  <c r="U186" i="5"/>
  <c r="U192" i="5"/>
  <c r="U191" i="5"/>
  <c r="U190" i="5"/>
  <c r="U189" i="5"/>
  <c r="U188" i="5"/>
  <c r="U187" i="5"/>
  <c r="U185" i="5"/>
  <c r="U184" i="5"/>
  <c r="U178" i="5"/>
  <c r="U183" i="5"/>
  <c r="U182" i="5"/>
  <c r="U181" i="5"/>
  <c r="U180" i="5"/>
  <c r="U179" i="5"/>
  <c r="U177" i="5"/>
  <c r="U176" i="5"/>
  <c r="U175" i="5"/>
  <c r="U174" i="5"/>
  <c r="U173" i="5"/>
  <c r="U172" i="5"/>
  <c r="U171" i="5"/>
  <c r="U170" i="5"/>
  <c r="U45" i="5"/>
  <c r="U42" i="5"/>
  <c r="U44" i="5"/>
  <c r="U47" i="5"/>
  <c r="U49" i="5"/>
  <c r="U48" i="5"/>
  <c r="U43" i="5"/>
  <c r="U46" i="5"/>
  <c r="U41" i="5"/>
  <c r="U40" i="5"/>
  <c r="U34" i="5"/>
  <c r="U36" i="5"/>
  <c r="U37" i="5"/>
  <c r="U38" i="5"/>
  <c r="U39" i="5"/>
  <c r="U35" i="5"/>
  <c r="U30" i="5"/>
  <c r="U26" i="5"/>
  <c r="U28" i="5"/>
  <c r="U29" i="5"/>
  <c r="U33" i="5"/>
  <c r="U31" i="5"/>
  <c r="U32" i="5"/>
  <c r="U27" i="5"/>
  <c r="U18" i="5"/>
  <c r="U24" i="5"/>
  <c r="U23" i="5"/>
  <c r="U20" i="5"/>
  <c r="U22" i="5"/>
  <c r="U25" i="5"/>
  <c r="U21" i="5"/>
  <c r="U19" i="5"/>
  <c r="U15" i="5"/>
  <c r="U10" i="5"/>
  <c r="U13" i="5"/>
  <c r="U12" i="5"/>
  <c r="U11" i="5"/>
  <c r="U16" i="5"/>
  <c r="U14" i="5"/>
  <c r="U17" i="5"/>
  <c r="U5" i="5"/>
  <c r="U7" i="5"/>
  <c r="U2" i="5"/>
  <c r="U4" i="5"/>
  <c r="U9" i="5"/>
  <c r="U3" i="5"/>
  <c r="U8" i="5"/>
  <c r="U6" i="5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AB656" i="5" l="1"/>
  <c r="AB660" i="5"/>
  <c r="AB663" i="5"/>
  <c r="AB664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2" i="5"/>
  <c r="N5" i="12" s="1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8" i="5"/>
  <c r="AB639" i="5"/>
  <c r="AB640" i="5"/>
  <c r="AB641" i="5"/>
  <c r="AB642" i="5"/>
  <c r="AB643" i="5"/>
  <c r="AB644" i="5"/>
  <c r="AB645" i="5"/>
  <c r="N4" i="12" s="1"/>
  <c r="AB646" i="5"/>
  <c r="AB647" i="5"/>
  <c r="AB648" i="5"/>
  <c r="AB649" i="5"/>
  <c r="AB650" i="5"/>
  <c r="AB651" i="5"/>
  <c r="AB602" i="5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N2" i="12" l="1"/>
  <c r="N3" i="12"/>
</calcChain>
</file>

<file path=xl/sharedStrings.xml><?xml version="1.0" encoding="utf-8"?>
<sst xmlns="http://schemas.openxmlformats.org/spreadsheetml/2006/main" count="7733" uniqueCount="168">
  <si>
    <t>Harvest</t>
  </si>
  <si>
    <t>Genotype</t>
  </si>
  <si>
    <t>Treatment</t>
  </si>
  <si>
    <t>Rep</t>
  </si>
  <si>
    <t>Plot</t>
  </si>
  <si>
    <t>Date</t>
  </si>
  <si>
    <t>DOY</t>
  </si>
  <si>
    <t>Location</t>
  </si>
  <si>
    <t>Population</t>
  </si>
  <si>
    <t>Biomass5pl</t>
  </si>
  <si>
    <t>Biomass</t>
  </si>
  <si>
    <t>biomasstotal</t>
  </si>
  <si>
    <t xml:space="preserve">linear </t>
  </si>
  <si>
    <t>RowSpace</t>
  </si>
  <si>
    <t>TotalSampleArea</t>
  </si>
  <si>
    <t>TotalBiomass</t>
  </si>
  <si>
    <t>GreenBiomass</t>
  </si>
  <si>
    <t>YellowBiomass</t>
  </si>
  <si>
    <t>StemBiomass</t>
  </si>
  <si>
    <t>RepBiomass</t>
  </si>
  <si>
    <t>SeedTotalBiomass</t>
  </si>
  <si>
    <t>HI</t>
  </si>
  <si>
    <t>AvgHeight</t>
  </si>
  <si>
    <t>AvgNode</t>
  </si>
  <si>
    <t>P42A84E</t>
  </si>
  <si>
    <t>Rainfed</t>
  </si>
  <si>
    <t>sarec</t>
  </si>
  <si>
    <t>P48A14E</t>
  </si>
  <si>
    <t>P52A14SE</t>
  </si>
  <si>
    <t>R19C-1012</t>
  </si>
  <si>
    <t>R18-14502</t>
  </si>
  <si>
    <t>R18C-13665</t>
  </si>
  <si>
    <t>R19-46252</t>
  </si>
  <si>
    <t>R19-45980</t>
  </si>
  <si>
    <t>PI471938</t>
  </si>
  <si>
    <t>PI548431</t>
  </si>
  <si>
    <t>PI603457A</t>
  </si>
  <si>
    <t>PI507408</t>
  </si>
  <si>
    <t>Irrigated</t>
  </si>
  <si>
    <t>Variables/traits</t>
  </si>
  <si>
    <t>Description</t>
  </si>
  <si>
    <t>Unit</t>
  </si>
  <si>
    <t>comments</t>
  </si>
  <si>
    <t>m/d/y</t>
  </si>
  <si>
    <t>DAS</t>
  </si>
  <si>
    <t>Days after sowing</t>
  </si>
  <si>
    <t>-</t>
  </si>
  <si>
    <t>Replication</t>
  </si>
  <si>
    <t>POROgsw</t>
  </si>
  <si>
    <t>mol+1m-2s-1</t>
  </si>
  <si>
    <t xml:space="preserve">Port </t>
  </si>
  <si>
    <t>connection port</t>
  </si>
  <si>
    <t xml:space="preserve"> m³/m³ Water Content</t>
  </si>
  <si>
    <t>plants/ha</t>
  </si>
  <si>
    <t>Row space</t>
  </si>
  <si>
    <t>m</t>
  </si>
  <si>
    <t>(green leaf+yellow leaf+stem+reproductive) 
of 5 plants that was used for partioning</t>
  </si>
  <si>
    <t>Kg</t>
  </si>
  <si>
    <t>total of plants in 1 or 2m less 5 plants</t>
  </si>
  <si>
    <t>2m just in H4</t>
  </si>
  <si>
    <t>total biomass in 1/2m</t>
  </si>
  <si>
    <t>GreenPartition5</t>
  </si>
  <si>
    <t>green leaf weight of 5 plants</t>
  </si>
  <si>
    <t>YellowPartition5</t>
  </si>
  <si>
    <t>yellow leaf weight of 5 plants</t>
  </si>
  <si>
    <t>Stem Partition5</t>
  </si>
  <si>
    <t>stem weight of 5 plants</t>
  </si>
  <si>
    <t>Reprod Partition5</t>
  </si>
  <si>
    <t>reproductive weight of 5 plants</t>
  </si>
  <si>
    <t>Kg.ha</t>
  </si>
  <si>
    <t>linear</t>
  </si>
  <si>
    <t>how much was collected per plot</t>
  </si>
  <si>
    <t>harvested area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</si>
  <si>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</si>
  <si>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Stem biomass</t>
  </si>
  <si>
    <t>kg.ha</t>
  </si>
  <si>
    <t>Green leaf biomass</t>
  </si>
  <si>
    <t>Yellow leaf biomass</t>
  </si>
  <si>
    <t>Reproductive biomass</t>
  </si>
  <si>
    <t>total seeds of 5 plants</t>
  </si>
  <si>
    <t>total seeds of the total biomass</t>
  </si>
  <si>
    <t>Yield</t>
  </si>
  <si>
    <t>Final yield</t>
  </si>
  <si>
    <t>kg.ha bu.ac</t>
  </si>
  <si>
    <t xml:space="preserve">Harvest Index </t>
  </si>
  <si>
    <t>Days of the Year</t>
  </si>
  <si>
    <t>day</t>
  </si>
  <si>
    <t>cm</t>
  </si>
  <si>
    <t>TotalBiomass_kg_ha</t>
  </si>
  <si>
    <t>StemPartition5</t>
  </si>
  <si>
    <t>SeedTB</t>
  </si>
  <si>
    <t>BiomassPartition5</t>
  </si>
  <si>
    <t>ReprodBiomass</t>
  </si>
  <si>
    <t>SeedBiomass</t>
  </si>
  <si>
    <t>Year</t>
  </si>
  <si>
    <t>yield_kg_ha</t>
  </si>
  <si>
    <t>yield_bu_ac</t>
  </si>
  <si>
    <t>pinetree</t>
  </si>
  <si>
    <t>Biomass_linear</t>
  </si>
  <si>
    <t>seedBiomass</t>
  </si>
  <si>
    <t>DAP</t>
  </si>
  <si>
    <t>ReprodPartition5</t>
  </si>
  <si>
    <t>SeedPartition5</t>
  </si>
  <si>
    <t>final</t>
  </si>
  <si>
    <t>I replaced the last harvest called 4 to final, to refer to the last one when yield was determined.</t>
  </si>
  <si>
    <t> R19-42848</t>
  </si>
  <si>
    <t>yield_combine</t>
  </si>
  <si>
    <t>rohwer</t>
  </si>
  <si>
    <t>SeedTB_ha</t>
  </si>
  <si>
    <t>Genotype24</t>
  </si>
  <si>
    <t>4-Early</t>
  </si>
  <si>
    <t>5-Early</t>
  </si>
  <si>
    <t>4-Late</t>
  </si>
  <si>
    <t xml:space="preserve">Plot number </t>
  </si>
  <si>
    <t>Range 12</t>
  </si>
  <si>
    <t>REP1</t>
  </si>
  <si>
    <t>REP2</t>
  </si>
  <si>
    <t>REP3</t>
  </si>
  <si>
    <t>Range 11</t>
  </si>
  <si>
    <t>Range 10</t>
  </si>
  <si>
    <t>Range 9</t>
  </si>
  <si>
    <t>Range 8</t>
  </si>
  <si>
    <t>Range 7</t>
  </si>
  <si>
    <t>Range 6</t>
  </si>
  <si>
    <t>Range 5</t>
  </si>
  <si>
    <t>Range 4</t>
  </si>
  <si>
    <t>Range 3</t>
  </si>
  <si>
    <t>Range 2</t>
  </si>
  <si>
    <t>Range 1</t>
  </si>
  <si>
    <t>Col 1</t>
  </si>
  <si>
    <t>Col 2</t>
  </si>
  <si>
    <t>Col 3</t>
  </si>
  <si>
    <t>Col 4</t>
  </si>
  <si>
    <t>Col 5</t>
  </si>
  <si>
    <t>Col 6</t>
  </si>
  <si>
    <t>PI567488B</t>
  </si>
  <si>
    <t>PI424397</t>
  </si>
  <si>
    <t>PI377574</t>
  </si>
  <si>
    <t>PI398245</t>
  </si>
  <si>
    <t>H2-H3-H4</t>
  </si>
  <si>
    <t>PLOT 40</t>
  </si>
  <si>
    <t>SOLO EN DOS REP</t>
  </si>
  <si>
    <t>1 REP</t>
  </si>
  <si>
    <t>SeedTB_g</t>
  </si>
  <si>
    <t>plantin date rohwer</t>
  </si>
  <si>
    <t>planting date pinetree</t>
  </si>
  <si>
    <t>weather data from planting date until september 30 for both years.</t>
  </si>
  <si>
    <t>Plots removed from sarec 2025 outliers from the field: 501-502-503-701-702-703-704-705</t>
  </si>
  <si>
    <t>behavior</t>
  </si>
  <si>
    <t>sensible</t>
  </si>
  <si>
    <t>stable</t>
  </si>
  <si>
    <t>sensible in 2024/ stable in 2025</t>
  </si>
  <si>
    <t>stable in 2024/sensible in 2025</t>
  </si>
  <si>
    <t>stable for 2024/sensible in 2025</t>
  </si>
  <si>
    <t>sensible/higher in rainfed in 2024/high and stable</t>
  </si>
  <si>
    <t>rainfed</t>
  </si>
  <si>
    <t>biomass</t>
  </si>
  <si>
    <t>irrigated</t>
  </si>
  <si>
    <t>ranfed</t>
  </si>
  <si>
    <t>average</t>
  </si>
  <si>
    <t>reduction</t>
  </si>
  <si>
    <t>yield</t>
  </si>
  <si>
    <t>AVERAGE</t>
  </si>
  <si>
    <t>Range</t>
  </si>
  <si>
    <t>Column</t>
  </si>
  <si>
    <t>Relative_yield</t>
  </si>
  <si>
    <t>Yield_rainfed</t>
  </si>
  <si>
    <t>Yield_Irrig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</si>
</sst>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14" fontId="0" fillId="0" borderId="0" xfId="0" applyNumberFormat="1"/>
    <xf numFmtId="14" fontId="0" fillId="0" borderId="3" xfId="0" applyNumberFormat="1" applyBorder="1"/>
    <xf numFmtId="14" fontId="0" fillId="0" borderId="4" xfId="0" applyNumberFormat="1" applyBorder="1"/>
    <xf numFmtId="0" fontId="0" fillId="0" borderId="4" xfId="0" applyBorder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3" borderId="0" xfId="0" applyFill="1"/>
    <xf numFmtId="14" fontId="4" fillId="0" borderId="0" xfId="0" applyNumberFormat="1" applyFont="1" applyAlignment="1">
      <alignment horizontal="center"/>
    </xf>
    <xf numFmtId="14" fontId="4" fillId="0" borderId="0" xfId="0" applyNumberFormat="1" applyFont="1"/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/>
    </xf>
    <xf numFmtId="14" fontId="0" fillId="0" borderId="3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left"/>
    </xf>
    <xf numFmtId="165" fontId="0" fillId="4" borderId="0" xfId="0" applyNumberFormat="1" applyFill="1" applyAlignment="1">
      <alignment horizontal="right"/>
    </xf>
    <xf numFmtId="0" fontId="5" fillId="3" borderId="0" xfId="0" applyFont="1" applyFill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0" xfId="0" applyFill="1"/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0" fontId="0" fillId="0" borderId="4" xfId="0" applyBorder="1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right" vertical="center"/>
    </xf>
    <xf numFmtId="14" fontId="0" fillId="4" borderId="0" xfId="0" applyNumberFormat="1" applyFill="1" applyAlignment="1">
      <alignment horizontal="right"/>
    </xf>
    <xf numFmtId="166" fontId="0" fillId="0" borderId="0" xfId="0" applyNumberFormat="1"/>
    <xf numFmtId="164" fontId="0" fillId="0" borderId="3" xfId="0" applyNumberFormat="1" applyBorder="1"/>
    <xf numFmtId="164" fontId="0" fillId="0" borderId="4" xfId="0" applyNumberFormat="1" applyBorder="1"/>
    <xf numFmtId="0" fontId="2" fillId="0" borderId="0" xfId="0" applyFont="1"/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7" fillId="0" borderId="0" xfId="0" applyNumberFormat="1" applyFont="1"/>
    <xf numFmtId="1" fontId="0" fillId="0" borderId="0" xfId="0" applyNumberFormat="1" applyAlignment="1">
      <alignment horizontal="right"/>
    </xf>
    <xf numFmtId="14" fontId="6" fillId="0" borderId="0" xfId="0" applyNumberFormat="1" applyFont="1"/>
    <xf numFmtId="1" fontId="0" fillId="0" borderId="0" xfId="0" applyNumberFormat="1"/>
    <xf numFmtId="0" fontId="8" fillId="8" borderId="0" xfId="0" applyFont="1" applyFill="1"/>
    <xf numFmtId="0" fontId="0" fillId="8" borderId="0" xfId="0" applyFill="1"/>
    <xf numFmtId="0" fontId="0" fillId="2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0" fillId="10" borderId="0" xfId="0" applyFill="1"/>
    <xf numFmtId="9" fontId="0" fillId="10" borderId="0" xfId="1" applyFont="1" applyFill="1"/>
    <xf numFmtId="0" fontId="0" fillId="0" borderId="3" xfId="0" applyBorder="1" applyAlignment="1">
      <alignment horizontal="left" vertical="center"/>
    </xf>
    <xf numFmtId="0" fontId="5" fillId="8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6867526" cy="59480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BC6B97-18C1-4477-8E86-142295B149CC}"/>
            </a:ext>
          </a:extLst>
        </xdr:cNvPr>
        <xdr:cNvSpPr txBox="1"/>
      </xdr:nvSpPr>
      <xdr:spPr>
        <a:xfrm>
          <a:off x="685800" y="361950"/>
          <a:ext cx="6867526" cy="594803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 b="1"/>
            <a:t>Soybean</a:t>
          </a:r>
          <a:r>
            <a:rPr lang="en-US" sz="1100" b="1" baseline="0"/>
            <a:t> Ideotypes Experiment 2024</a:t>
          </a:r>
        </a:p>
        <a:p>
          <a:pPr algn="l"/>
          <a:endParaRPr lang="en-US" sz="1100" b="1"/>
        </a:p>
        <a:p>
          <a:pPr algn="l"/>
          <a:r>
            <a:rPr lang="en-US" sz="1100" b="1"/>
            <a:t>Biomaass</a:t>
          </a:r>
          <a:r>
            <a:rPr lang="en-US" sz="1100"/>
            <a:t> = biomass</a:t>
          </a:r>
          <a:r>
            <a:rPr lang="en-US" sz="1100" baseline="0"/>
            <a:t> data from the Fayetteville, Pine Tree and Rohwer growth experiment (3 replications)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Phenology</a:t>
          </a:r>
          <a:r>
            <a:rPr lang="en-US" sz="1100">
              <a:solidFill>
                <a:sysClr val="windowText" lastClr="000000"/>
              </a:solidFill>
            </a:rPr>
            <a:t> = phenology data from Fayetteville, Pine Tree and Rohwer</a:t>
          </a:r>
          <a:r>
            <a:rPr lang="en-US" sz="1100" baseline="0">
              <a:solidFill>
                <a:sysClr val="windowText" lastClr="000000"/>
              </a:solidFill>
            </a:rPr>
            <a:t> experiments (per replication)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solidFill>
                <a:sysClr val="windowText" lastClr="000000"/>
              </a:solidFill>
              <a:effectLst/>
            </a:rPr>
            <a:t>SoilWater</a:t>
          </a:r>
          <a:r>
            <a:rPr lang="en-US">
              <a:solidFill>
                <a:sysClr val="windowText" lastClr="000000"/>
              </a:solidFill>
              <a:effectLst/>
            </a:rPr>
            <a:t> = soil water</a:t>
          </a:r>
          <a:r>
            <a:rPr lang="en-US" baseline="0">
              <a:solidFill>
                <a:sysClr val="windowText" lastClr="000000"/>
              </a:solidFill>
              <a:effectLst/>
            </a:rPr>
            <a:t> data collected using sensors on rainfed and irrigated field</a:t>
          </a:r>
          <a:r>
            <a:rPr lang="en-US">
              <a:solidFill>
                <a:sysClr val="windowText" lastClr="000000"/>
              </a:solidFill>
              <a:effectLst/>
            </a:rPr>
            <a:t> in Fayetteville</a:t>
          </a:r>
          <a:r>
            <a:rPr lang="en-US" baseline="0">
              <a:solidFill>
                <a:sysClr val="windowText" lastClr="000000"/>
              </a:solidFill>
              <a:effectLst/>
            </a:rPr>
            <a:t> (4 sensors- 2 per experiment).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 baseline="0">
              <a:solidFill>
                <a:sysClr val="windowText" lastClr="000000"/>
              </a:solidFill>
              <a:effectLst/>
            </a:rPr>
            <a:t>Stomatal Conductance </a:t>
          </a:r>
          <a:r>
            <a:rPr lang="en-US" baseline="0">
              <a:solidFill>
                <a:sysClr val="windowText" lastClr="000000"/>
              </a:solidFill>
              <a:effectLst/>
            </a:rPr>
            <a:t>= data collected using porometer on field experiment in Fayetteville.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 baseline="0">
              <a:solidFill>
                <a:sysClr val="windowText" lastClr="000000"/>
              </a:solidFill>
              <a:effectLst/>
            </a:rPr>
            <a:t>Some  basic information of the: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 baseline="0">
              <a:solidFill>
                <a:sysClr val="windowText" lastClr="000000"/>
              </a:solidFill>
              <a:effectLst/>
            </a:rPr>
            <a:t>Fayetteville, AR experiment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Coordinates: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36°05'59.8"N 94°10'02.4"W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Sowing date: </a:t>
          </a:r>
          <a:r>
            <a:rPr lang="en-US" baseline="0">
              <a:solidFill>
                <a:srgbClr val="FF0000"/>
              </a:solidFill>
              <a:effectLst/>
            </a:rPr>
            <a:t>05/21/2024</a:t>
          </a:r>
          <a:r>
            <a:rPr lang="en-US" baseline="0">
              <a:solidFill>
                <a:sysClr val="windowText" lastClr="000000"/>
              </a:solidFill>
              <a:effectLst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Plant density (avg): 37.1 pl/m2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Row space: 91.4 cm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 baseline="0">
              <a:solidFill>
                <a:sysClr val="windowText" lastClr="000000"/>
              </a:solidFill>
              <a:effectLst/>
            </a:rPr>
            <a:t>Rohwer, AR experiment</a:t>
          </a: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Coordinates: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33°48'18"N 91°16'15"W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Sowing date: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05/16/2024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Plant density (avg): 40.8 pl/m2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Row space: 96.5 cm </a:t>
          </a:r>
          <a:endParaRPr lang="en-US">
            <a:effectLst/>
          </a:endParaRPr>
        </a:p>
        <a:p>
          <a:pPr eaLnBrk="1" fontAlgn="auto" latinLnBrk="0" hangingPunct="1"/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Pine Tree, AR experiment</a:t>
          </a:r>
          <a:endParaRPr lang="en-US" b="1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Coordinates: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35°07'04"N 90°57'02"W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Sowing date: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05/17/2024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Plant density (avg): 37.1 pl/m2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Row space: 96.5 cm </a:t>
          </a:r>
          <a:endParaRPr lang="en-US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To  check: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endParaRPr lang="en-US" baseline="0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6715125" cy="368051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EC7603-74FF-452C-B9D5-F71D2896356F}"/>
            </a:ext>
          </a:extLst>
        </xdr:cNvPr>
        <xdr:cNvSpPr txBox="1"/>
      </xdr:nvSpPr>
      <xdr:spPr>
        <a:xfrm>
          <a:off x="607219" y="7524750"/>
          <a:ext cx="6715125" cy="368051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 b="1"/>
            <a:t>Soybean</a:t>
          </a:r>
          <a:r>
            <a:rPr lang="en-US" sz="1100" b="1" baseline="0"/>
            <a:t> Phenotyping Experiment  2025</a:t>
          </a:r>
        </a:p>
        <a:p>
          <a:pPr algn="l"/>
          <a:endParaRPr lang="en-US" sz="1100" b="1"/>
        </a:p>
        <a:p>
          <a:pPr algn="l"/>
          <a:r>
            <a:rPr lang="en-US" sz="1100" b="1"/>
            <a:t>Biomaass</a:t>
          </a:r>
          <a:r>
            <a:rPr lang="en-US" sz="1100"/>
            <a:t> = biomass</a:t>
          </a:r>
          <a:r>
            <a:rPr lang="en-US" sz="1100" baseline="0"/>
            <a:t> data from the Fayetteville growth experiment (per replication)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Phenology</a:t>
          </a:r>
          <a:r>
            <a:rPr lang="en-US" sz="1100">
              <a:solidFill>
                <a:sysClr val="windowText" lastClr="000000"/>
              </a:solidFill>
            </a:rPr>
            <a:t> = phenology data from Fayetteville</a:t>
          </a:r>
          <a:r>
            <a:rPr lang="en-US" sz="1100" baseline="0">
              <a:solidFill>
                <a:sysClr val="windowText" lastClr="000000"/>
              </a:solidFill>
            </a:rPr>
            <a:t> experiment. (per replication)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solidFill>
                <a:sysClr val="windowText" lastClr="000000"/>
              </a:solidFill>
              <a:effectLst/>
            </a:rPr>
            <a:t>SoilWater</a:t>
          </a:r>
          <a:r>
            <a:rPr lang="en-US">
              <a:solidFill>
                <a:sysClr val="windowText" lastClr="000000"/>
              </a:solidFill>
              <a:effectLst/>
            </a:rPr>
            <a:t> = soil water</a:t>
          </a:r>
          <a:r>
            <a:rPr lang="en-US" baseline="0">
              <a:solidFill>
                <a:sysClr val="windowText" lastClr="000000"/>
              </a:solidFill>
              <a:effectLst/>
            </a:rPr>
            <a:t> data collected using sensors on rainfed and irrigated field</a:t>
          </a:r>
          <a:r>
            <a:rPr lang="en-US">
              <a:solidFill>
                <a:sysClr val="windowText" lastClr="000000"/>
              </a:solidFill>
              <a:effectLst/>
            </a:rPr>
            <a:t> in Fayetteville</a:t>
          </a:r>
          <a:r>
            <a:rPr lang="en-US" baseline="0">
              <a:solidFill>
                <a:sysClr val="windowText" lastClr="000000"/>
              </a:solidFill>
              <a:effectLst/>
            </a:rPr>
            <a:t> (4 sensors- 2 per experiment).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 baseline="0">
              <a:solidFill>
                <a:sysClr val="windowText" lastClr="000000"/>
              </a:solidFill>
              <a:effectLst/>
            </a:rPr>
            <a:t>Some  basic information of the: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 baseline="0">
              <a:solidFill>
                <a:sysClr val="windowText" lastClr="000000"/>
              </a:solidFill>
              <a:effectLst/>
            </a:rPr>
            <a:t>Fayetteville, AR experiment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Sowing date: </a:t>
          </a:r>
          <a:r>
            <a:rPr lang="en-US" b="1" baseline="0">
              <a:solidFill>
                <a:sysClr val="windowText" lastClr="000000"/>
              </a:solidFill>
              <a:effectLst/>
            </a:rPr>
            <a:t>06/03/2025</a:t>
          </a:r>
          <a:r>
            <a:rPr lang="en-US" baseline="0">
              <a:solidFill>
                <a:sysClr val="windowText" lastClr="000000"/>
              </a:solidFill>
              <a:effectLst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Plant density (avg): 37 pl/m2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Row space: 91.4 cm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 </a:t>
          </a:r>
          <a:r>
            <a:rPr lang="en-US" b="1" baseline="0">
              <a:solidFill>
                <a:sysClr val="windowText" lastClr="000000"/>
              </a:solidFill>
              <a:effectLst/>
            </a:rPr>
            <a:t>Genotypes for biomass collection: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0" baseline="0">
              <a:solidFill>
                <a:sysClr val="windowText" lastClr="000000"/>
              </a:solidFill>
              <a:effectLst/>
            </a:rPr>
            <a:t>P42A84E and R19C-1012 as IV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0" baseline="0">
              <a:solidFill>
                <a:sysClr val="windowText" lastClr="000000"/>
              </a:solidFill>
              <a:effectLst/>
            </a:rPr>
            <a:t>P52A14SE and R19-46252 as V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baseline="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solidFill>
                <a:sysClr val="windowText" lastClr="000000"/>
              </a:solidFill>
              <a:effectLst/>
            </a:rPr>
            <a:t>To  check: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endParaRPr lang="en-US" baseline="0">
            <a:solidFill>
              <a:sysClr val="windowText" lastClr="000000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867-E988-4C96-B14F-C657F2A37A48}">
  <dimension ref="B6:V42"/>
  <sheetViews>
    <sheetView topLeftCell="A10" zoomScale="80" zoomScaleNormal="80" workbookViewId="0">
      <selection activeCell="P42" sqref="P42"/>
    </sheetView>
  </sheetViews>
  <sheetFormatPr defaultRowHeight="15" x14ac:dyDescent="0.25"/>
  <cols>
    <col min="15" max="16" width="13.42578125" customWidth="1"/>
    <col min="17" max="17" width="8.7109375" customWidth="1"/>
    <col min="18" max="18" width="18.140625" bestFit="1" customWidth="1"/>
    <col min="19" max="19" width="36.85546875" bestFit="1" customWidth="1"/>
    <col min="20" max="20" width="19.42578125" bestFit="1" customWidth="1"/>
    <col min="21" max="21" width="13.5703125" bestFit="1" customWidth="1"/>
  </cols>
  <sheetData>
    <row r="6" spans="18:21" x14ac:dyDescent="0.25">
      <c r="R6" s="1" t="s">
        <v>39</v>
      </c>
      <c r="S6" s="2" t="s">
        <v>40</v>
      </c>
      <c r="T6" s="2" t="s">
        <v>41</v>
      </c>
      <c r="U6" s="2" t="s">
        <v>42</v>
      </c>
    </row>
    <row r="7" spans="18:21" x14ac:dyDescent="0.25">
      <c r="R7" s="6" t="s">
        <v>22</v>
      </c>
      <c r="T7" s="6" t="s">
        <v>87</v>
      </c>
      <c r="U7" s="3"/>
    </row>
    <row r="8" spans="18:21" x14ac:dyDescent="0.25">
      <c r="R8" s="6" t="s">
        <v>23</v>
      </c>
      <c r="S8" s="3"/>
      <c r="T8" s="6" t="s">
        <v>87</v>
      </c>
      <c r="U8" s="3"/>
    </row>
    <row r="9" spans="18:21" x14ac:dyDescent="0.25">
      <c r="R9" s="7" t="s">
        <v>10</v>
      </c>
      <c r="S9" s="8" t="s">
        <v>58</v>
      </c>
      <c r="T9" s="8" t="s">
        <v>57</v>
      </c>
      <c r="U9" s="9" t="s">
        <v>59</v>
      </c>
    </row>
    <row r="10" spans="18:21" ht="45" x14ac:dyDescent="0.25">
      <c r="R10" s="7" t="s">
        <v>9</v>
      </c>
      <c r="S10" s="11" t="s">
        <v>56</v>
      </c>
      <c r="T10" s="8" t="s">
        <v>57</v>
      </c>
      <c r="U10" s="3"/>
    </row>
    <row r="11" spans="18:21" x14ac:dyDescent="0.25">
      <c r="R11" s="3" t="s">
        <v>11</v>
      </c>
      <c r="S11" s="3" t="s">
        <v>60</v>
      </c>
      <c r="T11" s="6" t="s">
        <v>57</v>
      </c>
      <c r="U11" s="3"/>
    </row>
    <row r="12" spans="18:21" x14ac:dyDescent="0.25">
      <c r="R12" s="3" t="s">
        <v>44</v>
      </c>
      <c r="S12" t="s">
        <v>45</v>
      </c>
      <c r="T12" s="3" t="s">
        <v>46</v>
      </c>
      <c r="U12" s="3"/>
    </row>
    <row r="13" spans="18:21" x14ac:dyDescent="0.25">
      <c r="R13" s="3" t="s">
        <v>5</v>
      </c>
      <c r="S13" s="3"/>
      <c r="T13" s="3" t="s">
        <v>43</v>
      </c>
      <c r="U13" s="3"/>
    </row>
    <row r="14" spans="18:21" x14ac:dyDescent="0.25">
      <c r="R14" s="3" t="s">
        <v>6</v>
      </c>
      <c r="S14" s="10" t="s">
        <v>85</v>
      </c>
      <c r="T14" s="6" t="s">
        <v>86</v>
      </c>
      <c r="U14" s="3"/>
    </row>
    <row r="15" spans="18:21" x14ac:dyDescent="0.25">
      <c r="R15" s="45" t="s">
        <v>16</v>
      </c>
      <c r="S15" s="46" t="s">
        <v>76</v>
      </c>
      <c r="T15" s="46" t="s">
        <v>75</v>
      </c>
      <c r="U15" s="47"/>
    </row>
    <row r="16" spans="18:21" x14ac:dyDescent="0.25">
      <c r="R16" s="3" t="s">
        <v>61</v>
      </c>
      <c r="S16" s="3" t="s">
        <v>62</v>
      </c>
      <c r="T16" s="6" t="s">
        <v>57</v>
      </c>
      <c r="U16" s="3"/>
    </row>
    <row r="17" spans="18:21" x14ac:dyDescent="0.25">
      <c r="R17" s="3" t="s">
        <v>21</v>
      </c>
      <c r="S17" s="3" t="s">
        <v>84</v>
      </c>
      <c r="T17" s="6"/>
      <c r="U17" s="3"/>
    </row>
    <row r="18" spans="18:21" x14ac:dyDescent="0.25">
      <c r="R18" s="3" t="s">
        <v>70</v>
      </c>
      <c r="S18" s="3" t="s">
        <v>71</v>
      </c>
      <c r="T18" s="6" t="s">
        <v>55</v>
      </c>
      <c r="U18" s="3"/>
    </row>
    <row r="19" spans="18:21" x14ac:dyDescent="0.25">
      <c r="R19" s="3" t="s">
        <v>4</v>
      </c>
      <c r="S19" s="3"/>
      <c r="T19" s="3"/>
      <c r="U19" s="3"/>
    </row>
    <row r="20" spans="18:21" x14ac:dyDescent="0.25">
      <c r="R20" s="3" t="s">
        <v>8</v>
      </c>
      <c r="S20" s="3"/>
      <c r="T20" s="6" t="s">
        <v>53</v>
      </c>
      <c r="U20" s="3"/>
    </row>
    <row r="21" spans="18:21" x14ac:dyDescent="0.25">
      <c r="R21" s="4" t="s">
        <v>48</v>
      </c>
      <c r="S21" s="4"/>
      <c r="T21" s="3" t="s">
        <v>49</v>
      </c>
      <c r="U21" s="3"/>
    </row>
    <row r="22" spans="18:21" x14ac:dyDescent="0.25">
      <c r="R22" s="4" t="s">
        <v>50</v>
      </c>
      <c r="S22" s="4" t="s">
        <v>51</v>
      </c>
      <c r="T22" s="5" t="s">
        <v>52</v>
      </c>
      <c r="U22" s="3"/>
    </row>
    <row r="23" spans="18:21" x14ac:dyDescent="0.25">
      <c r="R23" s="3" t="s">
        <v>3</v>
      </c>
      <c r="S23" s="3" t="s">
        <v>47</v>
      </c>
      <c r="T23" s="3" t="s">
        <v>46</v>
      </c>
      <c r="U23" s="3"/>
    </row>
    <row r="24" spans="18:21" x14ac:dyDescent="0.25">
      <c r="R24" s="7" t="s">
        <v>19</v>
      </c>
      <c r="S24" s="6" t="s">
        <v>78</v>
      </c>
      <c r="T24" s="6" t="s">
        <v>75</v>
      </c>
      <c r="U24" s="3"/>
    </row>
    <row r="25" spans="18:21" x14ac:dyDescent="0.25">
      <c r="R25" s="3" t="s">
        <v>67</v>
      </c>
      <c r="S25" s="3" t="s">
        <v>68</v>
      </c>
      <c r="T25" s="6" t="s">
        <v>57</v>
      </c>
      <c r="U25" s="3"/>
    </row>
    <row r="26" spans="18:21" x14ac:dyDescent="0.25">
      <c r="R26" s="3" t="s">
        <v>54</v>
      </c>
      <c r="S26" s="3"/>
      <c r="T26" s="6" t="s">
        <v>55</v>
      </c>
      <c r="U26" s="3"/>
    </row>
    <row r="27" spans="18:21" x14ac:dyDescent="0.25">
      <c r="R27" s="7" t="s">
        <v>99</v>
      </c>
      <c r="S27" s="10" t="s">
        <v>79</v>
      </c>
      <c r="T27" s="6" t="s">
        <v>75</v>
      </c>
      <c r="U27" s="3"/>
    </row>
    <row r="28" spans="18:21" x14ac:dyDescent="0.25">
      <c r="R28" s="3" t="s">
        <v>20</v>
      </c>
      <c r="S28" s="10" t="s">
        <v>80</v>
      </c>
      <c r="T28" s="6" t="s">
        <v>75</v>
      </c>
      <c r="U28" s="3"/>
    </row>
    <row r="29" spans="18:21" x14ac:dyDescent="0.25">
      <c r="R29" s="3" t="s">
        <v>65</v>
      </c>
      <c r="S29" s="3" t="s">
        <v>66</v>
      </c>
      <c r="T29" s="6" t="s">
        <v>57</v>
      </c>
      <c r="U29" s="3"/>
    </row>
    <row r="30" spans="18:21" x14ac:dyDescent="0.25">
      <c r="R30" s="7" t="s">
        <v>18</v>
      </c>
      <c r="S30" s="6" t="s">
        <v>74</v>
      </c>
      <c r="T30" s="6" t="s">
        <v>75</v>
      </c>
      <c r="U30" s="3"/>
    </row>
    <row r="31" spans="18:21" x14ac:dyDescent="0.25">
      <c r="R31" s="3" t="s">
        <v>15</v>
      </c>
      <c r="S31" s="3"/>
      <c r="T31" s="6" t="s">
        <v>69</v>
      </c>
      <c r="U31" s="3"/>
    </row>
    <row r="32" spans="18:21" ht="16.5" x14ac:dyDescent="0.25">
      <c r="R32" s="3" t="s">
        <v>14</v>
      </c>
      <c r="S32" s="3" t="s">
        <v>72</v>
      </c>
      <c r="T32" s="6" t="s">
        <v>73</v>
      </c>
      <c r="U32" s="3"/>
    </row>
    <row r="33" spans="2:22" x14ac:dyDescent="0.25">
      <c r="R33" s="7" t="s">
        <v>17</v>
      </c>
      <c r="S33" s="6" t="s">
        <v>77</v>
      </c>
      <c r="T33" s="6" t="s">
        <v>75</v>
      </c>
      <c r="U33" s="3"/>
    </row>
    <row r="34" spans="2:22" ht="21" x14ac:dyDescent="0.35">
      <c r="B34" s="34" t="s">
        <v>104</v>
      </c>
      <c r="C34" s="34"/>
      <c r="D34" s="34"/>
      <c r="E34" s="34"/>
      <c r="F34" s="34"/>
      <c r="G34" s="34"/>
      <c r="H34" s="34"/>
      <c r="I34" s="34"/>
      <c r="J34" s="34"/>
      <c r="K34" s="21"/>
      <c r="L34" s="21"/>
      <c r="M34" s="21"/>
      <c r="N34" s="21"/>
      <c r="R34" s="3" t="s">
        <v>63</v>
      </c>
      <c r="S34" s="3" t="s">
        <v>64</v>
      </c>
      <c r="T34" s="6" t="s">
        <v>57</v>
      </c>
      <c r="U34" s="3"/>
    </row>
    <row r="35" spans="2:22" x14ac:dyDescent="0.25">
      <c r="R35" s="4" t="s">
        <v>81</v>
      </c>
      <c r="S35" s="10" t="s">
        <v>82</v>
      </c>
      <c r="T35" s="10" t="s">
        <v>83</v>
      </c>
      <c r="U35" s="4"/>
    </row>
    <row r="40" spans="2:22" ht="21" x14ac:dyDescent="0.35">
      <c r="R40" s="78" t="s">
        <v>146</v>
      </c>
      <c r="S40" s="78"/>
      <c r="T40" s="78"/>
      <c r="U40" s="78"/>
    </row>
    <row r="42" spans="2:22" ht="18.75" x14ac:dyDescent="0.3">
      <c r="R42" s="65" t="s">
        <v>147</v>
      </c>
      <c r="S42" s="66"/>
      <c r="T42" s="66"/>
      <c r="U42" s="66"/>
      <c r="V42" s="66"/>
    </row>
  </sheetData>
  <autoFilter ref="R6:U6" xr:uid="{44B24867-E988-4C96-B14F-C657F2A37A48}">
    <sortState xmlns:xlrd2="http://schemas.microsoft.com/office/spreadsheetml/2017/richdata2" ref="R7:U35">
      <sortCondition ref="R6"/>
    </sortState>
  </autoFilter>
  <mergeCells count="1">
    <mergeCell ref="R40:U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2BFF-4659-4475-A16D-95C1EDAA5D86}">
  <dimension ref="C2:F15"/>
  <sheetViews>
    <sheetView zoomScale="140" zoomScaleNormal="140" workbookViewId="0">
      <selection activeCell="E3" sqref="E3:E14"/>
    </sheetView>
  </sheetViews>
  <sheetFormatPr defaultRowHeight="15" x14ac:dyDescent="0.25"/>
  <cols>
    <col min="3" max="3" width="10" bestFit="1" customWidth="1"/>
    <col min="4" max="4" width="11" bestFit="1" customWidth="1"/>
    <col min="5" max="5" width="12" bestFit="1" customWidth="1"/>
  </cols>
  <sheetData>
    <row r="2" spans="3:6" x14ac:dyDescent="0.25">
      <c r="E2" t="s">
        <v>109</v>
      </c>
    </row>
    <row r="3" spans="3:6" x14ac:dyDescent="0.25">
      <c r="E3" t="s">
        <v>24</v>
      </c>
      <c r="F3" s="35" t="s">
        <v>110</v>
      </c>
    </row>
    <row r="4" spans="3:6" x14ac:dyDescent="0.25">
      <c r="C4" s="24"/>
      <c r="D4" s="24"/>
      <c r="E4" t="s">
        <v>27</v>
      </c>
      <c r="F4" s="35" t="s">
        <v>110</v>
      </c>
    </row>
    <row r="5" spans="3:6" x14ac:dyDescent="0.25">
      <c r="E5" t="s">
        <v>28</v>
      </c>
      <c r="F5" s="35" t="s">
        <v>111</v>
      </c>
    </row>
    <row r="6" spans="3:6" x14ac:dyDescent="0.25">
      <c r="E6" t="s">
        <v>29</v>
      </c>
      <c r="F6" s="35" t="s">
        <v>110</v>
      </c>
    </row>
    <row r="7" spans="3:6" x14ac:dyDescent="0.25">
      <c r="E7" t="s">
        <v>30</v>
      </c>
      <c r="F7" s="35" t="s">
        <v>112</v>
      </c>
    </row>
    <row r="8" spans="3:6" x14ac:dyDescent="0.25">
      <c r="D8" s="24"/>
      <c r="E8" t="s">
        <v>31</v>
      </c>
      <c r="F8" s="35" t="s">
        <v>112</v>
      </c>
    </row>
    <row r="9" spans="3:6" x14ac:dyDescent="0.25">
      <c r="D9" s="24"/>
      <c r="E9" t="s">
        <v>32</v>
      </c>
      <c r="F9" s="35" t="s">
        <v>111</v>
      </c>
    </row>
    <row r="10" spans="3:6" x14ac:dyDescent="0.25">
      <c r="D10" s="24"/>
      <c r="E10" t="s">
        <v>33</v>
      </c>
      <c r="F10" s="35" t="s">
        <v>111</v>
      </c>
    </row>
    <row r="11" spans="3:6" x14ac:dyDescent="0.25">
      <c r="E11" t="s">
        <v>34</v>
      </c>
    </row>
    <row r="12" spans="3:6" x14ac:dyDescent="0.25">
      <c r="E12" t="s">
        <v>35</v>
      </c>
    </row>
    <row r="13" spans="3:6" x14ac:dyDescent="0.25">
      <c r="E13" t="s">
        <v>36</v>
      </c>
    </row>
    <row r="14" spans="3:6" x14ac:dyDescent="0.25">
      <c r="E14" t="s">
        <v>37</v>
      </c>
    </row>
    <row r="15" spans="3:6" x14ac:dyDescent="0.25">
      <c r="D15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EFBE-F12F-4370-8125-6BD2136C47C9}">
  <dimension ref="A6:M66"/>
  <sheetViews>
    <sheetView workbookViewId="0">
      <selection activeCell="O22" sqref="O22"/>
    </sheetView>
  </sheetViews>
  <sheetFormatPr defaultRowHeight="15" x14ac:dyDescent="0.25"/>
  <cols>
    <col min="5" max="5" width="11" bestFit="1" customWidth="1"/>
    <col min="8" max="8" width="11" bestFit="1" customWidth="1"/>
    <col min="11" max="11" width="11" bestFit="1" customWidth="1"/>
  </cols>
  <sheetData>
    <row r="6" spans="1:13" x14ac:dyDescent="0.25">
      <c r="C6" s="79" t="s">
        <v>25</v>
      </c>
      <c r="D6" s="79"/>
      <c r="E6" s="79"/>
      <c r="F6" s="79"/>
      <c r="G6" s="79"/>
      <c r="I6" s="79" t="s">
        <v>38</v>
      </c>
      <c r="J6" s="79"/>
      <c r="K6" s="79"/>
      <c r="L6" s="79"/>
      <c r="M6" s="79"/>
    </row>
    <row r="8" spans="1:13" x14ac:dyDescent="0.25">
      <c r="C8" s="80" t="s">
        <v>113</v>
      </c>
      <c r="D8" s="80"/>
      <c r="E8" s="80"/>
      <c r="F8" s="80"/>
      <c r="G8" s="80"/>
      <c r="H8" s="80"/>
      <c r="I8" s="80"/>
      <c r="J8" s="80"/>
      <c r="K8" s="80"/>
      <c r="L8" s="80"/>
      <c r="M8" s="80"/>
    </row>
    <row r="10" spans="1:13" x14ac:dyDescent="0.25">
      <c r="A10" s="36" t="s">
        <v>114</v>
      </c>
      <c r="B10" s="81" t="s">
        <v>115</v>
      </c>
      <c r="C10" s="37">
        <v>12</v>
      </c>
      <c r="D10" s="81" t="s">
        <v>116</v>
      </c>
      <c r="E10" s="40">
        <v>24</v>
      </c>
      <c r="F10" s="81" t="s">
        <v>117</v>
      </c>
      <c r="G10" s="37">
        <v>36</v>
      </c>
      <c r="H10" s="81" t="s">
        <v>115</v>
      </c>
      <c r="I10" s="40">
        <v>48</v>
      </c>
      <c r="J10" s="81" t="s">
        <v>116</v>
      </c>
      <c r="K10" s="40">
        <v>60</v>
      </c>
      <c r="L10" s="81" t="s">
        <v>117</v>
      </c>
      <c r="M10" s="37">
        <v>72</v>
      </c>
    </row>
    <row r="11" spans="1:13" x14ac:dyDescent="0.25">
      <c r="A11" s="36" t="s">
        <v>118</v>
      </c>
      <c r="B11" s="81"/>
      <c r="C11" s="40">
        <v>11</v>
      </c>
      <c r="D11" s="81"/>
      <c r="E11" s="37">
        <v>23</v>
      </c>
      <c r="F11" s="81"/>
      <c r="G11" s="40">
        <v>35</v>
      </c>
      <c r="H11" s="81"/>
      <c r="I11" s="40">
        <v>47</v>
      </c>
      <c r="J11" s="81"/>
      <c r="K11" s="37">
        <v>59</v>
      </c>
      <c r="L11" s="81"/>
      <c r="M11" s="40">
        <v>71</v>
      </c>
    </row>
    <row r="12" spans="1:13" x14ac:dyDescent="0.25">
      <c r="A12" s="36" t="s">
        <v>119</v>
      </c>
      <c r="B12" s="81"/>
      <c r="C12" s="40">
        <v>10</v>
      </c>
      <c r="D12" s="81"/>
      <c r="E12" s="40">
        <v>22</v>
      </c>
      <c r="F12" s="81"/>
      <c r="G12" s="37">
        <v>34</v>
      </c>
      <c r="H12" s="81"/>
      <c r="I12" s="40">
        <v>46</v>
      </c>
      <c r="J12" s="81"/>
      <c r="K12" s="40">
        <v>58</v>
      </c>
      <c r="L12" s="81"/>
      <c r="M12" s="37">
        <v>70</v>
      </c>
    </row>
    <row r="13" spans="1:13" x14ac:dyDescent="0.25">
      <c r="A13" s="36" t="s">
        <v>120</v>
      </c>
      <c r="B13" s="81"/>
      <c r="C13" s="40">
        <v>9</v>
      </c>
      <c r="D13" s="81"/>
      <c r="E13" s="40">
        <v>21</v>
      </c>
      <c r="F13" s="81"/>
      <c r="G13" s="40">
        <v>33</v>
      </c>
      <c r="H13" s="81"/>
      <c r="I13" s="40">
        <v>45</v>
      </c>
      <c r="J13" s="81"/>
      <c r="K13" s="37">
        <v>57</v>
      </c>
      <c r="L13" s="81"/>
      <c r="M13" s="40">
        <v>69</v>
      </c>
    </row>
    <row r="14" spans="1:13" x14ac:dyDescent="0.25">
      <c r="A14" s="36" t="s">
        <v>121</v>
      </c>
      <c r="B14" s="81"/>
      <c r="C14" s="37">
        <v>8</v>
      </c>
      <c r="D14" s="81"/>
      <c r="E14" s="40">
        <v>20</v>
      </c>
      <c r="F14" s="81"/>
      <c r="G14" s="40">
        <v>32</v>
      </c>
      <c r="H14" s="81"/>
      <c r="I14" s="37">
        <v>44</v>
      </c>
      <c r="J14" s="81"/>
      <c r="K14" s="40">
        <v>56</v>
      </c>
      <c r="L14" s="81"/>
      <c r="M14" s="40">
        <v>68</v>
      </c>
    </row>
    <row r="15" spans="1:13" x14ac:dyDescent="0.25">
      <c r="A15" s="36" t="s">
        <v>122</v>
      </c>
      <c r="B15" s="81"/>
      <c r="C15" s="37">
        <v>7</v>
      </c>
      <c r="D15" s="81"/>
      <c r="E15" s="40">
        <v>19</v>
      </c>
      <c r="F15" s="81"/>
      <c r="G15" s="40">
        <v>31</v>
      </c>
      <c r="H15" s="81"/>
      <c r="I15" s="37">
        <v>43</v>
      </c>
      <c r="J15" s="81"/>
      <c r="K15" s="40">
        <v>55</v>
      </c>
      <c r="L15" s="81"/>
      <c r="M15" s="40">
        <v>67</v>
      </c>
    </row>
    <row r="16" spans="1:13" x14ac:dyDescent="0.25">
      <c r="A16" s="36" t="s">
        <v>123</v>
      </c>
      <c r="B16" s="81"/>
      <c r="C16" s="37">
        <v>6</v>
      </c>
      <c r="D16" s="81"/>
      <c r="E16" s="40">
        <v>18</v>
      </c>
      <c r="F16" s="81"/>
      <c r="G16" s="40">
        <v>30</v>
      </c>
      <c r="H16" s="81"/>
      <c r="I16" s="37">
        <v>42</v>
      </c>
      <c r="J16" s="81"/>
      <c r="K16" s="40">
        <v>54</v>
      </c>
      <c r="L16" s="81"/>
      <c r="M16" s="40">
        <v>66</v>
      </c>
    </row>
    <row r="17" spans="1:13" x14ac:dyDescent="0.25">
      <c r="A17" s="36" t="s">
        <v>124</v>
      </c>
      <c r="B17" s="81"/>
      <c r="C17" s="40">
        <v>5</v>
      </c>
      <c r="D17" s="81"/>
      <c r="E17" s="37">
        <v>17</v>
      </c>
      <c r="F17" s="81"/>
      <c r="G17" s="37">
        <v>29</v>
      </c>
      <c r="H17" s="81"/>
      <c r="I17" s="40">
        <v>41</v>
      </c>
      <c r="J17" s="81"/>
      <c r="K17" s="37">
        <v>53</v>
      </c>
      <c r="L17" s="81"/>
      <c r="M17" s="37">
        <v>65</v>
      </c>
    </row>
    <row r="18" spans="1:13" x14ac:dyDescent="0.25">
      <c r="A18" s="36" t="s">
        <v>125</v>
      </c>
      <c r="B18" s="81"/>
      <c r="C18" s="40">
        <v>4</v>
      </c>
      <c r="D18" s="81"/>
      <c r="E18" s="40">
        <v>16</v>
      </c>
      <c r="F18" s="81"/>
      <c r="G18" s="40">
        <v>28</v>
      </c>
      <c r="H18" s="81"/>
      <c r="I18" s="40">
        <v>40</v>
      </c>
      <c r="J18" s="81"/>
      <c r="K18" s="40">
        <v>52</v>
      </c>
      <c r="L18" s="81"/>
      <c r="M18" s="40">
        <v>64</v>
      </c>
    </row>
    <row r="19" spans="1:13" x14ac:dyDescent="0.25">
      <c r="A19" s="36" t="s">
        <v>126</v>
      </c>
      <c r="B19" s="81"/>
      <c r="C19" s="40">
        <v>3</v>
      </c>
      <c r="D19" s="81"/>
      <c r="E19" s="40">
        <v>15</v>
      </c>
      <c r="F19" s="81"/>
      <c r="G19" s="37">
        <v>27</v>
      </c>
      <c r="H19" s="81"/>
      <c r="I19" s="40">
        <v>39</v>
      </c>
      <c r="J19" s="81"/>
      <c r="K19" s="40">
        <v>51</v>
      </c>
      <c r="L19" s="81"/>
      <c r="M19" s="37">
        <v>63</v>
      </c>
    </row>
    <row r="20" spans="1:13" x14ac:dyDescent="0.25">
      <c r="A20" s="36" t="s">
        <v>127</v>
      </c>
      <c r="B20" s="81"/>
      <c r="C20" s="40">
        <v>2</v>
      </c>
      <c r="D20" s="81"/>
      <c r="E20" s="37">
        <v>14</v>
      </c>
      <c r="F20" s="81"/>
      <c r="G20" s="40">
        <v>26</v>
      </c>
      <c r="H20" s="81"/>
      <c r="I20" s="40">
        <v>38</v>
      </c>
      <c r="J20" s="81"/>
      <c r="K20" s="37">
        <v>50</v>
      </c>
      <c r="L20" s="81"/>
      <c r="M20" s="40">
        <v>62</v>
      </c>
    </row>
    <row r="21" spans="1:13" x14ac:dyDescent="0.25">
      <c r="A21" s="36" t="s">
        <v>128</v>
      </c>
      <c r="B21" s="81"/>
      <c r="C21" s="37">
        <v>1</v>
      </c>
      <c r="D21" s="81"/>
      <c r="E21" s="40">
        <v>13</v>
      </c>
      <c r="F21" s="81"/>
      <c r="G21" s="40">
        <v>25</v>
      </c>
      <c r="H21" s="81"/>
      <c r="I21" s="40">
        <v>37</v>
      </c>
      <c r="J21" s="81"/>
      <c r="K21" s="40">
        <v>49</v>
      </c>
      <c r="L21" s="81"/>
      <c r="M21" s="40">
        <v>61</v>
      </c>
    </row>
    <row r="23" spans="1:13" x14ac:dyDescent="0.25">
      <c r="C23" s="38" t="s">
        <v>129</v>
      </c>
      <c r="D23" s="38"/>
      <c r="E23" s="38" t="s">
        <v>130</v>
      </c>
      <c r="F23" s="38"/>
      <c r="G23" s="38" t="s">
        <v>131</v>
      </c>
      <c r="H23" s="38"/>
      <c r="I23" s="38" t="s">
        <v>132</v>
      </c>
      <c r="J23" s="38"/>
      <c r="K23" s="38" t="s">
        <v>133</v>
      </c>
      <c r="L23" s="38"/>
      <c r="M23" s="38" t="s">
        <v>134</v>
      </c>
    </row>
    <row r="34" spans="1:11" x14ac:dyDescent="0.25">
      <c r="A34" s="82" t="s">
        <v>25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</row>
    <row r="36" spans="1:11" x14ac:dyDescent="0.25">
      <c r="A36" s="36" t="s">
        <v>114</v>
      </c>
      <c r="B36" s="3"/>
      <c r="C36" s="81" t="s">
        <v>115</v>
      </c>
      <c r="D36" s="37">
        <v>12</v>
      </c>
      <c r="E36" s="39" t="s">
        <v>135</v>
      </c>
      <c r="F36" s="81" t="s">
        <v>116</v>
      </c>
      <c r="G36" s="37">
        <v>24</v>
      </c>
      <c r="H36" s="38" t="s">
        <v>28</v>
      </c>
      <c r="I36" s="81" t="s">
        <v>117</v>
      </c>
      <c r="J36" s="37">
        <v>36</v>
      </c>
      <c r="K36" s="38" t="s">
        <v>32</v>
      </c>
    </row>
    <row r="37" spans="1:11" x14ac:dyDescent="0.25">
      <c r="A37" s="36" t="s">
        <v>118</v>
      </c>
      <c r="B37" s="3"/>
      <c r="C37" s="81"/>
      <c r="D37" s="37">
        <v>11</v>
      </c>
      <c r="E37" s="39" t="s">
        <v>136</v>
      </c>
      <c r="F37" s="81"/>
      <c r="G37" s="37">
        <v>23</v>
      </c>
      <c r="H37" s="38" t="s">
        <v>31</v>
      </c>
      <c r="I37" s="81"/>
      <c r="J37" s="37">
        <v>35</v>
      </c>
      <c r="K37" s="38" t="s">
        <v>30</v>
      </c>
    </row>
    <row r="38" spans="1:11" x14ac:dyDescent="0.25">
      <c r="A38" s="36" t="s">
        <v>119</v>
      </c>
      <c r="B38" s="3"/>
      <c r="C38" s="81"/>
      <c r="D38" s="37">
        <v>10</v>
      </c>
      <c r="E38" s="39" t="s">
        <v>137</v>
      </c>
      <c r="F38" s="81"/>
      <c r="G38" s="37">
        <v>22</v>
      </c>
      <c r="H38" s="38" t="s">
        <v>135</v>
      </c>
      <c r="I38" s="81"/>
      <c r="J38" s="37">
        <v>34</v>
      </c>
      <c r="K38" s="38" t="s">
        <v>31</v>
      </c>
    </row>
    <row r="39" spans="1:11" x14ac:dyDescent="0.25">
      <c r="A39" s="36" t="s">
        <v>120</v>
      </c>
      <c r="B39" s="3"/>
      <c r="C39" s="81"/>
      <c r="D39" s="37">
        <v>9</v>
      </c>
      <c r="E39" s="39" t="s">
        <v>138</v>
      </c>
      <c r="F39" s="81"/>
      <c r="G39" s="37">
        <v>21</v>
      </c>
      <c r="H39" s="38" t="s">
        <v>24</v>
      </c>
      <c r="I39" s="81"/>
      <c r="J39" s="37">
        <v>33</v>
      </c>
      <c r="K39" s="38" t="s">
        <v>29</v>
      </c>
    </row>
    <row r="40" spans="1:11" x14ac:dyDescent="0.25">
      <c r="A40" s="36" t="s">
        <v>121</v>
      </c>
      <c r="B40" s="3"/>
      <c r="C40" s="81"/>
      <c r="D40" s="37">
        <v>8</v>
      </c>
      <c r="E40" s="39" t="s">
        <v>33</v>
      </c>
      <c r="F40" s="81"/>
      <c r="G40" s="37">
        <v>20</v>
      </c>
      <c r="H40" s="38" t="s">
        <v>136</v>
      </c>
      <c r="I40" s="81"/>
      <c r="J40" s="37">
        <v>32</v>
      </c>
      <c r="K40" s="38" t="s">
        <v>28</v>
      </c>
    </row>
    <row r="41" spans="1:11" x14ac:dyDescent="0.25">
      <c r="A41" s="36" t="s">
        <v>122</v>
      </c>
      <c r="B41" s="3"/>
      <c r="C41" s="81"/>
      <c r="D41" s="37">
        <v>7</v>
      </c>
      <c r="E41" s="39" t="s">
        <v>32</v>
      </c>
      <c r="F41" s="81"/>
      <c r="G41" s="37">
        <v>19</v>
      </c>
      <c r="H41" s="38" t="s">
        <v>30</v>
      </c>
      <c r="I41" s="81"/>
      <c r="J41" s="37">
        <v>31</v>
      </c>
      <c r="K41" s="38" t="s">
        <v>137</v>
      </c>
    </row>
    <row r="42" spans="1:11" x14ac:dyDescent="0.25">
      <c r="A42" s="36" t="s">
        <v>123</v>
      </c>
      <c r="B42" s="3"/>
      <c r="C42" s="81"/>
      <c r="D42" s="37">
        <v>6</v>
      </c>
      <c r="E42" s="39" t="s">
        <v>31</v>
      </c>
      <c r="F42" s="81"/>
      <c r="G42" s="37">
        <v>18</v>
      </c>
      <c r="H42" s="38" t="s">
        <v>29</v>
      </c>
      <c r="I42" s="81"/>
      <c r="J42" s="37">
        <v>30</v>
      </c>
      <c r="K42" s="38" t="s">
        <v>136</v>
      </c>
    </row>
    <row r="43" spans="1:11" x14ac:dyDescent="0.25">
      <c r="A43" s="36" t="s">
        <v>124</v>
      </c>
      <c r="B43" s="3"/>
      <c r="C43" s="81"/>
      <c r="D43" s="37">
        <v>5</v>
      </c>
      <c r="E43" s="39" t="s">
        <v>30</v>
      </c>
      <c r="F43" s="81"/>
      <c r="G43" s="37">
        <v>17</v>
      </c>
      <c r="H43" s="38" t="s">
        <v>32</v>
      </c>
      <c r="I43" s="81"/>
      <c r="J43" s="37">
        <v>29</v>
      </c>
      <c r="K43" s="38" t="s">
        <v>135</v>
      </c>
    </row>
    <row r="44" spans="1:11" x14ac:dyDescent="0.25">
      <c r="A44" s="36" t="s">
        <v>125</v>
      </c>
      <c r="B44" s="3"/>
      <c r="C44" s="81"/>
      <c r="D44" s="37">
        <v>4</v>
      </c>
      <c r="E44" s="39" t="s">
        <v>29</v>
      </c>
      <c r="F44" s="81"/>
      <c r="G44" s="37">
        <v>16</v>
      </c>
      <c r="H44" s="38" t="s">
        <v>27</v>
      </c>
      <c r="I44" s="81"/>
      <c r="J44" s="37">
        <v>28</v>
      </c>
      <c r="K44" s="38" t="s">
        <v>138</v>
      </c>
    </row>
    <row r="45" spans="1:11" x14ac:dyDescent="0.25">
      <c r="A45" s="36" t="s">
        <v>126</v>
      </c>
      <c r="B45" s="3"/>
      <c r="C45" s="81"/>
      <c r="D45" s="37">
        <v>3</v>
      </c>
      <c r="E45" s="39" t="s">
        <v>28</v>
      </c>
      <c r="F45" s="81"/>
      <c r="G45" s="37">
        <v>15</v>
      </c>
      <c r="H45" s="38" t="s">
        <v>138</v>
      </c>
      <c r="I45" s="81"/>
      <c r="J45" s="37">
        <v>27</v>
      </c>
      <c r="K45" s="38" t="s">
        <v>33</v>
      </c>
    </row>
    <row r="46" spans="1:11" x14ac:dyDescent="0.25">
      <c r="A46" s="36" t="s">
        <v>127</v>
      </c>
      <c r="B46" s="3"/>
      <c r="C46" s="81"/>
      <c r="D46" s="37">
        <v>2</v>
      </c>
      <c r="E46" s="39" t="s">
        <v>27</v>
      </c>
      <c r="F46" s="81"/>
      <c r="G46" s="37">
        <v>14</v>
      </c>
      <c r="H46" s="38" t="s">
        <v>33</v>
      </c>
      <c r="I46" s="81"/>
      <c r="J46" s="37">
        <v>26</v>
      </c>
      <c r="K46" s="38" t="s">
        <v>24</v>
      </c>
    </row>
    <row r="47" spans="1:11" x14ac:dyDescent="0.25">
      <c r="A47" s="36" t="s">
        <v>128</v>
      </c>
      <c r="B47" s="3"/>
      <c r="C47" s="81"/>
      <c r="D47" s="37">
        <v>1</v>
      </c>
      <c r="E47" s="39" t="s">
        <v>24</v>
      </c>
      <c r="F47" s="81"/>
      <c r="G47" s="37">
        <v>13</v>
      </c>
      <c r="H47" s="38" t="s">
        <v>137</v>
      </c>
      <c r="I47" s="81"/>
      <c r="J47" s="37">
        <v>25</v>
      </c>
      <c r="K47" s="38" t="s">
        <v>27</v>
      </c>
    </row>
    <row r="49" spans="1:11" x14ac:dyDescent="0.25">
      <c r="D49" s="38" t="s">
        <v>129</v>
      </c>
      <c r="E49" s="38"/>
      <c r="F49" s="38"/>
      <c r="G49" s="38" t="s">
        <v>130</v>
      </c>
      <c r="H49" s="38"/>
      <c r="I49" s="38"/>
      <c r="J49" s="38" t="s">
        <v>131</v>
      </c>
      <c r="K49" s="38"/>
    </row>
    <row r="51" spans="1:11" x14ac:dyDescent="0.25">
      <c r="A51" s="82" t="s">
        <v>38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</row>
    <row r="53" spans="1:11" x14ac:dyDescent="0.25">
      <c r="A53" s="36" t="s">
        <v>114</v>
      </c>
      <c r="B53" s="3"/>
      <c r="C53" s="81" t="s">
        <v>115</v>
      </c>
      <c r="D53" s="37">
        <v>48</v>
      </c>
      <c r="E53" s="39" t="s">
        <v>135</v>
      </c>
      <c r="F53" s="81" t="s">
        <v>116</v>
      </c>
      <c r="G53" s="37">
        <v>60</v>
      </c>
      <c r="H53" s="38" t="s">
        <v>28</v>
      </c>
      <c r="I53" s="81" t="s">
        <v>117</v>
      </c>
      <c r="J53" s="37">
        <v>72</v>
      </c>
      <c r="K53" s="38" t="s">
        <v>32</v>
      </c>
    </row>
    <row r="54" spans="1:11" x14ac:dyDescent="0.25">
      <c r="A54" s="36" t="s">
        <v>118</v>
      </c>
      <c r="B54" s="3"/>
      <c r="C54" s="81"/>
      <c r="D54" s="37">
        <v>47</v>
      </c>
      <c r="E54" s="39" t="s">
        <v>136</v>
      </c>
      <c r="F54" s="81"/>
      <c r="G54" s="37">
        <v>59</v>
      </c>
      <c r="H54" s="38" t="s">
        <v>31</v>
      </c>
      <c r="I54" s="81"/>
      <c r="J54" s="37">
        <v>71</v>
      </c>
      <c r="K54" s="38" t="s">
        <v>30</v>
      </c>
    </row>
    <row r="55" spans="1:11" x14ac:dyDescent="0.25">
      <c r="A55" s="36" t="s">
        <v>119</v>
      </c>
      <c r="B55" s="3"/>
      <c r="C55" s="81"/>
      <c r="D55" s="37">
        <v>46</v>
      </c>
      <c r="E55" s="39" t="s">
        <v>137</v>
      </c>
      <c r="F55" s="81"/>
      <c r="G55" s="37">
        <v>58</v>
      </c>
      <c r="H55" s="38" t="s">
        <v>135</v>
      </c>
      <c r="I55" s="81"/>
      <c r="J55" s="37">
        <v>70</v>
      </c>
      <c r="K55" s="38" t="s">
        <v>31</v>
      </c>
    </row>
    <row r="56" spans="1:11" x14ac:dyDescent="0.25">
      <c r="A56" s="36" t="s">
        <v>120</v>
      </c>
      <c r="B56" s="3"/>
      <c r="C56" s="81"/>
      <c r="D56" s="37">
        <v>45</v>
      </c>
      <c r="E56" s="39" t="s">
        <v>138</v>
      </c>
      <c r="F56" s="81"/>
      <c r="G56" s="37">
        <v>57</v>
      </c>
      <c r="H56" s="38" t="s">
        <v>24</v>
      </c>
      <c r="I56" s="81"/>
      <c r="J56" s="37">
        <v>69</v>
      </c>
      <c r="K56" s="38" t="s">
        <v>29</v>
      </c>
    </row>
    <row r="57" spans="1:11" x14ac:dyDescent="0.25">
      <c r="A57" s="36" t="s">
        <v>121</v>
      </c>
      <c r="B57" s="3"/>
      <c r="C57" s="81"/>
      <c r="D57" s="37">
        <v>44</v>
      </c>
      <c r="E57" s="39" t="s">
        <v>33</v>
      </c>
      <c r="F57" s="81"/>
      <c r="G57" s="37">
        <v>56</v>
      </c>
      <c r="H57" s="38" t="s">
        <v>136</v>
      </c>
      <c r="I57" s="81"/>
      <c r="J57" s="37">
        <v>68</v>
      </c>
      <c r="K57" s="38" t="s">
        <v>28</v>
      </c>
    </row>
    <row r="58" spans="1:11" x14ac:dyDescent="0.25">
      <c r="A58" s="36" t="s">
        <v>122</v>
      </c>
      <c r="B58" s="3"/>
      <c r="C58" s="81"/>
      <c r="D58" s="37">
        <v>43</v>
      </c>
      <c r="E58" s="39" t="s">
        <v>32</v>
      </c>
      <c r="F58" s="81"/>
      <c r="G58" s="37">
        <v>55</v>
      </c>
      <c r="H58" s="38" t="s">
        <v>30</v>
      </c>
      <c r="I58" s="81"/>
      <c r="J58" s="37">
        <v>67</v>
      </c>
      <c r="K58" s="38" t="s">
        <v>137</v>
      </c>
    </row>
    <row r="59" spans="1:11" x14ac:dyDescent="0.25">
      <c r="A59" s="36" t="s">
        <v>123</v>
      </c>
      <c r="B59" s="3"/>
      <c r="C59" s="81"/>
      <c r="D59" s="37">
        <v>42</v>
      </c>
      <c r="E59" s="39" t="s">
        <v>31</v>
      </c>
      <c r="F59" s="81"/>
      <c r="G59" s="37">
        <v>54</v>
      </c>
      <c r="H59" s="38" t="s">
        <v>29</v>
      </c>
      <c r="I59" s="81"/>
      <c r="J59" s="37">
        <v>66</v>
      </c>
      <c r="K59" s="38" t="s">
        <v>136</v>
      </c>
    </row>
    <row r="60" spans="1:11" x14ac:dyDescent="0.25">
      <c r="A60" s="36" t="s">
        <v>124</v>
      </c>
      <c r="B60" s="3"/>
      <c r="C60" s="81"/>
      <c r="D60" s="37">
        <v>41</v>
      </c>
      <c r="E60" s="39" t="s">
        <v>30</v>
      </c>
      <c r="F60" s="81"/>
      <c r="G60" s="37">
        <v>53</v>
      </c>
      <c r="H60" s="38" t="s">
        <v>32</v>
      </c>
      <c r="I60" s="81"/>
      <c r="J60" s="37">
        <v>65</v>
      </c>
      <c r="K60" s="38" t="s">
        <v>135</v>
      </c>
    </row>
    <row r="61" spans="1:11" x14ac:dyDescent="0.25">
      <c r="A61" s="36" t="s">
        <v>125</v>
      </c>
      <c r="B61" s="3"/>
      <c r="C61" s="81"/>
      <c r="D61" s="37">
        <v>40</v>
      </c>
      <c r="E61" s="39" t="s">
        <v>29</v>
      </c>
      <c r="F61" s="81"/>
      <c r="G61" s="37">
        <v>52</v>
      </c>
      <c r="H61" s="38" t="s">
        <v>27</v>
      </c>
      <c r="I61" s="81"/>
      <c r="J61" s="37">
        <v>64</v>
      </c>
      <c r="K61" s="38" t="s">
        <v>138</v>
      </c>
    </row>
    <row r="62" spans="1:11" x14ac:dyDescent="0.25">
      <c r="A62" s="36" t="s">
        <v>126</v>
      </c>
      <c r="B62" s="3"/>
      <c r="C62" s="81"/>
      <c r="D62" s="37">
        <v>39</v>
      </c>
      <c r="E62" s="39" t="s">
        <v>28</v>
      </c>
      <c r="F62" s="81"/>
      <c r="G62" s="37">
        <v>51</v>
      </c>
      <c r="H62" s="38" t="s">
        <v>138</v>
      </c>
      <c r="I62" s="81"/>
      <c r="J62" s="37">
        <v>63</v>
      </c>
      <c r="K62" s="38" t="s">
        <v>33</v>
      </c>
    </row>
    <row r="63" spans="1:11" x14ac:dyDescent="0.25">
      <c r="A63" s="36" t="s">
        <v>127</v>
      </c>
      <c r="B63" s="3"/>
      <c r="C63" s="81"/>
      <c r="D63" s="37">
        <v>38</v>
      </c>
      <c r="E63" s="39" t="s">
        <v>27</v>
      </c>
      <c r="F63" s="81"/>
      <c r="G63" s="37">
        <v>50</v>
      </c>
      <c r="H63" s="38" t="s">
        <v>33</v>
      </c>
      <c r="I63" s="81"/>
      <c r="J63" s="37">
        <v>62</v>
      </c>
      <c r="K63" s="38" t="s">
        <v>24</v>
      </c>
    </row>
    <row r="64" spans="1:11" x14ac:dyDescent="0.25">
      <c r="A64" s="36" t="s">
        <v>128</v>
      </c>
      <c r="B64" s="3"/>
      <c r="C64" s="81"/>
      <c r="D64" s="37">
        <v>37</v>
      </c>
      <c r="E64" s="39" t="s">
        <v>24</v>
      </c>
      <c r="F64" s="81"/>
      <c r="G64" s="37">
        <v>49</v>
      </c>
      <c r="H64" s="38" t="s">
        <v>137</v>
      </c>
      <c r="I64" s="81"/>
      <c r="J64" s="37">
        <v>61</v>
      </c>
      <c r="K64" s="38" t="s">
        <v>27</v>
      </c>
    </row>
    <row r="66" spans="3:10" x14ac:dyDescent="0.25">
      <c r="C66" s="38"/>
      <c r="D66" s="38" t="s">
        <v>132</v>
      </c>
      <c r="E66" s="38"/>
      <c r="F66" s="38"/>
      <c r="G66" s="38" t="s">
        <v>133</v>
      </c>
      <c r="H66" s="38"/>
      <c r="I66" s="38"/>
      <c r="J66" s="38" t="s">
        <v>134</v>
      </c>
    </row>
  </sheetData>
  <mergeCells count="17">
    <mergeCell ref="C53:C64"/>
    <mergeCell ref="F53:F64"/>
    <mergeCell ref="I53:I64"/>
    <mergeCell ref="C36:C47"/>
    <mergeCell ref="F36:F47"/>
    <mergeCell ref="I36:I47"/>
    <mergeCell ref="A51:K51"/>
    <mergeCell ref="C6:G6"/>
    <mergeCell ref="I6:M6"/>
    <mergeCell ref="C8:M8"/>
    <mergeCell ref="L10:L21"/>
    <mergeCell ref="A34:K34"/>
    <mergeCell ref="B10:B21"/>
    <mergeCell ref="D10:D21"/>
    <mergeCell ref="F10:F21"/>
    <mergeCell ref="H10:H21"/>
    <mergeCell ref="J10:J2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0D0B-BC9A-409F-A49B-EA4037B6C29E}">
  <dimension ref="A6:M66"/>
  <sheetViews>
    <sheetView workbookViewId="0">
      <selection activeCell="D25" sqref="D25"/>
    </sheetView>
  </sheetViews>
  <sheetFormatPr defaultRowHeight="15" x14ac:dyDescent="0.25"/>
  <cols>
    <col min="5" max="5" width="11" bestFit="1" customWidth="1"/>
    <col min="8" max="8" width="11" bestFit="1" customWidth="1"/>
    <col min="11" max="11" width="11" bestFit="1" customWidth="1"/>
  </cols>
  <sheetData>
    <row r="6" spans="1:13" x14ac:dyDescent="0.25">
      <c r="C6" s="79" t="s">
        <v>25</v>
      </c>
      <c r="D6" s="79"/>
      <c r="E6" s="79"/>
      <c r="F6" s="79"/>
      <c r="G6" s="79"/>
      <c r="I6" s="79" t="s">
        <v>38</v>
      </c>
      <c r="J6" s="79"/>
      <c r="K6" s="79"/>
      <c r="L6" s="79"/>
      <c r="M6" s="79"/>
    </row>
    <row r="8" spans="1:13" x14ac:dyDescent="0.25">
      <c r="C8" s="80" t="s">
        <v>113</v>
      </c>
      <c r="D8" s="80"/>
      <c r="E8" s="80"/>
      <c r="F8" s="80"/>
      <c r="G8" s="80"/>
      <c r="H8" s="80"/>
      <c r="I8" s="80"/>
      <c r="J8" s="80"/>
      <c r="K8" s="80"/>
      <c r="L8" s="80"/>
      <c r="M8" s="80"/>
    </row>
    <row r="10" spans="1:13" x14ac:dyDescent="0.25">
      <c r="A10" s="36" t="s">
        <v>114</v>
      </c>
      <c r="B10" s="81" t="s">
        <v>115</v>
      </c>
      <c r="C10" s="37">
        <v>12</v>
      </c>
      <c r="D10" s="81" t="s">
        <v>116</v>
      </c>
      <c r="E10" s="37">
        <v>24</v>
      </c>
      <c r="F10" s="81" t="s">
        <v>117</v>
      </c>
      <c r="G10" s="37">
        <v>36</v>
      </c>
      <c r="H10" s="81" t="s">
        <v>115</v>
      </c>
      <c r="I10" s="37">
        <v>48</v>
      </c>
      <c r="J10" s="81" t="s">
        <v>116</v>
      </c>
      <c r="K10" s="37">
        <v>60</v>
      </c>
      <c r="L10" s="81" t="s">
        <v>117</v>
      </c>
      <c r="M10" s="37">
        <v>72</v>
      </c>
    </row>
    <row r="11" spans="1:13" x14ac:dyDescent="0.25">
      <c r="A11" s="36" t="s">
        <v>118</v>
      </c>
      <c r="B11" s="81"/>
      <c r="C11" s="37">
        <v>11</v>
      </c>
      <c r="D11" s="81"/>
      <c r="E11" s="37">
        <v>23</v>
      </c>
      <c r="F11" s="81"/>
      <c r="G11" s="37">
        <v>35</v>
      </c>
      <c r="H11" s="81"/>
      <c r="I11" s="37">
        <v>47</v>
      </c>
      <c r="J11" s="81"/>
      <c r="K11" s="37">
        <v>59</v>
      </c>
      <c r="L11" s="81"/>
      <c r="M11" s="37">
        <v>71</v>
      </c>
    </row>
    <row r="12" spans="1:13" x14ac:dyDescent="0.25">
      <c r="A12" s="36" t="s">
        <v>119</v>
      </c>
      <c r="B12" s="81"/>
      <c r="C12" s="40">
        <v>10</v>
      </c>
      <c r="D12" s="81"/>
      <c r="E12" s="37">
        <v>22</v>
      </c>
      <c r="F12" s="81"/>
      <c r="G12" s="37">
        <v>34</v>
      </c>
      <c r="H12" s="81"/>
      <c r="I12" s="37">
        <v>46</v>
      </c>
      <c r="J12" s="81"/>
      <c r="K12" s="37">
        <v>58</v>
      </c>
      <c r="L12" s="81"/>
      <c r="M12" s="37">
        <v>70</v>
      </c>
    </row>
    <row r="13" spans="1:13" x14ac:dyDescent="0.25">
      <c r="A13" s="36" t="s">
        <v>120</v>
      </c>
      <c r="B13" s="81"/>
      <c r="C13" s="40">
        <v>9</v>
      </c>
      <c r="D13" s="81"/>
      <c r="E13" s="40">
        <v>21</v>
      </c>
      <c r="F13" s="81"/>
      <c r="G13" s="40">
        <v>33</v>
      </c>
      <c r="H13" s="81"/>
      <c r="I13" s="40">
        <v>45</v>
      </c>
      <c r="J13" s="81"/>
      <c r="K13" s="40">
        <v>57</v>
      </c>
      <c r="L13" s="81"/>
      <c r="M13" s="40">
        <v>69</v>
      </c>
    </row>
    <row r="14" spans="1:13" x14ac:dyDescent="0.25">
      <c r="A14" s="36" t="s">
        <v>121</v>
      </c>
      <c r="B14" s="81"/>
      <c r="C14" s="37">
        <v>8</v>
      </c>
      <c r="D14" s="81"/>
      <c r="E14" s="37">
        <v>20</v>
      </c>
      <c r="F14" s="81"/>
      <c r="G14" s="37">
        <v>32</v>
      </c>
      <c r="H14" s="81"/>
      <c r="I14" s="37">
        <v>44</v>
      </c>
      <c r="J14" s="81"/>
      <c r="K14" s="37">
        <v>56</v>
      </c>
      <c r="L14" s="81"/>
      <c r="M14" s="37">
        <v>68</v>
      </c>
    </row>
    <row r="15" spans="1:13" x14ac:dyDescent="0.25">
      <c r="A15" s="36" t="s">
        <v>122</v>
      </c>
      <c r="B15" s="81"/>
      <c r="C15" s="37">
        <v>7</v>
      </c>
      <c r="D15" s="81"/>
      <c r="E15" s="37">
        <v>19</v>
      </c>
      <c r="F15" s="81"/>
      <c r="G15" s="40">
        <v>31</v>
      </c>
      <c r="H15" s="81"/>
      <c r="I15" s="37">
        <v>43</v>
      </c>
      <c r="J15" s="81"/>
      <c r="K15" s="37">
        <v>55</v>
      </c>
      <c r="L15" s="81"/>
      <c r="M15" s="40">
        <v>67</v>
      </c>
    </row>
    <row r="16" spans="1:13" x14ac:dyDescent="0.25">
      <c r="A16" s="36" t="s">
        <v>123</v>
      </c>
      <c r="B16" s="81"/>
      <c r="C16" s="37">
        <v>6</v>
      </c>
      <c r="D16" s="81"/>
      <c r="E16" s="40">
        <v>18</v>
      </c>
      <c r="F16" s="81"/>
      <c r="G16" s="37">
        <v>30</v>
      </c>
      <c r="H16" s="81"/>
      <c r="I16" s="37">
        <v>42</v>
      </c>
      <c r="J16" s="81"/>
      <c r="K16" s="40">
        <v>54</v>
      </c>
      <c r="L16" s="81"/>
      <c r="M16" s="37">
        <v>66</v>
      </c>
    </row>
    <row r="17" spans="1:13" x14ac:dyDescent="0.25">
      <c r="A17" s="36" t="s">
        <v>124</v>
      </c>
      <c r="B17" s="81"/>
      <c r="C17" s="37">
        <v>5</v>
      </c>
      <c r="D17" s="81"/>
      <c r="E17" s="37">
        <v>17</v>
      </c>
      <c r="F17" s="81"/>
      <c r="G17" s="37">
        <v>29</v>
      </c>
      <c r="H17" s="81"/>
      <c r="I17" s="37">
        <v>41</v>
      </c>
      <c r="J17" s="81"/>
      <c r="K17" s="37">
        <v>53</v>
      </c>
      <c r="L17" s="81"/>
      <c r="M17" s="37">
        <v>65</v>
      </c>
    </row>
    <row r="18" spans="1:13" x14ac:dyDescent="0.25">
      <c r="A18" s="36" t="s">
        <v>125</v>
      </c>
      <c r="B18" s="81"/>
      <c r="C18" s="40">
        <v>4</v>
      </c>
      <c r="D18" s="81"/>
      <c r="E18" s="37">
        <v>16</v>
      </c>
      <c r="F18" s="81"/>
      <c r="G18" s="40">
        <v>28</v>
      </c>
      <c r="H18" s="81"/>
      <c r="I18" s="40">
        <v>40</v>
      </c>
      <c r="J18" s="81"/>
      <c r="K18" s="37">
        <v>52</v>
      </c>
      <c r="L18" s="81"/>
      <c r="M18" s="40">
        <v>64</v>
      </c>
    </row>
    <row r="19" spans="1:13" x14ac:dyDescent="0.25">
      <c r="A19" s="36" t="s">
        <v>126</v>
      </c>
      <c r="B19" s="81"/>
      <c r="C19" s="37">
        <v>3</v>
      </c>
      <c r="D19" s="81"/>
      <c r="E19" s="40">
        <v>15</v>
      </c>
      <c r="F19" s="81"/>
      <c r="G19" s="37">
        <v>27</v>
      </c>
      <c r="H19" s="81"/>
      <c r="I19" s="37">
        <v>39</v>
      </c>
      <c r="J19" s="81"/>
      <c r="K19" s="40">
        <v>51</v>
      </c>
      <c r="L19" s="81"/>
      <c r="M19" s="37">
        <v>63</v>
      </c>
    </row>
    <row r="20" spans="1:13" x14ac:dyDescent="0.25">
      <c r="A20" s="36" t="s">
        <v>127</v>
      </c>
      <c r="B20" s="81"/>
      <c r="C20" s="37">
        <v>2</v>
      </c>
      <c r="D20" s="81"/>
      <c r="E20" s="37">
        <v>14</v>
      </c>
      <c r="F20" s="81"/>
      <c r="G20" s="40">
        <v>26</v>
      </c>
      <c r="H20" s="81"/>
      <c r="I20" s="37">
        <v>38</v>
      </c>
      <c r="J20" s="81"/>
      <c r="K20" s="37">
        <v>50</v>
      </c>
      <c r="L20" s="81"/>
      <c r="M20" s="40">
        <v>62</v>
      </c>
    </row>
    <row r="21" spans="1:13" x14ac:dyDescent="0.25">
      <c r="A21" s="36" t="s">
        <v>128</v>
      </c>
      <c r="B21" s="81"/>
      <c r="C21" s="40">
        <v>1</v>
      </c>
      <c r="D21" s="81"/>
      <c r="E21" s="40">
        <v>13</v>
      </c>
      <c r="F21" s="81"/>
      <c r="G21" s="37">
        <v>25</v>
      </c>
      <c r="H21" s="81"/>
      <c r="I21" s="37">
        <v>37</v>
      </c>
      <c r="J21" s="81"/>
      <c r="K21" s="40">
        <v>49</v>
      </c>
      <c r="L21" s="81"/>
      <c r="M21" s="37">
        <v>61</v>
      </c>
    </row>
    <row r="23" spans="1:13" x14ac:dyDescent="0.25">
      <c r="C23" s="38" t="s">
        <v>129</v>
      </c>
      <c r="D23" s="38"/>
      <c r="E23" s="38" t="s">
        <v>130</v>
      </c>
      <c r="F23" s="38"/>
      <c r="G23" s="38" t="s">
        <v>131</v>
      </c>
      <c r="H23" s="38"/>
      <c r="I23" s="38" t="s">
        <v>132</v>
      </c>
      <c r="J23" s="38"/>
      <c r="K23" s="38" t="s">
        <v>133</v>
      </c>
      <c r="L23" s="38"/>
      <c r="M23" s="38" t="s">
        <v>134</v>
      </c>
    </row>
    <row r="34" spans="1:11" x14ac:dyDescent="0.25">
      <c r="A34" s="82" t="s">
        <v>25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</row>
    <row r="36" spans="1:11" x14ac:dyDescent="0.25">
      <c r="A36" s="36" t="s">
        <v>114</v>
      </c>
      <c r="B36" s="3"/>
      <c r="C36" s="81" t="s">
        <v>115</v>
      </c>
      <c r="D36" s="37">
        <v>12</v>
      </c>
      <c r="E36" s="39" t="s">
        <v>135</v>
      </c>
      <c r="F36" s="81" t="s">
        <v>116</v>
      </c>
      <c r="G36" s="37">
        <v>24</v>
      </c>
      <c r="H36" s="38" t="s">
        <v>28</v>
      </c>
      <c r="I36" s="81" t="s">
        <v>117</v>
      </c>
      <c r="J36" s="37">
        <v>36</v>
      </c>
      <c r="K36" s="38" t="s">
        <v>32</v>
      </c>
    </row>
    <row r="37" spans="1:11" x14ac:dyDescent="0.25">
      <c r="A37" s="36" t="s">
        <v>118</v>
      </c>
      <c r="B37" s="3"/>
      <c r="C37" s="81"/>
      <c r="D37" s="37">
        <v>11</v>
      </c>
      <c r="E37" s="39" t="s">
        <v>136</v>
      </c>
      <c r="F37" s="81"/>
      <c r="G37" s="37">
        <v>23</v>
      </c>
      <c r="H37" s="38" t="s">
        <v>31</v>
      </c>
      <c r="I37" s="81"/>
      <c r="J37" s="37">
        <v>35</v>
      </c>
      <c r="K37" s="38" t="s">
        <v>30</v>
      </c>
    </row>
    <row r="38" spans="1:11" x14ac:dyDescent="0.25">
      <c r="A38" s="36" t="s">
        <v>119</v>
      </c>
      <c r="B38" s="3"/>
      <c r="C38" s="81"/>
      <c r="D38" s="37">
        <v>10</v>
      </c>
      <c r="E38" s="39" t="s">
        <v>137</v>
      </c>
      <c r="F38" s="81"/>
      <c r="G38" s="37">
        <v>22</v>
      </c>
      <c r="H38" s="38" t="s">
        <v>135</v>
      </c>
      <c r="I38" s="81"/>
      <c r="J38" s="37">
        <v>34</v>
      </c>
      <c r="K38" s="38" t="s">
        <v>31</v>
      </c>
    </row>
    <row r="39" spans="1:11" x14ac:dyDescent="0.25">
      <c r="A39" s="36" t="s">
        <v>120</v>
      </c>
      <c r="B39" s="3"/>
      <c r="C39" s="81"/>
      <c r="D39" s="37">
        <v>9</v>
      </c>
      <c r="E39" s="39" t="s">
        <v>138</v>
      </c>
      <c r="F39" s="81"/>
      <c r="G39" s="37">
        <v>21</v>
      </c>
      <c r="H39" s="38" t="s">
        <v>24</v>
      </c>
      <c r="I39" s="81"/>
      <c r="J39" s="37">
        <v>33</v>
      </c>
      <c r="K39" s="38" t="s">
        <v>29</v>
      </c>
    </row>
    <row r="40" spans="1:11" x14ac:dyDescent="0.25">
      <c r="A40" s="36" t="s">
        <v>121</v>
      </c>
      <c r="B40" s="3"/>
      <c r="C40" s="81"/>
      <c r="D40" s="37">
        <v>8</v>
      </c>
      <c r="E40" s="39" t="s">
        <v>33</v>
      </c>
      <c r="F40" s="81"/>
      <c r="G40" s="37">
        <v>20</v>
      </c>
      <c r="H40" s="38" t="s">
        <v>136</v>
      </c>
      <c r="I40" s="81"/>
      <c r="J40" s="37">
        <v>32</v>
      </c>
      <c r="K40" s="38" t="s">
        <v>28</v>
      </c>
    </row>
    <row r="41" spans="1:11" x14ac:dyDescent="0.25">
      <c r="A41" s="36" t="s">
        <v>122</v>
      </c>
      <c r="B41" s="3"/>
      <c r="C41" s="81"/>
      <c r="D41" s="37">
        <v>7</v>
      </c>
      <c r="E41" s="39" t="s">
        <v>32</v>
      </c>
      <c r="F41" s="81"/>
      <c r="G41" s="37">
        <v>19</v>
      </c>
      <c r="H41" s="38" t="s">
        <v>30</v>
      </c>
      <c r="I41" s="81"/>
      <c r="J41" s="37">
        <v>31</v>
      </c>
      <c r="K41" s="38" t="s">
        <v>137</v>
      </c>
    </row>
    <row r="42" spans="1:11" x14ac:dyDescent="0.25">
      <c r="A42" s="36" t="s">
        <v>123</v>
      </c>
      <c r="B42" s="3"/>
      <c r="C42" s="81"/>
      <c r="D42" s="37">
        <v>6</v>
      </c>
      <c r="E42" s="39" t="s">
        <v>31</v>
      </c>
      <c r="F42" s="81"/>
      <c r="G42" s="37">
        <v>18</v>
      </c>
      <c r="H42" s="38" t="s">
        <v>29</v>
      </c>
      <c r="I42" s="81"/>
      <c r="J42" s="37">
        <v>30</v>
      </c>
      <c r="K42" s="38" t="s">
        <v>136</v>
      </c>
    </row>
    <row r="43" spans="1:11" x14ac:dyDescent="0.25">
      <c r="A43" s="36" t="s">
        <v>124</v>
      </c>
      <c r="B43" s="3"/>
      <c r="C43" s="81"/>
      <c r="D43" s="37">
        <v>5</v>
      </c>
      <c r="E43" s="39" t="s">
        <v>30</v>
      </c>
      <c r="F43" s="81"/>
      <c r="G43" s="37">
        <v>17</v>
      </c>
      <c r="H43" s="38" t="s">
        <v>32</v>
      </c>
      <c r="I43" s="81"/>
      <c r="J43" s="37">
        <v>29</v>
      </c>
      <c r="K43" s="38" t="s">
        <v>135</v>
      </c>
    </row>
    <row r="44" spans="1:11" x14ac:dyDescent="0.25">
      <c r="A44" s="36" t="s">
        <v>125</v>
      </c>
      <c r="B44" s="3"/>
      <c r="C44" s="81"/>
      <c r="D44" s="37">
        <v>4</v>
      </c>
      <c r="E44" s="39" t="s">
        <v>29</v>
      </c>
      <c r="F44" s="81"/>
      <c r="G44" s="37">
        <v>16</v>
      </c>
      <c r="H44" s="38" t="s">
        <v>27</v>
      </c>
      <c r="I44" s="81"/>
      <c r="J44" s="37">
        <v>28</v>
      </c>
      <c r="K44" s="38" t="s">
        <v>138</v>
      </c>
    </row>
    <row r="45" spans="1:11" x14ac:dyDescent="0.25">
      <c r="A45" s="36" t="s">
        <v>126</v>
      </c>
      <c r="B45" s="3"/>
      <c r="C45" s="81"/>
      <c r="D45" s="37">
        <v>3</v>
      </c>
      <c r="E45" s="39" t="s">
        <v>28</v>
      </c>
      <c r="F45" s="81"/>
      <c r="G45" s="37">
        <v>15</v>
      </c>
      <c r="H45" s="38" t="s">
        <v>138</v>
      </c>
      <c r="I45" s="81"/>
      <c r="J45" s="37">
        <v>27</v>
      </c>
      <c r="K45" s="38" t="s">
        <v>33</v>
      </c>
    </row>
    <row r="46" spans="1:11" x14ac:dyDescent="0.25">
      <c r="A46" s="36" t="s">
        <v>127</v>
      </c>
      <c r="B46" s="3"/>
      <c r="C46" s="81"/>
      <c r="D46" s="37">
        <v>2</v>
      </c>
      <c r="E46" s="39" t="s">
        <v>27</v>
      </c>
      <c r="F46" s="81"/>
      <c r="G46" s="37">
        <v>14</v>
      </c>
      <c r="H46" s="38" t="s">
        <v>33</v>
      </c>
      <c r="I46" s="81"/>
      <c r="J46" s="37">
        <v>26</v>
      </c>
      <c r="K46" s="38" t="s">
        <v>24</v>
      </c>
    </row>
    <row r="47" spans="1:11" x14ac:dyDescent="0.25">
      <c r="A47" s="36" t="s">
        <v>128</v>
      </c>
      <c r="B47" s="3"/>
      <c r="C47" s="81"/>
      <c r="D47" s="37">
        <v>1</v>
      </c>
      <c r="E47" s="39" t="s">
        <v>24</v>
      </c>
      <c r="F47" s="81"/>
      <c r="G47" s="37">
        <v>13</v>
      </c>
      <c r="H47" s="38" t="s">
        <v>137</v>
      </c>
      <c r="I47" s="81"/>
      <c r="J47" s="37">
        <v>25</v>
      </c>
      <c r="K47" s="38" t="s">
        <v>27</v>
      </c>
    </row>
    <row r="49" spans="1:11" x14ac:dyDescent="0.25">
      <c r="D49" s="38" t="s">
        <v>129</v>
      </c>
      <c r="E49" s="38"/>
      <c r="F49" s="38"/>
      <c r="G49" s="38" t="s">
        <v>130</v>
      </c>
      <c r="H49" s="38"/>
      <c r="I49" s="38"/>
      <c r="J49" s="38" t="s">
        <v>131</v>
      </c>
      <c r="K49" s="38"/>
    </row>
    <row r="51" spans="1:11" x14ac:dyDescent="0.25">
      <c r="A51" s="82" t="s">
        <v>38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</row>
    <row r="53" spans="1:11" x14ac:dyDescent="0.25">
      <c r="A53" s="36" t="s">
        <v>114</v>
      </c>
      <c r="B53" s="3"/>
      <c r="C53" s="81" t="s">
        <v>115</v>
      </c>
      <c r="D53" s="37">
        <v>48</v>
      </c>
      <c r="E53" s="39" t="s">
        <v>135</v>
      </c>
      <c r="F53" s="81" t="s">
        <v>116</v>
      </c>
      <c r="G53" s="37">
        <v>60</v>
      </c>
      <c r="H53" s="38" t="s">
        <v>28</v>
      </c>
      <c r="I53" s="81" t="s">
        <v>117</v>
      </c>
      <c r="J53" s="37">
        <v>72</v>
      </c>
      <c r="K53" s="38" t="s">
        <v>32</v>
      </c>
    </row>
    <row r="54" spans="1:11" x14ac:dyDescent="0.25">
      <c r="A54" s="36" t="s">
        <v>118</v>
      </c>
      <c r="B54" s="3"/>
      <c r="C54" s="81"/>
      <c r="D54" s="37">
        <v>47</v>
      </c>
      <c r="E54" s="39" t="s">
        <v>136</v>
      </c>
      <c r="F54" s="81"/>
      <c r="G54" s="37">
        <v>59</v>
      </c>
      <c r="H54" s="38" t="s">
        <v>31</v>
      </c>
      <c r="I54" s="81"/>
      <c r="J54" s="37">
        <v>71</v>
      </c>
      <c r="K54" s="38" t="s">
        <v>30</v>
      </c>
    </row>
    <row r="55" spans="1:11" x14ac:dyDescent="0.25">
      <c r="A55" s="36" t="s">
        <v>119</v>
      </c>
      <c r="B55" s="3"/>
      <c r="C55" s="81"/>
      <c r="D55" s="37">
        <v>46</v>
      </c>
      <c r="E55" s="39" t="s">
        <v>137</v>
      </c>
      <c r="F55" s="81"/>
      <c r="G55" s="37">
        <v>58</v>
      </c>
      <c r="H55" s="38" t="s">
        <v>135</v>
      </c>
      <c r="I55" s="81"/>
      <c r="J55" s="37">
        <v>70</v>
      </c>
      <c r="K55" s="38" t="s">
        <v>31</v>
      </c>
    </row>
    <row r="56" spans="1:11" x14ac:dyDescent="0.25">
      <c r="A56" s="36" t="s">
        <v>120</v>
      </c>
      <c r="B56" s="3"/>
      <c r="C56" s="81"/>
      <c r="D56" s="37">
        <v>45</v>
      </c>
      <c r="E56" s="39" t="s">
        <v>138</v>
      </c>
      <c r="F56" s="81"/>
      <c r="G56" s="37">
        <v>57</v>
      </c>
      <c r="H56" s="38" t="s">
        <v>24</v>
      </c>
      <c r="I56" s="81"/>
      <c r="J56" s="37">
        <v>69</v>
      </c>
      <c r="K56" s="38" t="s">
        <v>29</v>
      </c>
    </row>
    <row r="57" spans="1:11" x14ac:dyDescent="0.25">
      <c r="A57" s="36" t="s">
        <v>121</v>
      </c>
      <c r="B57" s="3"/>
      <c r="C57" s="81"/>
      <c r="D57" s="37">
        <v>44</v>
      </c>
      <c r="E57" s="39" t="s">
        <v>33</v>
      </c>
      <c r="F57" s="81"/>
      <c r="G57" s="37">
        <v>56</v>
      </c>
      <c r="H57" s="38" t="s">
        <v>136</v>
      </c>
      <c r="I57" s="81"/>
      <c r="J57" s="37">
        <v>68</v>
      </c>
      <c r="K57" s="38" t="s">
        <v>28</v>
      </c>
    </row>
    <row r="58" spans="1:11" x14ac:dyDescent="0.25">
      <c r="A58" s="36" t="s">
        <v>122</v>
      </c>
      <c r="B58" s="3"/>
      <c r="C58" s="81"/>
      <c r="D58" s="37">
        <v>43</v>
      </c>
      <c r="E58" s="39" t="s">
        <v>32</v>
      </c>
      <c r="F58" s="81"/>
      <c r="G58" s="37">
        <v>55</v>
      </c>
      <c r="H58" s="38" t="s">
        <v>30</v>
      </c>
      <c r="I58" s="81"/>
      <c r="J58" s="37">
        <v>67</v>
      </c>
      <c r="K58" s="38" t="s">
        <v>137</v>
      </c>
    </row>
    <row r="59" spans="1:11" x14ac:dyDescent="0.25">
      <c r="A59" s="36" t="s">
        <v>123</v>
      </c>
      <c r="B59" s="3"/>
      <c r="C59" s="81"/>
      <c r="D59" s="37">
        <v>42</v>
      </c>
      <c r="E59" s="39" t="s">
        <v>31</v>
      </c>
      <c r="F59" s="81"/>
      <c r="G59" s="37">
        <v>54</v>
      </c>
      <c r="H59" s="38" t="s">
        <v>29</v>
      </c>
      <c r="I59" s="81"/>
      <c r="J59" s="37">
        <v>66</v>
      </c>
      <c r="K59" s="38" t="s">
        <v>136</v>
      </c>
    </row>
    <row r="60" spans="1:11" x14ac:dyDescent="0.25">
      <c r="A60" s="36" t="s">
        <v>124</v>
      </c>
      <c r="B60" s="3"/>
      <c r="C60" s="81"/>
      <c r="D60" s="37">
        <v>41</v>
      </c>
      <c r="E60" s="39" t="s">
        <v>30</v>
      </c>
      <c r="F60" s="81"/>
      <c r="G60" s="37">
        <v>53</v>
      </c>
      <c r="H60" s="38" t="s">
        <v>32</v>
      </c>
      <c r="I60" s="81"/>
      <c r="J60" s="37">
        <v>65</v>
      </c>
      <c r="K60" s="38" t="s">
        <v>135</v>
      </c>
    </row>
    <row r="61" spans="1:11" x14ac:dyDescent="0.25">
      <c r="A61" s="36" t="s">
        <v>125</v>
      </c>
      <c r="B61" s="3"/>
      <c r="C61" s="81"/>
      <c r="D61" s="37">
        <v>40</v>
      </c>
      <c r="E61" s="39" t="s">
        <v>29</v>
      </c>
      <c r="F61" s="81"/>
      <c r="G61" s="37">
        <v>52</v>
      </c>
      <c r="H61" s="38" t="s">
        <v>27</v>
      </c>
      <c r="I61" s="81"/>
      <c r="J61" s="37">
        <v>64</v>
      </c>
      <c r="K61" s="38" t="s">
        <v>138</v>
      </c>
    </row>
    <row r="62" spans="1:11" x14ac:dyDescent="0.25">
      <c r="A62" s="36" t="s">
        <v>126</v>
      </c>
      <c r="B62" s="3"/>
      <c r="C62" s="81"/>
      <c r="D62" s="37">
        <v>39</v>
      </c>
      <c r="E62" s="39" t="s">
        <v>28</v>
      </c>
      <c r="F62" s="81"/>
      <c r="G62" s="37">
        <v>51</v>
      </c>
      <c r="H62" s="38" t="s">
        <v>138</v>
      </c>
      <c r="I62" s="81"/>
      <c r="J62" s="37">
        <v>63</v>
      </c>
      <c r="K62" s="38" t="s">
        <v>33</v>
      </c>
    </row>
    <row r="63" spans="1:11" x14ac:dyDescent="0.25">
      <c r="A63" s="36" t="s">
        <v>127</v>
      </c>
      <c r="B63" s="3"/>
      <c r="C63" s="81"/>
      <c r="D63" s="37">
        <v>38</v>
      </c>
      <c r="E63" s="39" t="s">
        <v>27</v>
      </c>
      <c r="F63" s="81"/>
      <c r="G63" s="37">
        <v>50</v>
      </c>
      <c r="H63" s="38" t="s">
        <v>33</v>
      </c>
      <c r="I63" s="81"/>
      <c r="J63" s="37">
        <v>62</v>
      </c>
      <c r="K63" s="38" t="s">
        <v>24</v>
      </c>
    </row>
    <row r="64" spans="1:11" x14ac:dyDescent="0.25">
      <c r="A64" s="36" t="s">
        <v>128</v>
      </c>
      <c r="B64" s="3"/>
      <c r="C64" s="81"/>
      <c r="D64" s="37">
        <v>37</v>
      </c>
      <c r="E64" s="39" t="s">
        <v>24</v>
      </c>
      <c r="F64" s="81"/>
      <c r="G64" s="37">
        <v>49</v>
      </c>
      <c r="H64" s="38" t="s">
        <v>137</v>
      </c>
      <c r="I64" s="81"/>
      <c r="J64" s="37">
        <v>61</v>
      </c>
      <c r="K64" s="38" t="s">
        <v>27</v>
      </c>
    </row>
    <row r="66" spans="3:10" x14ac:dyDescent="0.25">
      <c r="C66" s="38"/>
      <c r="D66" s="38" t="s">
        <v>132</v>
      </c>
      <c r="E66" s="38"/>
      <c r="F66" s="38"/>
      <c r="G66" s="38" t="s">
        <v>133</v>
      </c>
      <c r="H66" s="38"/>
      <c r="I66" s="38"/>
      <c r="J66" s="38" t="s">
        <v>134</v>
      </c>
    </row>
  </sheetData>
  <mergeCells count="17">
    <mergeCell ref="C53:C64"/>
    <mergeCell ref="F53:F64"/>
    <mergeCell ref="I53:I64"/>
    <mergeCell ref="C36:C47"/>
    <mergeCell ref="F36:F47"/>
    <mergeCell ref="I36:I47"/>
    <mergeCell ref="A51:K51"/>
    <mergeCell ref="C6:G6"/>
    <mergeCell ref="I6:M6"/>
    <mergeCell ref="C8:M8"/>
    <mergeCell ref="L10:L21"/>
    <mergeCell ref="A34:K34"/>
    <mergeCell ref="B10:B21"/>
    <mergeCell ref="D10:D21"/>
    <mergeCell ref="F10:F21"/>
    <mergeCell ref="H10:H21"/>
    <mergeCell ref="J10:J2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157A-74F9-4D17-9DC5-8C38DED86E3C}">
  <dimension ref="A6:M66"/>
  <sheetViews>
    <sheetView workbookViewId="0">
      <selection activeCell="H29" sqref="H29"/>
    </sheetView>
  </sheetViews>
  <sheetFormatPr defaultRowHeight="15" x14ac:dyDescent="0.25"/>
  <cols>
    <col min="5" max="5" width="11" bestFit="1" customWidth="1"/>
    <col min="8" max="8" width="11" bestFit="1" customWidth="1"/>
    <col min="11" max="11" width="11" bestFit="1" customWidth="1"/>
  </cols>
  <sheetData>
    <row r="6" spans="1:13" x14ac:dyDescent="0.25">
      <c r="C6" s="79" t="s">
        <v>25</v>
      </c>
      <c r="D6" s="79"/>
      <c r="E6" s="79"/>
      <c r="F6" s="79"/>
      <c r="G6" s="79"/>
      <c r="I6" s="79" t="s">
        <v>38</v>
      </c>
      <c r="J6" s="79"/>
      <c r="K6" s="79"/>
      <c r="L6" s="79"/>
      <c r="M6" s="79"/>
    </row>
    <row r="8" spans="1:13" x14ac:dyDescent="0.25">
      <c r="C8" s="80" t="s">
        <v>113</v>
      </c>
      <c r="D8" s="80"/>
      <c r="E8" s="80"/>
      <c r="F8" s="80"/>
      <c r="G8" s="80"/>
      <c r="H8" s="80"/>
      <c r="I8" s="80"/>
      <c r="J8" s="80"/>
      <c r="K8" s="80"/>
      <c r="L8" s="80"/>
      <c r="M8" s="80"/>
    </row>
    <row r="10" spans="1:13" x14ac:dyDescent="0.25">
      <c r="A10" s="36" t="s">
        <v>114</v>
      </c>
      <c r="B10" s="81" t="s">
        <v>115</v>
      </c>
      <c r="C10" s="37">
        <v>12</v>
      </c>
      <c r="D10" s="81" t="s">
        <v>116</v>
      </c>
      <c r="E10" s="37">
        <v>24</v>
      </c>
      <c r="F10" s="81" t="s">
        <v>117</v>
      </c>
      <c r="G10" s="37">
        <v>36</v>
      </c>
      <c r="H10" s="81" t="s">
        <v>115</v>
      </c>
      <c r="I10" s="37">
        <v>48</v>
      </c>
      <c r="J10" s="81" t="s">
        <v>116</v>
      </c>
      <c r="K10" s="40">
        <v>60</v>
      </c>
      <c r="L10" s="81" t="s">
        <v>117</v>
      </c>
      <c r="M10" s="37">
        <v>72</v>
      </c>
    </row>
    <row r="11" spans="1:13" x14ac:dyDescent="0.25">
      <c r="A11" s="36" t="s">
        <v>118</v>
      </c>
      <c r="B11" s="81"/>
      <c r="C11" s="37">
        <v>11</v>
      </c>
      <c r="D11" s="81"/>
      <c r="E11" s="37">
        <v>23</v>
      </c>
      <c r="F11" s="81"/>
      <c r="G11" s="37">
        <v>35</v>
      </c>
      <c r="H11" s="81"/>
      <c r="I11" s="37">
        <v>47</v>
      </c>
      <c r="J11" s="81"/>
      <c r="K11" s="37">
        <v>59</v>
      </c>
      <c r="L11" s="81"/>
      <c r="M11" s="40">
        <v>71</v>
      </c>
    </row>
    <row r="12" spans="1:13" x14ac:dyDescent="0.25">
      <c r="A12" s="36" t="s">
        <v>119</v>
      </c>
      <c r="B12" s="81"/>
      <c r="C12" s="37">
        <v>10</v>
      </c>
      <c r="D12" s="81"/>
      <c r="E12" s="37">
        <v>22</v>
      </c>
      <c r="F12" s="81"/>
      <c r="G12" s="37">
        <v>34</v>
      </c>
      <c r="H12" s="81"/>
      <c r="I12" s="41">
        <v>46</v>
      </c>
      <c r="J12" s="81"/>
      <c r="K12" s="37">
        <v>58</v>
      </c>
      <c r="L12" s="81"/>
      <c r="M12" s="37">
        <v>70</v>
      </c>
    </row>
    <row r="13" spans="1:13" x14ac:dyDescent="0.25">
      <c r="A13" s="36" t="s">
        <v>120</v>
      </c>
      <c r="B13" s="81"/>
      <c r="C13" s="37">
        <v>9</v>
      </c>
      <c r="D13" s="81"/>
      <c r="E13" s="37">
        <v>21</v>
      </c>
      <c r="F13" s="81"/>
      <c r="G13" s="37">
        <v>33</v>
      </c>
      <c r="H13" s="81"/>
      <c r="I13" s="37">
        <v>45</v>
      </c>
      <c r="J13" s="81"/>
      <c r="K13" s="37">
        <v>57</v>
      </c>
      <c r="L13" s="81"/>
      <c r="M13" s="37">
        <v>69</v>
      </c>
    </row>
    <row r="14" spans="1:13" x14ac:dyDescent="0.25">
      <c r="A14" s="36" t="s">
        <v>121</v>
      </c>
      <c r="B14" s="81"/>
      <c r="C14" s="37">
        <v>8</v>
      </c>
      <c r="D14" s="81"/>
      <c r="E14" s="37">
        <v>20</v>
      </c>
      <c r="F14" s="81"/>
      <c r="G14" s="37">
        <v>32</v>
      </c>
      <c r="H14" s="81"/>
      <c r="I14" s="37">
        <v>44</v>
      </c>
      <c r="J14" s="81"/>
      <c r="K14" s="37">
        <v>56</v>
      </c>
      <c r="L14" s="81"/>
      <c r="M14" s="37">
        <v>68</v>
      </c>
    </row>
    <row r="15" spans="1:13" x14ac:dyDescent="0.25">
      <c r="A15" s="36" t="s">
        <v>122</v>
      </c>
      <c r="B15" s="81"/>
      <c r="C15" s="37">
        <v>7</v>
      </c>
      <c r="D15" s="81"/>
      <c r="E15" s="37">
        <v>19</v>
      </c>
      <c r="F15" s="81"/>
      <c r="G15" s="37">
        <v>31</v>
      </c>
      <c r="H15" s="81"/>
      <c r="I15" s="37">
        <v>43</v>
      </c>
      <c r="J15" s="81"/>
      <c r="K15" s="40">
        <v>55</v>
      </c>
      <c r="L15" s="81"/>
      <c r="M15" s="37">
        <v>67</v>
      </c>
    </row>
    <row r="16" spans="1:13" x14ac:dyDescent="0.25">
      <c r="A16" s="36" t="s">
        <v>123</v>
      </c>
      <c r="B16" s="81"/>
      <c r="C16" s="37">
        <v>6</v>
      </c>
      <c r="D16" s="81"/>
      <c r="E16" s="37">
        <v>18</v>
      </c>
      <c r="F16" s="81"/>
      <c r="G16" s="37">
        <v>30</v>
      </c>
      <c r="H16" s="81"/>
      <c r="I16" s="37">
        <v>42</v>
      </c>
      <c r="J16" s="81"/>
      <c r="K16" s="37">
        <v>54</v>
      </c>
      <c r="L16" s="81"/>
      <c r="M16" s="37">
        <v>66</v>
      </c>
    </row>
    <row r="17" spans="1:13" x14ac:dyDescent="0.25">
      <c r="A17" s="36" t="s">
        <v>124</v>
      </c>
      <c r="B17" s="81"/>
      <c r="C17" s="37">
        <v>5</v>
      </c>
      <c r="D17" s="81"/>
      <c r="E17" s="37">
        <v>17</v>
      </c>
      <c r="F17" s="81"/>
      <c r="G17" s="37">
        <v>29</v>
      </c>
      <c r="H17" s="81"/>
      <c r="I17" s="40">
        <v>41</v>
      </c>
      <c r="J17" s="81"/>
      <c r="K17" s="37">
        <v>53</v>
      </c>
      <c r="L17" s="81"/>
      <c r="M17" s="37">
        <v>65</v>
      </c>
    </row>
    <row r="18" spans="1:13" x14ac:dyDescent="0.25">
      <c r="A18" s="36" t="s">
        <v>125</v>
      </c>
      <c r="B18" s="81"/>
      <c r="C18" s="37">
        <v>4</v>
      </c>
      <c r="D18" s="81"/>
      <c r="E18" s="37">
        <v>16</v>
      </c>
      <c r="F18" s="81"/>
      <c r="G18" s="37">
        <v>28</v>
      </c>
      <c r="H18" s="81"/>
      <c r="I18" s="40">
        <v>40</v>
      </c>
      <c r="J18" s="81"/>
      <c r="K18" s="40">
        <v>52</v>
      </c>
      <c r="L18" s="81"/>
      <c r="M18" s="37">
        <v>64</v>
      </c>
    </row>
    <row r="19" spans="1:13" x14ac:dyDescent="0.25">
      <c r="A19" s="36" t="s">
        <v>126</v>
      </c>
      <c r="B19" s="81"/>
      <c r="C19" s="37">
        <v>3</v>
      </c>
      <c r="D19" s="81"/>
      <c r="E19" s="37">
        <v>15</v>
      </c>
      <c r="F19" s="81"/>
      <c r="G19" s="37">
        <v>27</v>
      </c>
      <c r="H19" s="81"/>
      <c r="I19" s="37">
        <v>39</v>
      </c>
      <c r="J19" s="81"/>
      <c r="K19" s="37">
        <v>51</v>
      </c>
      <c r="L19" s="81"/>
      <c r="M19" s="37">
        <v>63</v>
      </c>
    </row>
    <row r="20" spans="1:13" x14ac:dyDescent="0.25">
      <c r="A20" s="36" t="s">
        <v>127</v>
      </c>
      <c r="B20" s="81"/>
      <c r="C20" s="37">
        <v>2</v>
      </c>
      <c r="D20" s="81"/>
      <c r="E20" s="37">
        <v>14</v>
      </c>
      <c r="F20" s="81"/>
      <c r="G20" s="37">
        <v>26</v>
      </c>
      <c r="H20" s="81"/>
      <c r="I20" s="37">
        <v>38</v>
      </c>
      <c r="J20" s="81"/>
      <c r="K20" s="37">
        <v>50</v>
      </c>
      <c r="L20" s="81"/>
      <c r="M20" s="37">
        <v>62</v>
      </c>
    </row>
    <row r="21" spans="1:13" x14ac:dyDescent="0.25">
      <c r="A21" s="36" t="s">
        <v>128</v>
      </c>
      <c r="B21" s="81"/>
      <c r="C21" s="37">
        <v>1</v>
      </c>
      <c r="D21" s="81"/>
      <c r="E21" s="37">
        <v>13</v>
      </c>
      <c r="F21" s="81"/>
      <c r="G21" s="37">
        <v>25</v>
      </c>
      <c r="H21" s="81"/>
      <c r="I21" s="40">
        <v>37</v>
      </c>
      <c r="J21" s="81"/>
      <c r="K21" s="41">
        <v>49</v>
      </c>
      <c r="L21" s="81"/>
      <c r="M21" s="37">
        <v>61</v>
      </c>
    </row>
    <row r="23" spans="1:13" x14ac:dyDescent="0.25">
      <c r="C23" s="38" t="s">
        <v>129</v>
      </c>
      <c r="D23" s="38"/>
      <c r="E23" s="38" t="s">
        <v>130</v>
      </c>
      <c r="F23" s="38"/>
      <c r="G23" s="38" t="s">
        <v>131</v>
      </c>
      <c r="H23" s="38"/>
      <c r="I23" s="38" t="s">
        <v>132</v>
      </c>
      <c r="J23" s="38"/>
      <c r="K23" s="38" t="s">
        <v>133</v>
      </c>
      <c r="L23" s="38"/>
      <c r="M23" s="38" t="s">
        <v>134</v>
      </c>
    </row>
    <row r="34" spans="1:11" x14ac:dyDescent="0.25">
      <c r="A34" s="82" t="s">
        <v>25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</row>
    <row r="36" spans="1:11" x14ac:dyDescent="0.25">
      <c r="A36" s="36" t="s">
        <v>114</v>
      </c>
      <c r="B36" s="3"/>
      <c r="C36" s="81" t="s">
        <v>115</v>
      </c>
      <c r="D36" s="37">
        <v>12</v>
      </c>
      <c r="E36" s="39" t="s">
        <v>135</v>
      </c>
      <c r="F36" s="81" t="s">
        <v>116</v>
      </c>
      <c r="G36" s="37">
        <v>24</v>
      </c>
      <c r="H36" s="38" t="s">
        <v>28</v>
      </c>
      <c r="I36" s="81" t="s">
        <v>117</v>
      </c>
      <c r="J36" s="37">
        <v>36</v>
      </c>
      <c r="K36" s="38" t="s">
        <v>32</v>
      </c>
    </row>
    <row r="37" spans="1:11" x14ac:dyDescent="0.25">
      <c r="A37" s="36" t="s">
        <v>118</v>
      </c>
      <c r="B37" s="3"/>
      <c r="C37" s="81"/>
      <c r="D37" s="37">
        <v>11</v>
      </c>
      <c r="E37" s="39" t="s">
        <v>136</v>
      </c>
      <c r="F37" s="81"/>
      <c r="G37" s="37">
        <v>23</v>
      </c>
      <c r="H37" s="38" t="s">
        <v>31</v>
      </c>
      <c r="I37" s="81"/>
      <c r="J37" s="37">
        <v>35</v>
      </c>
      <c r="K37" s="38" t="s">
        <v>30</v>
      </c>
    </row>
    <row r="38" spans="1:11" x14ac:dyDescent="0.25">
      <c r="A38" s="36" t="s">
        <v>119</v>
      </c>
      <c r="B38" s="3"/>
      <c r="C38" s="81"/>
      <c r="D38" s="37">
        <v>10</v>
      </c>
      <c r="E38" s="39" t="s">
        <v>137</v>
      </c>
      <c r="F38" s="81"/>
      <c r="G38" s="37">
        <v>22</v>
      </c>
      <c r="H38" s="38" t="s">
        <v>135</v>
      </c>
      <c r="I38" s="81"/>
      <c r="J38" s="37">
        <v>34</v>
      </c>
      <c r="K38" s="38" t="s">
        <v>31</v>
      </c>
    </row>
    <row r="39" spans="1:11" x14ac:dyDescent="0.25">
      <c r="A39" s="36" t="s">
        <v>120</v>
      </c>
      <c r="B39" s="3"/>
      <c r="C39" s="81"/>
      <c r="D39" s="37">
        <v>9</v>
      </c>
      <c r="E39" s="39" t="s">
        <v>138</v>
      </c>
      <c r="F39" s="81"/>
      <c r="G39" s="37">
        <v>21</v>
      </c>
      <c r="H39" s="38" t="s">
        <v>24</v>
      </c>
      <c r="I39" s="81"/>
      <c r="J39" s="37">
        <v>33</v>
      </c>
      <c r="K39" s="38" t="s">
        <v>29</v>
      </c>
    </row>
    <row r="40" spans="1:11" x14ac:dyDescent="0.25">
      <c r="A40" s="36" t="s">
        <v>121</v>
      </c>
      <c r="B40" s="3"/>
      <c r="C40" s="81"/>
      <c r="D40" s="37">
        <v>8</v>
      </c>
      <c r="E40" s="39" t="s">
        <v>33</v>
      </c>
      <c r="F40" s="81"/>
      <c r="G40" s="37">
        <v>20</v>
      </c>
      <c r="H40" s="38" t="s">
        <v>136</v>
      </c>
      <c r="I40" s="81"/>
      <c r="J40" s="37">
        <v>32</v>
      </c>
      <c r="K40" s="38" t="s">
        <v>28</v>
      </c>
    </row>
    <row r="41" spans="1:11" x14ac:dyDescent="0.25">
      <c r="A41" s="36" t="s">
        <v>122</v>
      </c>
      <c r="B41" s="3"/>
      <c r="C41" s="81"/>
      <c r="D41" s="37">
        <v>7</v>
      </c>
      <c r="E41" s="39" t="s">
        <v>32</v>
      </c>
      <c r="F41" s="81"/>
      <c r="G41" s="37">
        <v>19</v>
      </c>
      <c r="H41" s="38" t="s">
        <v>30</v>
      </c>
      <c r="I41" s="81"/>
      <c r="J41" s="37">
        <v>31</v>
      </c>
      <c r="K41" s="38" t="s">
        <v>137</v>
      </c>
    </row>
    <row r="42" spans="1:11" x14ac:dyDescent="0.25">
      <c r="A42" s="36" t="s">
        <v>123</v>
      </c>
      <c r="B42" s="3"/>
      <c r="C42" s="81"/>
      <c r="D42" s="37">
        <v>6</v>
      </c>
      <c r="E42" s="39" t="s">
        <v>31</v>
      </c>
      <c r="F42" s="81"/>
      <c r="G42" s="37">
        <v>18</v>
      </c>
      <c r="H42" s="38" t="s">
        <v>29</v>
      </c>
      <c r="I42" s="81"/>
      <c r="J42" s="37">
        <v>30</v>
      </c>
      <c r="K42" s="38" t="s">
        <v>136</v>
      </c>
    </row>
    <row r="43" spans="1:11" x14ac:dyDescent="0.25">
      <c r="A43" s="36" t="s">
        <v>124</v>
      </c>
      <c r="B43" s="3"/>
      <c r="C43" s="81"/>
      <c r="D43" s="37">
        <v>5</v>
      </c>
      <c r="E43" s="39" t="s">
        <v>30</v>
      </c>
      <c r="F43" s="81"/>
      <c r="G43" s="37">
        <v>17</v>
      </c>
      <c r="H43" s="38" t="s">
        <v>32</v>
      </c>
      <c r="I43" s="81"/>
      <c r="J43" s="37">
        <v>29</v>
      </c>
      <c r="K43" s="38" t="s">
        <v>135</v>
      </c>
    </row>
    <row r="44" spans="1:11" x14ac:dyDescent="0.25">
      <c r="A44" s="36" t="s">
        <v>125</v>
      </c>
      <c r="B44" s="3"/>
      <c r="C44" s="81"/>
      <c r="D44" s="37">
        <v>4</v>
      </c>
      <c r="E44" s="39" t="s">
        <v>29</v>
      </c>
      <c r="F44" s="81"/>
      <c r="G44" s="37">
        <v>16</v>
      </c>
      <c r="H44" s="38" t="s">
        <v>27</v>
      </c>
      <c r="I44" s="81"/>
      <c r="J44" s="37">
        <v>28</v>
      </c>
      <c r="K44" s="38" t="s">
        <v>138</v>
      </c>
    </row>
    <row r="45" spans="1:11" x14ac:dyDescent="0.25">
      <c r="A45" s="36" t="s">
        <v>126</v>
      </c>
      <c r="B45" s="3"/>
      <c r="C45" s="81"/>
      <c r="D45" s="37">
        <v>3</v>
      </c>
      <c r="E45" s="39" t="s">
        <v>28</v>
      </c>
      <c r="F45" s="81"/>
      <c r="G45" s="37">
        <v>15</v>
      </c>
      <c r="H45" s="38" t="s">
        <v>138</v>
      </c>
      <c r="I45" s="81"/>
      <c r="J45" s="37">
        <v>27</v>
      </c>
      <c r="K45" s="38" t="s">
        <v>33</v>
      </c>
    </row>
    <row r="46" spans="1:11" x14ac:dyDescent="0.25">
      <c r="A46" s="36" t="s">
        <v>127</v>
      </c>
      <c r="B46" s="3"/>
      <c r="C46" s="81"/>
      <c r="D46" s="37">
        <v>2</v>
      </c>
      <c r="E46" s="39" t="s">
        <v>27</v>
      </c>
      <c r="F46" s="81"/>
      <c r="G46" s="37">
        <v>14</v>
      </c>
      <c r="H46" s="38" t="s">
        <v>33</v>
      </c>
      <c r="I46" s="81"/>
      <c r="J46" s="37">
        <v>26</v>
      </c>
      <c r="K46" s="38" t="s">
        <v>24</v>
      </c>
    </row>
    <row r="47" spans="1:11" x14ac:dyDescent="0.25">
      <c r="A47" s="36" t="s">
        <v>128</v>
      </c>
      <c r="B47" s="3"/>
      <c r="C47" s="81"/>
      <c r="D47" s="37">
        <v>1</v>
      </c>
      <c r="E47" s="39" t="s">
        <v>24</v>
      </c>
      <c r="F47" s="81"/>
      <c r="G47" s="37">
        <v>13</v>
      </c>
      <c r="H47" s="38" t="s">
        <v>137</v>
      </c>
      <c r="I47" s="81"/>
      <c r="J47" s="37">
        <v>25</v>
      </c>
      <c r="K47" s="38" t="s">
        <v>27</v>
      </c>
    </row>
    <row r="49" spans="1:11" x14ac:dyDescent="0.25">
      <c r="D49" s="38" t="s">
        <v>129</v>
      </c>
      <c r="E49" s="38"/>
      <c r="F49" s="38"/>
      <c r="G49" s="38" t="s">
        <v>130</v>
      </c>
      <c r="H49" s="38"/>
      <c r="I49" s="38"/>
      <c r="J49" s="38" t="s">
        <v>131</v>
      </c>
      <c r="K49" s="38"/>
    </row>
    <row r="51" spans="1:11" x14ac:dyDescent="0.25">
      <c r="A51" s="82" t="s">
        <v>38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</row>
    <row r="53" spans="1:11" x14ac:dyDescent="0.25">
      <c r="A53" s="36" t="s">
        <v>114</v>
      </c>
      <c r="B53" s="3"/>
      <c r="C53" s="81" t="s">
        <v>115</v>
      </c>
      <c r="D53" s="37">
        <v>48</v>
      </c>
      <c r="E53" s="39" t="s">
        <v>135</v>
      </c>
      <c r="F53" s="81" t="s">
        <v>116</v>
      </c>
      <c r="G53" s="37">
        <v>60</v>
      </c>
      <c r="H53" s="38" t="s">
        <v>28</v>
      </c>
      <c r="I53" s="81" t="s">
        <v>117</v>
      </c>
      <c r="J53" s="37">
        <v>72</v>
      </c>
      <c r="K53" s="38" t="s">
        <v>32</v>
      </c>
    </row>
    <row r="54" spans="1:11" x14ac:dyDescent="0.25">
      <c r="A54" s="36" t="s">
        <v>118</v>
      </c>
      <c r="B54" s="3"/>
      <c r="C54" s="81"/>
      <c r="D54" s="37">
        <v>47</v>
      </c>
      <c r="E54" s="39" t="s">
        <v>136</v>
      </c>
      <c r="F54" s="81"/>
      <c r="G54" s="37">
        <v>59</v>
      </c>
      <c r="H54" s="38" t="s">
        <v>31</v>
      </c>
      <c r="I54" s="81"/>
      <c r="J54" s="37">
        <v>71</v>
      </c>
      <c r="K54" s="38" t="s">
        <v>30</v>
      </c>
    </row>
    <row r="55" spans="1:11" x14ac:dyDescent="0.25">
      <c r="A55" s="36" t="s">
        <v>119</v>
      </c>
      <c r="B55" s="3"/>
      <c r="C55" s="81"/>
      <c r="D55" s="37">
        <v>46</v>
      </c>
      <c r="E55" s="39" t="s">
        <v>137</v>
      </c>
      <c r="F55" s="81"/>
      <c r="G55" s="37">
        <v>58</v>
      </c>
      <c r="H55" s="38" t="s">
        <v>135</v>
      </c>
      <c r="I55" s="81"/>
      <c r="J55" s="37">
        <v>70</v>
      </c>
      <c r="K55" s="38" t="s">
        <v>31</v>
      </c>
    </row>
    <row r="56" spans="1:11" x14ac:dyDescent="0.25">
      <c r="A56" s="36" t="s">
        <v>120</v>
      </c>
      <c r="B56" s="3"/>
      <c r="C56" s="81"/>
      <c r="D56" s="37">
        <v>45</v>
      </c>
      <c r="E56" s="39" t="s">
        <v>138</v>
      </c>
      <c r="F56" s="81"/>
      <c r="G56" s="37">
        <v>57</v>
      </c>
      <c r="H56" s="38" t="s">
        <v>24</v>
      </c>
      <c r="I56" s="81"/>
      <c r="J56" s="37">
        <v>69</v>
      </c>
      <c r="K56" s="38" t="s">
        <v>29</v>
      </c>
    </row>
    <row r="57" spans="1:11" x14ac:dyDescent="0.25">
      <c r="A57" s="36" t="s">
        <v>121</v>
      </c>
      <c r="B57" s="3"/>
      <c r="C57" s="81"/>
      <c r="D57" s="37">
        <v>44</v>
      </c>
      <c r="E57" s="39" t="s">
        <v>33</v>
      </c>
      <c r="F57" s="81"/>
      <c r="G57" s="37">
        <v>56</v>
      </c>
      <c r="H57" s="38" t="s">
        <v>136</v>
      </c>
      <c r="I57" s="81"/>
      <c r="J57" s="37">
        <v>68</v>
      </c>
      <c r="K57" s="38" t="s">
        <v>28</v>
      </c>
    </row>
    <row r="58" spans="1:11" x14ac:dyDescent="0.25">
      <c r="A58" s="36" t="s">
        <v>122</v>
      </c>
      <c r="B58" s="3"/>
      <c r="C58" s="81"/>
      <c r="D58" s="37">
        <v>43</v>
      </c>
      <c r="E58" s="39" t="s">
        <v>32</v>
      </c>
      <c r="F58" s="81"/>
      <c r="G58" s="37">
        <v>55</v>
      </c>
      <c r="H58" s="38" t="s">
        <v>30</v>
      </c>
      <c r="I58" s="81"/>
      <c r="J58" s="37">
        <v>67</v>
      </c>
      <c r="K58" s="38" t="s">
        <v>137</v>
      </c>
    </row>
    <row r="59" spans="1:11" x14ac:dyDescent="0.25">
      <c r="A59" s="36" t="s">
        <v>123</v>
      </c>
      <c r="B59" s="3"/>
      <c r="C59" s="81"/>
      <c r="D59" s="37">
        <v>42</v>
      </c>
      <c r="E59" s="39" t="s">
        <v>31</v>
      </c>
      <c r="F59" s="81"/>
      <c r="G59" s="37">
        <v>54</v>
      </c>
      <c r="H59" s="38" t="s">
        <v>29</v>
      </c>
      <c r="I59" s="81"/>
      <c r="J59" s="37">
        <v>66</v>
      </c>
      <c r="K59" s="38" t="s">
        <v>136</v>
      </c>
    </row>
    <row r="60" spans="1:11" x14ac:dyDescent="0.25">
      <c r="A60" s="36" t="s">
        <v>124</v>
      </c>
      <c r="B60" s="3"/>
      <c r="C60" s="81"/>
      <c r="D60" s="37">
        <v>41</v>
      </c>
      <c r="E60" s="39" t="s">
        <v>30</v>
      </c>
      <c r="F60" s="81"/>
      <c r="G60" s="37">
        <v>53</v>
      </c>
      <c r="H60" s="38" t="s">
        <v>32</v>
      </c>
      <c r="I60" s="81"/>
      <c r="J60" s="37">
        <v>65</v>
      </c>
      <c r="K60" s="38" t="s">
        <v>135</v>
      </c>
    </row>
    <row r="61" spans="1:11" x14ac:dyDescent="0.25">
      <c r="A61" s="36" t="s">
        <v>125</v>
      </c>
      <c r="B61" s="3"/>
      <c r="C61" s="81"/>
      <c r="D61" s="37">
        <v>40</v>
      </c>
      <c r="E61" s="39" t="s">
        <v>29</v>
      </c>
      <c r="F61" s="81"/>
      <c r="G61" s="37">
        <v>52</v>
      </c>
      <c r="H61" s="38" t="s">
        <v>27</v>
      </c>
      <c r="I61" s="81"/>
      <c r="J61" s="37">
        <v>64</v>
      </c>
      <c r="K61" s="38" t="s">
        <v>138</v>
      </c>
    </row>
    <row r="62" spans="1:11" x14ac:dyDescent="0.25">
      <c r="A62" s="36" t="s">
        <v>126</v>
      </c>
      <c r="B62" s="3"/>
      <c r="C62" s="81"/>
      <c r="D62" s="37">
        <v>39</v>
      </c>
      <c r="E62" s="39" t="s">
        <v>28</v>
      </c>
      <c r="F62" s="81"/>
      <c r="G62" s="37">
        <v>51</v>
      </c>
      <c r="H62" s="38" t="s">
        <v>138</v>
      </c>
      <c r="I62" s="81"/>
      <c r="J62" s="37">
        <v>63</v>
      </c>
      <c r="K62" s="38" t="s">
        <v>33</v>
      </c>
    </row>
    <row r="63" spans="1:11" x14ac:dyDescent="0.25">
      <c r="A63" s="36" t="s">
        <v>127</v>
      </c>
      <c r="B63" s="3"/>
      <c r="C63" s="81"/>
      <c r="D63" s="37">
        <v>38</v>
      </c>
      <c r="E63" s="39" t="s">
        <v>27</v>
      </c>
      <c r="F63" s="81"/>
      <c r="G63" s="37">
        <v>50</v>
      </c>
      <c r="H63" s="38" t="s">
        <v>33</v>
      </c>
      <c r="I63" s="81"/>
      <c r="J63" s="37">
        <v>62</v>
      </c>
      <c r="K63" s="38" t="s">
        <v>24</v>
      </c>
    </row>
    <row r="64" spans="1:11" x14ac:dyDescent="0.25">
      <c r="A64" s="36" t="s">
        <v>128</v>
      </c>
      <c r="B64" s="3"/>
      <c r="C64" s="81"/>
      <c r="D64" s="37">
        <v>37</v>
      </c>
      <c r="E64" s="39" t="s">
        <v>24</v>
      </c>
      <c r="F64" s="81"/>
      <c r="G64" s="37">
        <v>49</v>
      </c>
      <c r="H64" s="38" t="s">
        <v>137</v>
      </c>
      <c r="I64" s="81"/>
      <c r="J64" s="37">
        <v>61</v>
      </c>
      <c r="K64" s="38" t="s">
        <v>27</v>
      </c>
    </row>
    <row r="66" spans="3:10" x14ac:dyDescent="0.25">
      <c r="C66" s="38"/>
      <c r="D66" s="38" t="s">
        <v>132</v>
      </c>
      <c r="E66" s="38"/>
      <c r="F66" s="38"/>
      <c r="G66" s="38" t="s">
        <v>133</v>
      </c>
      <c r="H66" s="38"/>
      <c r="I66" s="38"/>
      <c r="J66" s="38" t="s">
        <v>134</v>
      </c>
    </row>
  </sheetData>
  <mergeCells count="17">
    <mergeCell ref="C53:C64"/>
    <mergeCell ref="F53:F64"/>
    <mergeCell ref="I53:I64"/>
    <mergeCell ref="C36:C47"/>
    <mergeCell ref="F36:F47"/>
    <mergeCell ref="I36:I47"/>
    <mergeCell ref="A51:K51"/>
    <mergeCell ref="C6:G6"/>
    <mergeCell ref="I6:M6"/>
    <mergeCell ref="C8:M8"/>
    <mergeCell ref="L10:L21"/>
    <mergeCell ref="A34:K34"/>
    <mergeCell ref="B10:B21"/>
    <mergeCell ref="D10:D21"/>
    <mergeCell ref="F10:F21"/>
    <mergeCell ref="H10:H21"/>
    <mergeCell ref="J10:J21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7CF1-7D94-4AA0-9AF4-88EA1153C1A8}">
  <dimension ref="A1:AI667"/>
  <sheetViews>
    <sheetView zoomScale="90" zoomScaleNormal="90" workbookViewId="0">
      <pane ySplit="1" topLeftCell="A2" activePane="bottomLeft" state="frozen"/>
      <selection pane="bottomLeft" activeCell="T602" sqref="T602:T667"/>
    </sheetView>
  </sheetViews>
  <sheetFormatPr defaultRowHeight="15" x14ac:dyDescent="0.25"/>
  <cols>
    <col min="3" max="3" width="11" bestFit="1" customWidth="1"/>
    <col min="6" max="6" width="34.5703125" customWidth="1"/>
    <col min="7" max="7" width="12" bestFit="1" customWidth="1"/>
    <col min="11" max="11" width="16.28515625" bestFit="1" customWidth="1"/>
    <col min="12" max="12" width="14.85546875" bestFit="1" customWidth="1"/>
    <col min="13" max="13" width="15.42578125" bestFit="1" customWidth="1"/>
    <col min="14" max="14" width="14" bestFit="1" customWidth="1"/>
    <col min="15" max="15" width="16.42578125" bestFit="1" customWidth="1"/>
    <col min="16" max="16" width="16.140625" bestFit="1" customWidth="1"/>
    <col min="17" max="17" width="13.42578125" bestFit="1" customWidth="1"/>
    <col min="18" max="18" width="19.85546875" bestFit="1" customWidth="1"/>
    <col min="19" max="19" width="17.140625" bestFit="1" customWidth="1"/>
    <col min="20" max="20" width="27.28515625" bestFit="1" customWidth="1"/>
    <col min="22" max="22" width="10" bestFit="1" customWidth="1"/>
    <col min="23" max="23" width="16.140625" bestFit="1" customWidth="1"/>
    <col min="24" max="24" width="15.7109375" customWidth="1"/>
    <col min="25" max="25" width="14.5703125" bestFit="1" customWidth="1"/>
    <col min="26" max="26" width="13.140625" bestFit="1" customWidth="1"/>
    <col min="27" max="27" width="15.140625" bestFit="1" customWidth="1"/>
    <col min="28" max="28" width="19.42578125" bestFit="1" customWidth="1"/>
    <col min="29" max="29" width="14.7109375" bestFit="1" customWidth="1"/>
    <col min="30" max="30" width="12" bestFit="1" customWidth="1"/>
    <col min="31" max="31" width="12" customWidth="1"/>
    <col min="33" max="33" width="12" bestFit="1" customWidth="1"/>
    <col min="34" max="34" width="15.85546875" bestFit="1" customWidth="1"/>
    <col min="35" max="35" width="14.85546875" bestFit="1" customWidth="1"/>
  </cols>
  <sheetData>
    <row r="1" spans="1:35" x14ac:dyDescent="0.25">
      <c r="A1" t="s">
        <v>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100</v>
      </c>
      <c r="J1" t="s">
        <v>7</v>
      </c>
      <c r="K1" t="s">
        <v>8</v>
      </c>
      <c r="L1" t="s">
        <v>61</v>
      </c>
      <c r="M1" t="s">
        <v>63</v>
      </c>
      <c r="N1" t="s">
        <v>89</v>
      </c>
      <c r="O1" t="s">
        <v>101</v>
      </c>
      <c r="P1" t="s">
        <v>102</v>
      </c>
      <c r="Q1" t="s">
        <v>90</v>
      </c>
      <c r="R1" t="s">
        <v>91</v>
      </c>
      <c r="S1" t="s">
        <v>98</v>
      </c>
      <c r="T1" t="s">
        <v>88</v>
      </c>
      <c r="U1" t="s">
        <v>12</v>
      </c>
      <c r="V1" t="s">
        <v>13</v>
      </c>
      <c r="W1" t="s">
        <v>14</v>
      </c>
      <c r="X1" t="s">
        <v>16</v>
      </c>
      <c r="Y1" t="s">
        <v>17</v>
      </c>
      <c r="Z1" t="s">
        <v>18</v>
      </c>
      <c r="AA1" t="s">
        <v>92</v>
      </c>
      <c r="AB1" t="s">
        <v>93</v>
      </c>
      <c r="AC1" t="s">
        <v>108</v>
      </c>
      <c r="AD1" t="s">
        <v>95</v>
      </c>
      <c r="AE1" t="s">
        <v>106</v>
      </c>
      <c r="AF1" t="s">
        <v>21</v>
      </c>
      <c r="AG1" t="s">
        <v>96</v>
      </c>
      <c r="AH1" s="18" t="s">
        <v>22</v>
      </c>
      <c r="AI1" s="18" t="s">
        <v>23</v>
      </c>
    </row>
    <row r="2" spans="1:35" x14ac:dyDescent="0.25">
      <c r="A2">
        <v>2024</v>
      </c>
      <c r="B2" t="s">
        <v>103</v>
      </c>
      <c r="C2" t="s">
        <v>24</v>
      </c>
      <c r="D2" t="s">
        <v>25</v>
      </c>
      <c r="E2">
        <v>1</v>
      </c>
      <c r="F2">
        <v>1</v>
      </c>
      <c r="G2" s="12">
        <v>45572</v>
      </c>
      <c r="H2">
        <v>280</v>
      </c>
      <c r="J2" t="s">
        <v>26</v>
      </c>
      <c r="K2">
        <v>37100</v>
      </c>
      <c r="L2">
        <v>0</v>
      </c>
      <c r="M2">
        <v>1.6000000000000014</v>
      </c>
      <c r="N2">
        <v>19.89</v>
      </c>
      <c r="O2">
        <v>54.3</v>
      </c>
      <c r="P2">
        <v>35.799999999999997</v>
      </c>
      <c r="Q2">
        <v>241.5</v>
      </c>
      <c r="R2">
        <v>111.58999999999999</v>
      </c>
      <c r="S2">
        <v>609.5</v>
      </c>
      <c r="T2">
        <v>3748.8512035010945</v>
      </c>
      <c r="U2">
        <v>2</v>
      </c>
      <c r="V2">
        <v>0.91400000000000003</v>
      </c>
      <c r="W2">
        <v>1.8280000000000001</v>
      </c>
      <c r="X2">
        <v>0</v>
      </c>
      <c r="Y2" s="17">
        <v>79.141864699851652</v>
      </c>
      <c r="Z2" s="17">
        <v>983.83230555003001</v>
      </c>
      <c r="AA2" s="17">
        <v>2685.8770332512127</v>
      </c>
      <c r="AB2" s="17">
        <v>1770.7992226591791</v>
      </c>
      <c r="AC2" s="17">
        <v>1485.3938730853392</v>
      </c>
      <c r="AD2">
        <v>1516.9584245076585</v>
      </c>
      <c r="AF2">
        <v>0.40464620817464131</v>
      </c>
      <c r="AG2">
        <v>25.980092557659898</v>
      </c>
      <c r="AH2">
        <v>48.006</v>
      </c>
      <c r="AI2">
        <v>13</v>
      </c>
    </row>
    <row r="3" spans="1:35" x14ac:dyDescent="0.25">
      <c r="A3">
        <v>2024</v>
      </c>
      <c r="B3" t="s">
        <v>103</v>
      </c>
      <c r="C3" t="s">
        <v>27</v>
      </c>
      <c r="D3" t="s">
        <v>25</v>
      </c>
      <c r="E3">
        <v>1</v>
      </c>
      <c r="F3">
        <v>2</v>
      </c>
      <c r="G3" s="12">
        <v>45566</v>
      </c>
      <c r="H3">
        <v>274</v>
      </c>
      <c r="J3" t="s">
        <v>26</v>
      </c>
      <c r="K3">
        <v>37100</v>
      </c>
      <c r="L3">
        <v>0</v>
      </c>
      <c r="M3">
        <v>0.60000000000000142</v>
      </c>
      <c r="N3">
        <v>22.89</v>
      </c>
      <c r="O3">
        <v>76.3</v>
      </c>
      <c r="P3">
        <v>51.899999999999991</v>
      </c>
      <c r="Q3">
        <v>213.10000000000002</v>
      </c>
      <c r="R3">
        <v>151.69</v>
      </c>
      <c r="S3">
        <v>475.5</v>
      </c>
      <c r="T3">
        <v>3147.1006564551417</v>
      </c>
      <c r="U3">
        <v>2</v>
      </c>
      <c r="V3">
        <v>0.91400000000000003</v>
      </c>
      <c r="W3">
        <v>1.8280000000000001</v>
      </c>
      <c r="X3">
        <v>0</v>
      </c>
      <c r="Y3">
        <v>18.922340854525402</v>
      </c>
      <c r="Z3" s="16">
        <v>721.88730360014233</v>
      </c>
      <c r="AA3">
        <v>2406.291012000474</v>
      </c>
      <c r="AB3">
        <v>1636.782483916443</v>
      </c>
      <c r="AC3">
        <v>1410.4041007162791</v>
      </c>
      <c r="AD3">
        <v>1449.671772428884</v>
      </c>
      <c r="AF3">
        <v>0.4606372438248536</v>
      </c>
      <c r="AG3">
        <v>24.827711964586634</v>
      </c>
      <c r="AH3">
        <v>54.940200000000004</v>
      </c>
      <c r="AI3">
        <v>15.2</v>
      </c>
    </row>
    <row r="4" spans="1:35" x14ac:dyDescent="0.25">
      <c r="A4">
        <v>2024</v>
      </c>
      <c r="B4" t="s">
        <v>103</v>
      </c>
      <c r="C4" t="s">
        <v>28</v>
      </c>
      <c r="D4" t="s">
        <v>25</v>
      </c>
      <c r="E4">
        <v>1</v>
      </c>
      <c r="F4">
        <v>3</v>
      </c>
      <c r="G4" s="12">
        <v>45572</v>
      </c>
      <c r="H4">
        <v>280</v>
      </c>
      <c r="J4" t="s">
        <v>26</v>
      </c>
      <c r="K4">
        <v>37100</v>
      </c>
      <c r="L4">
        <v>0</v>
      </c>
      <c r="M4">
        <v>1.6000000000000014</v>
      </c>
      <c r="N4">
        <v>25.89</v>
      </c>
      <c r="O4">
        <v>63.3</v>
      </c>
      <c r="P4">
        <v>42.5</v>
      </c>
      <c r="Q4">
        <v>199</v>
      </c>
      <c r="R4">
        <v>133.29</v>
      </c>
      <c r="S4">
        <v>472.5</v>
      </c>
      <c r="T4">
        <v>3081.4551422319473</v>
      </c>
      <c r="U4">
        <v>2</v>
      </c>
      <c r="V4">
        <v>0.91400000000000003</v>
      </c>
      <c r="W4">
        <v>1.8280000000000001</v>
      </c>
      <c r="X4">
        <v>0</v>
      </c>
      <c r="Y4">
        <v>54.304749725422624</v>
      </c>
      <c r="Z4" s="16">
        <v>878.71873149449414</v>
      </c>
      <c r="AA4">
        <v>2148.4316610120304</v>
      </c>
      <c r="AB4">
        <v>1442.4699145815373</v>
      </c>
      <c r="AC4">
        <v>1297.7980387389578</v>
      </c>
      <c r="AD4">
        <v>1321.1159737417943</v>
      </c>
      <c r="AF4">
        <v>0.42873120417546912</v>
      </c>
      <c r="AG4">
        <v>22.626009205462914</v>
      </c>
      <c r="AH4">
        <v>51.308</v>
      </c>
      <c r="AI4">
        <v>12</v>
      </c>
    </row>
    <row r="5" spans="1:35" x14ac:dyDescent="0.25">
      <c r="A5">
        <v>2024</v>
      </c>
      <c r="B5" t="s">
        <v>103</v>
      </c>
      <c r="C5" t="s">
        <v>29</v>
      </c>
      <c r="D5" t="s">
        <v>25</v>
      </c>
      <c r="E5">
        <v>1</v>
      </c>
      <c r="F5">
        <v>4</v>
      </c>
      <c r="G5" s="12">
        <v>45566</v>
      </c>
      <c r="H5">
        <v>274</v>
      </c>
      <c r="J5" t="s">
        <v>26</v>
      </c>
      <c r="K5">
        <v>37100</v>
      </c>
      <c r="L5">
        <v>0</v>
      </c>
      <c r="M5">
        <v>0</v>
      </c>
      <c r="N5">
        <v>35.89</v>
      </c>
      <c r="O5">
        <v>101.3</v>
      </c>
      <c r="P5">
        <v>66</v>
      </c>
      <c r="Q5">
        <v>199.10000000000002</v>
      </c>
      <c r="R5">
        <v>203.19</v>
      </c>
      <c r="S5">
        <v>480.5</v>
      </c>
      <c r="T5">
        <v>3379.0481400437634</v>
      </c>
      <c r="U5">
        <v>2</v>
      </c>
      <c r="V5">
        <v>0.91400000000000003</v>
      </c>
      <c r="W5">
        <v>1.8280000000000001</v>
      </c>
      <c r="X5">
        <v>0</v>
      </c>
      <c r="Y5">
        <v>0</v>
      </c>
      <c r="Z5" s="16">
        <v>883.98598838232124</v>
      </c>
      <c r="AA5">
        <v>2495.0621516614419</v>
      </c>
      <c r="AB5">
        <v>1625.6081146066651</v>
      </c>
      <c r="AC5">
        <v>1400.1425279556991</v>
      </c>
      <c r="AD5">
        <v>1450.2188183807439</v>
      </c>
      <c r="AF5">
        <v>0.42917968560281045</v>
      </c>
      <c r="AG5">
        <v>24.8370809124978</v>
      </c>
      <c r="AH5">
        <v>58.674000000000007</v>
      </c>
      <c r="AI5">
        <v>19.2</v>
      </c>
    </row>
    <row r="6" spans="1:35" x14ac:dyDescent="0.25">
      <c r="A6">
        <v>2024</v>
      </c>
      <c r="B6" t="s">
        <v>103</v>
      </c>
      <c r="C6" t="s">
        <v>30</v>
      </c>
      <c r="D6" t="s">
        <v>25</v>
      </c>
      <c r="E6">
        <v>1</v>
      </c>
      <c r="F6">
        <v>5</v>
      </c>
      <c r="G6" s="12">
        <v>45566</v>
      </c>
      <c r="H6">
        <v>274</v>
      </c>
      <c r="J6" t="s">
        <v>26</v>
      </c>
      <c r="K6">
        <v>37100</v>
      </c>
      <c r="L6">
        <v>0</v>
      </c>
      <c r="M6">
        <v>0</v>
      </c>
      <c r="N6">
        <v>22.89</v>
      </c>
      <c r="O6">
        <v>74.3</v>
      </c>
      <c r="P6">
        <v>49.599999999999994</v>
      </c>
      <c r="Q6">
        <v>0</v>
      </c>
      <c r="R6">
        <v>146.78999999999996</v>
      </c>
      <c r="S6">
        <v>0</v>
      </c>
      <c r="T6">
        <v>531.67396061269142</v>
      </c>
      <c r="U6">
        <v>2</v>
      </c>
      <c r="V6">
        <v>0.91400000000000003</v>
      </c>
      <c r="W6">
        <v>1.8280000000000001</v>
      </c>
      <c r="X6">
        <v>0</v>
      </c>
      <c r="Y6">
        <v>0</v>
      </c>
      <c r="Z6" s="16">
        <v>125.21881838074397</v>
      </c>
      <c r="AA6">
        <v>406.45514223194738</v>
      </c>
      <c r="AB6">
        <v>271.33479212253826</v>
      </c>
      <c r="AC6">
        <v>0</v>
      </c>
      <c r="AD6">
        <v>271.3347921225382</v>
      </c>
      <c r="AF6">
        <v>0.51034057001749134</v>
      </c>
      <c r="AG6">
        <v>4.6469981639377238</v>
      </c>
      <c r="AH6">
        <v>64.262</v>
      </c>
      <c r="AI6">
        <v>19</v>
      </c>
    </row>
    <row r="7" spans="1:35" x14ac:dyDescent="0.25">
      <c r="A7">
        <v>2024</v>
      </c>
      <c r="B7" t="s">
        <v>103</v>
      </c>
      <c r="C7" t="s">
        <v>31</v>
      </c>
      <c r="D7" t="s">
        <v>25</v>
      </c>
      <c r="E7">
        <v>1</v>
      </c>
      <c r="F7">
        <v>6</v>
      </c>
      <c r="G7" s="12">
        <v>45576</v>
      </c>
      <c r="H7">
        <v>284</v>
      </c>
      <c r="J7" t="s">
        <v>26</v>
      </c>
      <c r="K7">
        <v>37100</v>
      </c>
      <c r="L7">
        <v>0</v>
      </c>
      <c r="M7">
        <v>0</v>
      </c>
      <c r="N7">
        <v>0</v>
      </c>
      <c r="O7">
        <v>0</v>
      </c>
      <c r="P7">
        <v>0</v>
      </c>
      <c r="Q7">
        <v>472.90000000000003</v>
      </c>
      <c r="R7">
        <v>0</v>
      </c>
      <c r="S7">
        <v>975.5</v>
      </c>
      <c r="T7">
        <v>5336.4332603938728</v>
      </c>
      <c r="U7">
        <v>2</v>
      </c>
      <c r="V7">
        <v>0.91400000000000003</v>
      </c>
      <c r="W7">
        <v>1.8280000000000001</v>
      </c>
      <c r="X7">
        <v>0</v>
      </c>
      <c r="Y7">
        <v>0</v>
      </c>
      <c r="Z7" s="16">
        <v>0</v>
      </c>
      <c r="AA7">
        <v>0</v>
      </c>
      <c r="AB7">
        <v>0</v>
      </c>
      <c r="AC7">
        <v>2586.980306345733</v>
      </c>
      <c r="AD7">
        <v>2586.980306345733</v>
      </c>
      <c r="AF7">
        <v>0.48477703741670941</v>
      </c>
      <c r="AG7">
        <v>44.305754671898185</v>
      </c>
    </row>
    <row r="8" spans="1:35" x14ac:dyDescent="0.25">
      <c r="A8">
        <v>2024</v>
      </c>
      <c r="B8" t="s">
        <v>103</v>
      </c>
      <c r="C8" t="s">
        <v>32</v>
      </c>
      <c r="D8" t="s">
        <v>25</v>
      </c>
      <c r="E8">
        <v>1</v>
      </c>
      <c r="F8">
        <v>7</v>
      </c>
      <c r="G8" s="12">
        <v>45576</v>
      </c>
      <c r="H8">
        <v>284</v>
      </c>
      <c r="J8" t="s">
        <v>26</v>
      </c>
      <c r="K8">
        <v>37100</v>
      </c>
      <c r="L8">
        <v>0</v>
      </c>
      <c r="M8">
        <v>0</v>
      </c>
      <c r="N8">
        <v>0</v>
      </c>
      <c r="O8">
        <v>0</v>
      </c>
      <c r="P8">
        <v>0</v>
      </c>
      <c r="Q8">
        <v>323.90000000000003</v>
      </c>
      <c r="R8">
        <v>0</v>
      </c>
      <c r="S8">
        <v>762.5</v>
      </c>
      <c r="T8">
        <v>4171.2253829321662</v>
      </c>
      <c r="U8">
        <v>2</v>
      </c>
      <c r="V8">
        <v>0.91400000000000003</v>
      </c>
      <c r="W8">
        <v>1.8280000000000001</v>
      </c>
      <c r="X8">
        <v>0</v>
      </c>
      <c r="Y8">
        <v>0</v>
      </c>
      <c r="Z8" s="16">
        <v>0</v>
      </c>
      <c r="AA8">
        <v>0</v>
      </c>
      <c r="AB8">
        <v>0</v>
      </c>
      <c r="AC8">
        <v>1771.8818380743985</v>
      </c>
      <c r="AD8">
        <v>1771.8818380743983</v>
      </c>
      <c r="AF8">
        <v>0.42478688524590164</v>
      </c>
      <c r="AG8">
        <v>30.346022284262681</v>
      </c>
    </row>
    <row r="9" spans="1:35" x14ac:dyDescent="0.25">
      <c r="A9">
        <v>2024</v>
      </c>
      <c r="B9" t="s">
        <v>103</v>
      </c>
      <c r="C9" t="s">
        <v>33</v>
      </c>
      <c r="D9" t="s">
        <v>25</v>
      </c>
      <c r="E9">
        <v>1</v>
      </c>
      <c r="F9">
        <v>8</v>
      </c>
      <c r="G9" s="12">
        <v>45572</v>
      </c>
      <c r="H9">
        <v>280</v>
      </c>
      <c r="J9" t="s">
        <v>26</v>
      </c>
      <c r="K9">
        <v>37100</v>
      </c>
      <c r="L9">
        <v>0</v>
      </c>
      <c r="M9">
        <v>0</v>
      </c>
      <c r="N9">
        <v>0</v>
      </c>
      <c r="O9">
        <v>0</v>
      </c>
      <c r="P9">
        <v>0</v>
      </c>
      <c r="Q9">
        <v>226.3</v>
      </c>
      <c r="R9">
        <v>0</v>
      </c>
      <c r="S9">
        <v>639.5</v>
      </c>
      <c r="T9">
        <v>3498.3588621444201</v>
      </c>
      <c r="U9">
        <v>2</v>
      </c>
      <c r="V9">
        <v>0.91400000000000003</v>
      </c>
      <c r="W9">
        <v>1.8280000000000001</v>
      </c>
      <c r="X9">
        <v>0</v>
      </c>
      <c r="Y9">
        <v>0</v>
      </c>
      <c r="Z9" s="16">
        <v>0</v>
      </c>
      <c r="AA9">
        <v>0</v>
      </c>
      <c r="AB9">
        <v>0</v>
      </c>
      <c r="AC9">
        <v>1237.9649890590811</v>
      </c>
      <c r="AD9">
        <v>1237.9649890590808</v>
      </c>
      <c r="AF9">
        <v>0.35387021110242373</v>
      </c>
      <c r="AG9">
        <v>21.201929122965868</v>
      </c>
    </row>
    <row r="10" spans="1:35" x14ac:dyDescent="0.25">
      <c r="A10">
        <v>2024</v>
      </c>
      <c r="B10" t="s">
        <v>103</v>
      </c>
      <c r="C10" t="s">
        <v>34</v>
      </c>
      <c r="D10" t="s">
        <v>25</v>
      </c>
      <c r="E10">
        <v>1</v>
      </c>
      <c r="F10">
        <v>9</v>
      </c>
      <c r="G10" s="12">
        <v>45562</v>
      </c>
      <c r="H10">
        <v>270</v>
      </c>
      <c r="J10" t="s">
        <v>26</v>
      </c>
      <c r="K10">
        <v>37100</v>
      </c>
      <c r="L10">
        <v>0</v>
      </c>
      <c r="M10">
        <v>0</v>
      </c>
      <c r="N10">
        <v>23.89</v>
      </c>
      <c r="O10">
        <v>88.3</v>
      </c>
      <c r="P10">
        <v>44.099999999999994</v>
      </c>
      <c r="Q10">
        <v>130.10000000000002</v>
      </c>
      <c r="R10">
        <v>156.29000000000002</v>
      </c>
      <c r="S10">
        <v>275.5</v>
      </c>
      <c r="T10">
        <v>2120.8424507658647</v>
      </c>
      <c r="U10">
        <v>2</v>
      </c>
      <c r="V10">
        <v>0.91400000000000003</v>
      </c>
      <c r="W10">
        <v>1.8280000000000001</v>
      </c>
      <c r="X10">
        <v>0</v>
      </c>
      <c r="Y10">
        <v>0</v>
      </c>
      <c r="Z10" s="16">
        <v>451.61713297795262</v>
      </c>
      <c r="AA10">
        <v>1669.2253177879118</v>
      </c>
      <c r="AB10">
        <v>833.6674576947554</v>
      </c>
      <c r="AC10">
        <v>1001.530318855314</v>
      </c>
      <c r="AD10">
        <v>952.95404814004382</v>
      </c>
      <c r="AF10">
        <v>0.44932807139725034</v>
      </c>
      <c r="AG10">
        <v>16.320707261249026</v>
      </c>
      <c r="AH10">
        <v>31.75</v>
      </c>
      <c r="AI10">
        <v>12.8</v>
      </c>
    </row>
    <row r="11" spans="1:35" x14ac:dyDescent="0.25">
      <c r="A11">
        <v>2024</v>
      </c>
      <c r="B11" t="s">
        <v>103</v>
      </c>
      <c r="C11" t="s">
        <v>35</v>
      </c>
      <c r="D11" t="s">
        <v>25</v>
      </c>
      <c r="E11">
        <v>1</v>
      </c>
      <c r="F11">
        <v>10</v>
      </c>
      <c r="G11" s="12">
        <v>45562</v>
      </c>
      <c r="H11">
        <v>270</v>
      </c>
      <c r="J11" t="s">
        <v>26</v>
      </c>
      <c r="K11">
        <v>37100</v>
      </c>
      <c r="L11">
        <v>0</v>
      </c>
      <c r="M11">
        <v>0</v>
      </c>
      <c r="N11">
        <v>29.89</v>
      </c>
      <c r="O11">
        <v>89.3</v>
      </c>
      <c r="P11">
        <v>50.399999999999991</v>
      </c>
      <c r="Q11">
        <v>106.1</v>
      </c>
      <c r="R11">
        <v>169.59</v>
      </c>
      <c r="S11">
        <v>301.5</v>
      </c>
      <c r="T11">
        <v>2301.3676148796494</v>
      </c>
      <c r="U11">
        <v>2</v>
      </c>
      <c r="V11">
        <v>0.91400000000000003</v>
      </c>
      <c r="W11">
        <v>1.8280000000000001</v>
      </c>
      <c r="X11">
        <v>0</v>
      </c>
      <c r="Y11">
        <v>0</v>
      </c>
      <c r="Z11" s="16">
        <v>577.12793026892132</v>
      </c>
      <c r="AA11">
        <v>1724.2396846107281</v>
      </c>
      <c r="AB11">
        <v>973.14311427078053</v>
      </c>
      <c r="AC11">
        <v>809.86767475532611</v>
      </c>
      <c r="AD11">
        <v>856.12691466083152</v>
      </c>
      <c r="AF11">
        <v>0.3720078917968101</v>
      </c>
      <c r="AG11">
        <v>14.662403480972861</v>
      </c>
      <c r="AH11">
        <v>48.768000000000001</v>
      </c>
      <c r="AI11">
        <v>14.6</v>
      </c>
    </row>
    <row r="12" spans="1:35" x14ac:dyDescent="0.25">
      <c r="A12">
        <v>2024</v>
      </c>
      <c r="B12" t="s">
        <v>103</v>
      </c>
      <c r="C12" t="s">
        <v>36</v>
      </c>
      <c r="D12" t="s">
        <v>25</v>
      </c>
      <c r="E12">
        <v>1</v>
      </c>
      <c r="F12">
        <v>11</v>
      </c>
      <c r="G12" s="12">
        <v>45562</v>
      </c>
      <c r="H12">
        <v>270</v>
      </c>
      <c r="J12" t="s">
        <v>26</v>
      </c>
      <c r="K12">
        <v>37100</v>
      </c>
      <c r="L12">
        <v>0</v>
      </c>
      <c r="M12">
        <v>27.6</v>
      </c>
      <c r="N12">
        <v>53.89</v>
      </c>
      <c r="O12">
        <v>105.3</v>
      </c>
      <c r="P12">
        <v>59</v>
      </c>
      <c r="Q12">
        <v>107.5</v>
      </c>
      <c r="R12">
        <v>245.79000000000002</v>
      </c>
      <c r="S12">
        <v>300.5</v>
      </c>
      <c r="T12">
        <v>2665.7002188183806</v>
      </c>
      <c r="U12">
        <v>2</v>
      </c>
      <c r="V12">
        <v>0.91400000000000003</v>
      </c>
      <c r="W12">
        <v>1.8280000000000001</v>
      </c>
      <c r="X12">
        <v>0</v>
      </c>
      <c r="Y12">
        <v>393.88257422446225</v>
      </c>
      <c r="Z12" s="16">
        <v>769.06999728102426</v>
      </c>
      <c r="AA12">
        <v>1502.7476473128938</v>
      </c>
      <c r="AB12">
        <v>841.99535794359679</v>
      </c>
      <c r="AC12">
        <v>953.6198786122327</v>
      </c>
      <c r="AD12">
        <v>910.83150984682698</v>
      </c>
      <c r="AF12">
        <v>0.34168564920273342</v>
      </c>
      <c r="AG12">
        <v>15.599298272089335</v>
      </c>
      <c r="AH12">
        <v>44.45</v>
      </c>
      <c r="AI12">
        <v>14.2</v>
      </c>
    </row>
    <row r="13" spans="1:35" x14ac:dyDescent="0.25">
      <c r="A13">
        <v>2024</v>
      </c>
      <c r="B13" t="s">
        <v>103</v>
      </c>
      <c r="C13" t="s">
        <v>37</v>
      </c>
      <c r="D13" t="s">
        <v>25</v>
      </c>
      <c r="E13">
        <v>1</v>
      </c>
      <c r="F13">
        <v>12</v>
      </c>
      <c r="G13" s="12">
        <v>45562</v>
      </c>
      <c r="H13">
        <v>270</v>
      </c>
      <c r="J13" t="s">
        <v>26</v>
      </c>
      <c r="K13">
        <v>37100</v>
      </c>
      <c r="L13">
        <v>0</v>
      </c>
      <c r="M13">
        <v>0</v>
      </c>
      <c r="N13">
        <v>0</v>
      </c>
      <c r="O13">
        <v>0</v>
      </c>
      <c r="P13">
        <v>0</v>
      </c>
      <c r="Q13">
        <v>274</v>
      </c>
      <c r="R13">
        <v>0</v>
      </c>
      <c r="S13">
        <v>612.5</v>
      </c>
      <c r="T13">
        <v>3350.6564551422316</v>
      </c>
      <c r="U13">
        <v>2</v>
      </c>
      <c r="V13">
        <v>0.91400000000000003</v>
      </c>
      <c r="W13">
        <v>1.8280000000000001</v>
      </c>
      <c r="X13">
        <v>0</v>
      </c>
      <c r="Y13">
        <v>0</v>
      </c>
      <c r="Z13" s="16">
        <v>0</v>
      </c>
      <c r="AA13">
        <v>0</v>
      </c>
      <c r="AB13">
        <v>0</v>
      </c>
      <c r="AC13">
        <v>1498.90590809628</v>
      </c>
      <c r="AD13">
        <v>1498.90590809628</v>
      </c>
      <c r="AF13">
        <v>0.44734693877551024</v>
      </c>
      <c r="AG13">
        <v>25.670917276591464</v>
      </c>
    </row>
    <row r="14" spans="1:35" x14ac:dyDescent="0.25">
      <c r="A14">
        <v>2024</v>
      </c>
      <c r="B14" t="s">
        <v>103</v>
      </c>
      <c r="C14" t="s">
        <v>35</v>
      </c>
      <c r="D14" t="s">
        <v>25</v>
      </c>
      <c r="E14">
        <v>2</v>
      </c>
      <c r="F14">
        <v>13</v>
      </c>
      <c r="G14" s="12">
        <v>45562</v>
      </c>
      <c r="H14">
        <v>270</v>
      </c>
      <c r="J14" t="s">
        <v>26</v>
      </c>
      <c r="K14">
        <v>37100</v>
      </c>
      <c r="L14">
        <v>0</v>
      </c>
      <c r="M14">
        <v>0</v>
      </c>
      <c r="N14">
        <v>22.89</v>
      </c>
      <c r="O14">
        <v>67.3</v>
      </c>
      <c r="P14">
        <v>31.000000000000004</v>
      </c>
      <c r="Q14">
        <v>76.2</v>
      </c>
      <c r="R14">
        <v>121.19</v>
      </c>
      <c r="S14">
        <v>309.5</v>
      </c>
      <c r="T14">
        <v>2186.487964989059</v>
      </c>
      <c r="U14">
        <v>2</v>
      </c>
      <c r="V14">
        <v>0.91400000000000003</v>
      </c>
      <c r="W14">
        <v>1.8280000000000001</v>
      </c>
      <c r="X14">
        <v>0</v>
      </c>
      <c r="Y14">
        <v>0</v>
      </c>
      <c r="Z14" s="16">
        <v>554.92526353919015</v>
      </c>
      <c r="AA14">
        <v>1631.5627014498691</v>
      </c>
      <c r="AB14">
        <v>751.53705415967227</v>
      </c>
      <c r="AC14">
        <v>538.32110801992349</v>
      </c>
      <c r="AD14">
        <v>586.43326039387307</v>
      </c>
      <c r="AF14">
        <v>0.26820786109234657</v>
      </c>
      <c r="AG14">
        <v>10.043512160768632</v>
      </c>
      <c r="AH14">
        <v>56.895999999999994</v>
      </c>
      <c r="AI14">
        <v>15.8</v>
      </c>
    </row>
    <row r="15" spans="1:35" x14ac:dyDescent="0.25">
      <c r="A15">
        <v>2024</v>
      </c>
      <c r="B15" t="s">
        <v>103</v>
      </c>
      <c r="C15" t="s">
        <v>33</v>
      </c>
      <c r="D15" t="s">
        <v>25</v>
      </c>
      <c r="E15">
        <v>2</v>
      </c>
      <c r="F15">
        <v>14</v>
      </c>
      <c r="G15" s="12">
        <v>45576</v>
      </c>
      <c r="H15">
        <v>284</v>
      </c>
      <c r="J15" t="s">
        <v>26</v>
      </c>
      <c r="K15">
        <v>37100</v>
      </c>
      <c r="L15">
        <v>0</v>
      </c>
      <c r="M15">
        <v>0</v>
      </c>
      <c r="N15">
        <v>0</v>
      </c>
      <c r="O15">
        <v>0</v>
      </c>
      <c r="P15">
        <v>0</v>
      </c>
      <c r="Q15">
        <v>301.10000000000002</v>
      </c>
      <c r="R15">
        <v>0</v>
      </c>
      <c r="S15">
        <v>723.5</v>
      </c>
      <c r="T15">
        <v>3957.8774617067834</v>
      </c>
      <c r="U15">
        <v>2</v>
      </c>
      <c r="V15">
        <v>0.91400000000000003</v>
      </c>
      <c r="W15">
        <v>1.8280000000000001</v>
      </c>
      <c r="X15">
        <v>0</v>
      </c>
      <c r="Y15">
        <v>0</v>
      </c>
      <c r="Z15" s="16">
        <v>0</v>
      </c>
      <c r="AA15">
        <v>0</v>
      </c>
      <c r="AB15">
        <v>0</v>
      </c>
      <c r="AC15">
        <v>1647.1553610503283</v>
      </c>
      <c r="AD15">
        <v>1647.1553610503283</v>
      </c>
      <c r="AF15">
        <v>0.41617138908085699</v>
      </c>
      <c r="AG15">
        <v>28.209902160517117</v>
      </c>
    </row>
    <row r="16" spans="1:35" x14ac:dyDescent="0.25">
      <c r="A16">
        <v>2024</v>
      </c>
      <c r="B16" t="s">
        <v>103</v>
      </c>
      <c r="C16" t="s">
        <v>34</v>
      </c>
      <c r="D16" t="s">
        <v>25</v>
      </c>
      <c r="E16">
        <v>2</v>
      </c>
      <c r="F16">
        <v>15</v>
      </c>
      <c r="G16" s="12">
        <v>45562</v>
      </c>
      <c r="H16">
        <v>270</v>
      </c>
      <c r="J16" t="s">
        <v>26</v>
      </c>
      <c r="K16">
        <v>37100</v>
      </c>
      <c r="L16">
        <v>0</v>
      </c>
      <c r="M16">
        <v>1.6000000000000014</v>
      </c>
      <c r="N16">
        <v>39.89</v>
      </c>
      <c r="O16">
        <v>168.3</v>
      </c>
      <c r="P16">
        <v>105.5</v>
      </c>
      <c r="Q16">
        <v>143.20000000000002</v>
      </c>
      <c r="R16">
        <v>315.29000000000002</v>
      </c>
      <c r="S16">
        <v>295.5</v>
      </c>
      <c r="T16">
        <v>2764.168490153173</v>
      </c>
      <c r="U16">
        <v>2</v>
      </c>
      <c r="V16">
        <v>0.91400000000000003</v>
      </c>
      <c r="W16">
        <v>1.8280000000000001</v>
      </c>
      <c r="X16">
        <v>0</v>
      </c>
      <c r="Y16">
        <v>21.081412766314315</v>
      </c>
      <c r="Z16" s="16">
        <v>525.58597203017337</v>
      </c>
      <c r="AA16">
        <v>2217.5011053566855</v>
      </c>
      <c r="AB16">
        <v>1390.0556542788488</v>
      </c>
      <c r="AC16">
        <v>1339.5225982738898</v>
      </c>
      <c r="AD16">
        <v>1360.5032822757114</v>
      </c>
      <c r="AF16">
        <v>0.4921926022680046</v>
      </c>
      <c r="AG16">
        <v>23.300573455066782</v>
      </c>
      <c r="AH16">
        <v>38.607999999999997</v>
      </c>
      <c r="AI16">
        <v>14.6</v>
      </c>
    </row>
    <row r="17" spans="1:35" x14ac:dyDescent="0.25">
      <c r="A17">
        <v>2024</v>
      </c>
      <c r="B17" t="s">
        <v>103</v>
      </c>
      <c r="C17" t="s">
        <v>27</v>
      </c>
      <c r="D17" t="s">
        <v>25</v>
      </c>
      <c r="E17">
        <v>2</v>
      </c>
      <c r="F17">
        <v>16</v>
      </c>
      <c r="G17" s="12">
        <v>45566</v>
      </c>
      <c r="H17">
        <v>274</v>
      </c>
      <c r="J17" t="s">
        <v>26</v>
      </c>
      <c r="K17">
        <v>37100</v>
      </c>
      <c r="L17">
        <v>0</v>
      </c>
      <c r="M17">
        <v>3.6000000000000014</v>
      </c>
      <c r="N17">
        <v>26.89</v>
      </c>
      <c r="O17">
        <v>65.3</v>
      </c>
      <c r="P17">
        <v>43.2</v>
      </c>
      <c r="Q17">
        <v>255.9</v>
      </c>
      <c r="R17">
        <v>138.99</v>
      </c>
      <c r="S17">
        <v>662.5</v>
      </c>
      <c r="T17">
        <v>4148.1947483588619</v>
      </c>
      <c r="U17">
        <v>2</v>
      </c>
      <c r="V17">
        <v>0.91400000000000003</v>
      </c>
      <c r="W17">
        <v>1.8280000000000001</v>
      </c>
      <c r="X17">
        <v>0</v>
      </c>
      <c r="Y17">
        <v>155.89833066178005</v>
      </c>
      <c r="Z17" s="16">
        <v>1164.4739198597954</v>
      </c>
      <c r="AA17">
        <v>2827.8224978372868</v>
      </c>
      <c r="AB17">
        <v>1870.7799679413597</v>
      </c>
      <c r="AC17">
        <v>1602.2989224226912</v>
      </c>
      <c r="AD17">
        <v>1636.2144420131292</v>
      </c>
      <c r="AF17">
        <v>0.39444012185311694</v>
      </c>
      <c r="AG17">
        <v>28.022523202293822</v>
      </c>
      <c r="AH17">
        <v>57.404000000000003</v>
      </c>
      <c r="AI17">
        <v>14.2</v>
      </c>
    </row>
    <row r="18" spans="1:35" x14ac:dyDescent="0.25">
      <c r="A18">
        <v>2024</v>
      </c>
      <c r="B18" t="s">
        <v>103</v>
      </c>
      <c r="C18" t="s">
        <v>32</v>
      </c>
      <c r="D18" t="s">
        <v>25</v>
      </c>
      <c r="E18">
        <v>2</v>
      </c>
      <c r="F18">
        <v>17</v>
      </c>
      <c r="G18" s="12">
        <v>45576</v>
      </c>
      <c r="H18">
        <v>284</v>
      </c>
      <c r="J18" t="s">
        <v>26</v>
      </c>
      <c r="K18">
        <v>37100</v>
      </c>
      <c r="L18">
        <v>0</v>
      </c>
      <c r="M18">
        <v>0</v>
      </c>
      <c r="N18">
        <v>0</v>
      </c>
      <c r="O18">
        <v>0</v>
      </c>
      <c r="P18">
        <v>0</v>
      </c>
      <c r="Q18">
        <v>262.90000000000003</v>
      </c>
      <c r="R18">
        <v>0</v>
      </c>
      <c r="S18">
        <v>663.5</v>
      </c>
      <c r="T18">
        <v>3629.6498905908093</v>
      </c>
      <c r="U18">
        <v>2</v>
      </c>
      <c r="V18">
        <v>0.91400000000000003</v>
      </c>
      <c r="W18">
        <v>1.8280000000000001</v>
      </c>
      <c r="X18">
        <v>0</v>
      </c>
      <c r="Y18">
        <v>0</v>
      </c>
      <c r="Z18" s="16">
        <v>0</v>
      </c>
      <c r="AA18">
        <v>0</v>
      </c>
      <c r="AB18">
        <v>0</v>
      </c>
      <c r="AC18">
        <v>1438.1838074398249</v>
      </c>
      <c r="AD18">
        <v>1438.1838074398249</v>
      </c>
      <c r="AF18">
        <v>0.3962321024868124</v>
      </c>
      <c r="AG18">
        <v>24.630964058452175</v>
      </c>
    </row>
    <row r="19" spans="1:35" x14ac:dyDescent="0.25">
      <c r="A19">
        <v>2024</v>
      </c>
      <c r="B19" t="s">
        <v>103</v>
      </c>
      <c r="C19" t="s">
        <v>29</v>
      </c>
      <c r="D19" t="s">
        <v>25</v>
      </c>
      <c r="E19">
        <v>2</v>
      </c>
      <c r="F19">
        <v>18</v>
      </c>
      <c r="G19" s="12">
        <v>45566</v>
      </c>
      <c r="H19">
        <v>274</v>
      </c>
      <c r="J19" t="s">
        <v>26</v>
      </c>
      <c r="K19">
        <v>37100</v>
      </c>
      <c r="L19">
        <v>0</v>
      </c>
      <c r="M19">
        <v>0</v>
      </c>
      <c r="N19">
        <v>28.89</v>
      </c>
      <c r="O19">
        <v>68.3</v>
      </c>
      <c r="P19">
        <v>47.599999999999994</v>
      </c>
      <c r="Q19">
        <v>260.40000000000003</v>
      </c>
      <c r="R19">
        <v>144.79</v>
      </c>
      <c r="S19">
        <v>637.5</v>
      </c>
      <c r="T19">
        <v>4019.0919037199119</v>
      </c>
      <c r="U19">
        <v>2</v>
      </c>
      <c r="V19">
        <v>0.91400000000000003</v>
      </c>
      <c r="W19">
        <v>1.8280000000000001</v>
      </c>
      <c r="X19">
        <v>0</v>
      </c>
      <c r="Y19">
        <v>0</v>
      </c>
      <c r="Z19" s="16">
        <v>1194.6863370559549</v>
      </c>
      <c r="AA19">
        <v>2824.4055666639574</v>
      </c>
      <c r="AB19">
        <v>1968.3997799883507</v>
      </c>
      <c r="AC19">
        <v>1641.6808340841808</v>
      </c>
      <c r="AD19">
        <v>1684.9015317286651</v>
      </c>
      <c r="AF19">
        <v>0.4192244347956281</v>
      </c>
      <c r="AG19">
        <v>28.856359566387482</v>
      </c>
      <c r="AH19">
        <v>66.294000000000011</v>
      </c>
      <c r="AI19">
        <v>17.2</v>
      </c>
    </row>
    <row r="20" spans="1:35" x14ac:dyDescent="0.25">
      <c r="A20">
        <v>2024</v>
      </c>
      <c r="B20" t="s">
        <v>103</v>
      </c>
      <c r="C20" t="s">
        <v>30</v>
      </c>
      <c r="D20" t="s">
        <v>25</v>
      </c>
      <c r="E20">
        <v>2</v>
      </c>
      <c r="F20">
        <v>19</v>
      </c>
      <c r="G20" s="12">
        <v>45566</v>
      </c>
      <c r="H20">
        <v>274</v>
      </c>
      <c r="J20" t="s">
        <v>26</v>
      </c>
      <c r="K20">
        <v>37100</v>
      </c>
      <c r="L20">
        <v>0</v>
      </c>
      <c r="M20">
        <v>0</v>
      </c>
      <c r="N20">
        <v>20.89</v>
      </c>
      <c r="O20">
        <v>68.3</v>
      </c>
      <c r="P20">
        <v>47.5</v>
      </c>
      <c r="Q20">
        <v>265.5</v>
      </c>
      <c r="R20">
        <v>136.68999999999997</v>
      </c>
      <c r="S20">
        <v>572.5</v>
      </c>
      <c r="T20">
        <v>3619.748358862144</v>
      </c>
      <c r="U20">
        <v>2</v>
      </c>
      <c r="V20">
        <v>0.91400000000000003</v>
      </c>
      <c r="W20">
        <v>1.8280000000000001</v>
      </c>
      <c r="X20">
        <v>0</v>
      </c>
      <c r="Y20">
        <v>0</v>
      </c>
      <c r="Z20" s="16">
        <v>847.8141407851798</v>
      </c>
      <c r="AA20">
        <v>2771.9342180769645</v>
      </c>
      <c r="AB20">
        <v>1927.7726992482549</v>
      </c>
      <c r="AC20">
        <v>1678.67805987406</v>
      </c>
      <c r="AD20">
        <v>1712.253829321663</v>
      </c>
      <c r="AF20">
        <v>0.47303117774184295</v>
      </c>
      <c r="AG20">
        <v>29.324806961945722</v>
      </c>
      <c r="AH20">
        <v>61.722000000000001</v>
      </c>
      <c r="AI20">
        <v>16.399999999999999</v>
      </c>
    </row>
    <row r="21" spans="1:35" x14ac:dyDescent="0.25">
      <c r="A21">
        <v>2024</v>
      </c>
      <c r="B21" t="s">
        <v>103</v>
      </c>
      <c r="C21" t="s">
        <v>36</v>
      </c>
      <c r="D21" t="s">
        <v>25</v>
      </c>
      <c r="E21">
        <v>2</v>
      </c>
      <c r="F21">
        <v>20</v>
      </c>
      <c r="G21" s="12">
        <v>45562</v>
      </c>
      <c r="H21">
        <v>270</v>
      </c>
      <c r="J21" t="s">
        <v>26</v>
      </c>
      <c r="K21">
        <v>37100</v>
      </c>
      <c r="L21">
        <v>0</v>
      </c>
      <c r="M21">
        <v>0.60000000000000142</v>
      </c>
      <c r="N21">
        <v>27.89</v>
      </c>
      <c r="O21">
        <v>55.3</v>
      </c>
      <c r="P21">
        <v>31.400000000000006</v>
      </c>
      <c r="Q21">
        <v>132.20000000000002</v>
      </c>
      <c r="R21">
        <v>115.19000000000001</v>
      </c>
      <c r="S21">
        <v>330.5</v>
      </c>
      <c r="T21">
        <v>2266.3566739606131</v>
      </c>
      <c r="U21">
        <v>2</v>
      </c>
      <c r="V21">
        <v>0.91400000000000003</v>
      </c>
      <c r="W21">
        <v>1.8280000000000001</v>
      </c>
      <c r="X21">
        <v>0</v>
      </c>
      <c r="Y21">
        <v>16.228834041966479</v>
      </c>
      <c r="Z21" s="16">
        <v>754.37030238407328</v>
      </c>
      <c r="AA21">
        <v>1495.7575375345732</v>
      </c>
      <c r="AB21">
        <v>849.30898152957695</v>
      </c>
      <c r="AC21">
        <v>906.54266958424523</v>
      </c>
      <c r="AD21">
        <v>894.96717724288851</v>
      </c>
      <c r="AF21">
        <v>0.39489246662965555</v>
      </c>
      <c r="AG21">
        <v>15.327598782665563</v>
      </c>
      <c r="AH21">
        <v>40.386000000000003</v>
      </c>
      <c r="AI21">
        <v>15.2</v>
      </c>
    </row>
    <row r="22" spans="1:35" x14ac:dyDescent="0.25">
      <c r="A22">
        <v>2024</v>
      </c>
      <c r="B22" t="s">
        <v>103</v>
      </c>
      <c r="C22" t="s">
        <v>24</v>
      </c>
      <c r="D22" t="s">
        <v>25</v>
      </c>
      <c r="E22">
        <v>2</v>
      </c>
      <c r="F22">
        <v>21</v>
      </c>
      <c r="G22" s="12">
        <v>45576</v>
      </c>
      <c r="H22">
        <v>284</v>
      </c>
      <c r="J22" t="s">
        <v>26</v>
      </c>
      <c r="K22">
        <v>37100</v>
      </c>
      <c r="L22">
        <v>0</v>
      </c>
      <c r="M22">
        <v>0</v>
      </c>
      <c r="N22">
        <v>17.89</v>
      </c>
      <c r="O22">
        <v>92.3</v>
      </c>
      <c r="P22">
        <v>65.7</v>
      </c>
      <c r="Q22">
        <v>195.8</v>
      </c>
      <c r="R22">
        <v>175.89</v>
      </c>
      <c r="S22">
        <v>429.5</v>
      </c>
      <c r="T22">
        <v>2952.3522975929973</v>
      </c>
      <c r="U22">
        <v>2</v>
      </c>
      <c r="V22">
        <v>0.91400000000000003</v>
      </c>
      <c r="W22">
        <v>1.8280000000000001</v>
      </c>
      <c r="X22">
        <v>0</v>
      </c>
      <c r="Y22">
        <v>0</v>
      </c>
      <c r="Z22" s="16">
        <v>479.3319049272958</v>
      </c>
      <c r="AA22">
        <v>2473.0203926657014</v>
      </c>
      <c r="AB22">
        <v>1760.3189577262906</v>
      </c>
      <c r="AC22">
        <v>1345.9152034195781</v>
      </c>
      <c r="AD22">
        <v>1430.5251641137854</v>
      </c>
      <c r="AF22">
        <v>0.48453741962978752</v>
      </c>
      <c r="AG22">
        <v>24.499798787695866</v>
      </c>
      <c r="AH22">
        <v>42.417999999999999</v>
      </c>
      <c r="AI22">
        <v>15</v>
      </c>
    </row>
    <row r="23" spans="1:35" x14ac:dyDescent="0.25">
      <c r="A23">
        <v>2024</v>
      </c>
      <c r="B23" t="s">
        <v>103</v>
      </c>
      <c r="C23" t="s">
        <v>37</v>
      </c>
      <c r="D23" t="s">
        <v>25</v>
      </c>
      <c r="E23">
        <v>2</v>
      </c>
      <c r="F23">
        <v>22</v>
      </c>
      <c r="G23" s="12">
        <v>45562</v>
      </c>
      <c r="H23">
        <v>270</v>
      </c>
      <c r="J23" t="s">
        <v>26</v>
      </c>
      <c r="K23">
        <v>37100</v>
      </c>
      <c r="L23">
        <v>0</v>
      </c>
      <c r="M23">
        <v>0</v>
      </c>
      <c r="N23">
        <v>0</v>
      </c>
      <c r="O23">
        <v>0</v>
      </c>
      <c r="P23">
        <v>0</v>
      </c>
      <c r="Q23">
        <v>331.3</v>
      </c>
      <c r="R23">
        <v>0</v>
      </c>
      <c r="S23">
        <v>679.5</v>
      </c>
      <c r="T23">
        <v>3717.1772428884024</v>
      </c>
      <c r="U23">
        <v>2</v>
      </c>
      <c r="V23">
        <v>0.91400000000000003</v>
      </c>
      <c r="W23">
        <v>1.8280000000000001</v>
      </c>
      <c r="X23">
        <v>0</v>
      </c>
      <c r="Y23">
        <v>0</v>
      </c>
      <c r="Z23" s="16">
        <v>0</v>
      </c>
      <c r="AA23">
        <v>0</v>
      </c>
      <c r="AB23">
        <v>0</v>
      </c>
      <c r="AC23">
        <v>1812.363238512035</v>
      </c>
      <c r="AD23">
        <v>1812.3632385120352</v>
      </c>
      <c r="AF23">
        <v>0.48756438557763071</v>
      </c>
      <c r="AG23">
        <v>31.039324429688875</v>
      </c>
    </row>
    <row r="24" spans="1:35" x14ac:dyDescent="0.25">
      <c r="A24">
        <v>2024</v>
      </c>
      <c r="B24" t="s">
        <v>103</v>
      </c>
      <c r="C24" t="s">
        <v>31</v>
      </c>
      <c r="D24" t="s">
        <v>25</v>
      </c>
      <c r="E24">
        <v>2</v>
      </c>
      <c r="F24">
        <v>23</v>
      </c>
      <c r="G24" s="12">
        <v>45576</v>
      </c>
      <c r="H24">
        <v>284</v>
      </c>
      <c r="J24" t="s">
        <v>26</v>
      </c>
      <c r="K24">
        <v>37100</v>
      </c>
      <c r="L24">
        <v>0</v>
      </c>
      <c r="M24">
        <v>0</v>
      </c>
      <c r="N24">
        <v>0</v>
      </c>
      <c r="O24">
        <v>0</v>
      </c>
      <c r="P24">
        <v>0</v>
      </c>
      <c r="Q24">
        <v>329.5</v>
      </c>
      <c r="R24">
        <v>0</v>
      </c>
      <c r="S24">
        <v>696.5</v>
      </c>
      <c r="T24">
        <v>3810.1750547045949</v>
      </c>
      <c r="U24">
        <v>2</v>
      </c>
      <c r="V24">
        <v>0.91400000000000003</v>
      </c>
      <c r="W24">
        <v>1.8280000000000001</v>
      </c>
      <c r="X24">
        <v>0</v>
      </c>
      <c r="Y24">
        <v>0</v>
      </c>
      <c r="Z24" s="16">
        <v>0</v>
      </c>
      <c r="AA24">
        <v>0</v>
      </c>
      <c r="AB24">
        <v>0</v>
      </c>
      <c r="AC24">
        <v>1802.5164113785559</v>
      </c>
      <c r="AD24">
        <v>1802.5164113785556</v>
      </c>
      <c r="AF24">
        <v>0.47307968413496049</v>
      </c>
      <c r="AG24">
        <v>30.870683367287906</v>
      </c>
    </row>
    <row r="25" spans="1:35" x14ac:dyDescent="0.25">
      <c r="A25">
        <v>2024</v>
      </c>
      <c r="B25" t="s">
        <v>103</v>
      </c>
      <c r="C25" t="s">
        <v>28</v>
      </c>
      <c r="D25" t="s">
        <v>25</v>
      </c>
      <c r="E25">
        <v>2</v>
      </c>
      <c r="F25">
        <v>24</v>
      </c>
      <c r="G25" s="12">
        <v>45576</v>
      </c>
      <c r="H25">
        <v>284</v>
      </c>
      <c r="J25" t="s">
        <v>26</v>
      </c>
      <c r="K25">
        <v>37100</v>
      </c>
      <c r="L25">
        <v>0</v>
      </c>
      <c r="M25">
        <v>2.6000000000000014</v>
      </c>
      <c r="N25">
        <v>33.89</v>
      </c>
      <c r="O25">
        <v>98.3</v>
      </c>
      <c r="P25">
        <v>66</v>
      </c>
      <c r="Q25">
        <v>229</v>
      </c>
      <c r="R25">
        <v>200.79000000000002</v>
      </c>
      <c r="S25">
        <v>490.5</v>
      </c>
      <c r="T25">
        <v>3420.6236323851203</v>
      </c>
      <c r="U25">
        <v>2</v>
      </c>
      <c r="V25">
        <v>0.91400000000000003</v>
      </c>
      <c r="W25">
        <v>1.8280000000000001</v>
      </c>
      <c r="X25">
        <v>0</v>
      </c>
      <c r="Y25">
        <v>65.981314965511672</v>
      </c>
      <c r="Z25" s="16">
        <v>860.04106314661112</v>
      </c>
      <c r="AA25">
        <v>2494.6012542729968</v>
      </c>
      <c r="AB25">
        <v>1674.9103029706796</v>
      </c>
      <c r="AC25">
        <v>1596.9884032949901</v>
      </c>
      <c r="AD25">
        <v>1613.785557986871</v>
      </c>
      <c r="AF25">
        <v>0.47178109357258236</v>
      </c>
      <c r="AG25">
        <v>27.638396337936069</v>
      </c>
      <c r="AH25">
        <v>51.815999999999995</v>
      </c>
      <c r="AI25">
        <v>13.4</v>
      </c>
    </row>
    <row r="26" spans="1:35" x14ac:dyDescent="0.25">
      <c r="A26">
        <v>2024</v>
      </c>
      <c r="B26" t="s">
        <v>103</v>
      </c>
      <c r="C26" t="s">
        <v>27</v>
      </c>
      <c r="D26" t="s">
        <v>25</v>
      </c>
      <c r="E26">
        <v>3</v>
      </c>
      <c r="F26">
        <v>25</v>
      </c>
      <c r="G26" s="12">
        <v>45566</v>
      </c>
      <c r="H26">
        <v>274</v>
      </c>
      <c r="J26" t="s">
        <v>26</v>
      </c>
      <c r="K26">
        <v>37100</v>
      </c>
      <c r="L26">
        <v>0</v>
      </c>
      <c r="M26">
        <v>0</v>
      </c>
      <c r="N26">
        <v>23.89</v>
      </c>
      <c r="O26">
        <v>96.3</v>
      </c>
      <c r="P26">
        <v>63.599999999999987</v>
      </c>
      <c r="Q26">
        <v>264.8</v>
      </c>
      <c r="R26">
        <v>183.79</v>
      </c>
      <c r="S26">
        <v>557.5</v>
      </c>
      <c r="T26">
        <v>3707.2757111597375</v>
      </c>
      <c r="U26">
        <v>2</v>
      </c>
      <c r="V26">
        <v>0.91400000000000003</v>
      </c>
      <c r="W26">
        <v>1.8280000000000001</v>
      </c>
      <c r="X26">
        <v>0</v>
      </c>
      <c r="Y26">
        <v>0</v>
      </c>
      <c r="Z26" s="16">
        <v>736.89006356274353</v>
      </c>
      <c r="AA26">
        <v>2970.3856475969942</v>
      </c>
      <c r="AB26">
        <v>1961.7500227120331</v>
      </c>
      <c r="AC26">
        <v>1760.8728400270827</v>
      </c>
      <c r="AD26">
        <v>1796.4989059080965</v>
      </c>
      <c r="AF26">
        <v>0.4845873481975535</v>
      </c>
      <c r="AG26">
        <v>30.767624940265101</v>
      </c>
      <c r="AH26">
        <v>50.8</v>
      </c>
      <c r="AI26">
        <v>16.600000000000001</v>
      </c>
    </row>
    <row r="27" spans="1:35" x14ac:dyDescent="0.25">
      <c r="A27">
        <v>2024</v>
      </c>
      <c r="B27" t="s">
        <v>103</v>
      </c>
      <c r="C27" t="s">
        <v>24</v>
      </c>
      <c r="D27" t="s">
        <v>25</v>
      </c>
      <c r="E27">
        <v>3</v>
      </c>
      <c r="F27">
        <v>26</v>
      </c>
      <c r="G27" s="12">
        <v>45576</v>
      </c>
      <c r="H27">
        <v>284</v>
      </c>
      <c r="J27" t="s">
        <v>26</v>
      </c>
      <c r="K27">
        <v>37100</v>
      </c>
      <c r="L27">
        <v>0</v>
      </c>
      <c r="M27">
        <v>0</v>
      </c>
      <c r="N27">
        <v>15.89</v>
      </c>
      <c r="O27">
        <v>66.3</v>
      </c>
      <c r="P27">
        <v>42.400000000000006</v>
      </c>
      <c r="Q27">
        <v>256.8</v>
      </c>
      <c r="R27">
        <v>124.59</v>
      </c>
      <c r="S27">
        <v>573.5</v>
      </c>
      <c r="T27">
        <v>3586.9256017505468</v>
      </c>
      <c r="U27">
        <v>2</v>
      </c>
      <c r="V27">
        <v>0.91400000000000003</v>
      </c>
      <c r="W27">
        <v>1.8280000000000001</v>
      </c>
      <c r="X27">
        <v>0</v>
      </c>
      <c r="Y27">
        <v>0</v>
      </c>
      <c r="Z27" s="16">
        <v>693.46937354685713</v>
      </c>
      <c r="AA27">
        <v>2893.4562282036895</v>
      </c>
      <c r="AB27">
        <v>1850.4154460910477</v>
      </c>
      <c r="AC27">
        <v>1606.1421003130611</v>
      </c>
      <c r="AD27">
        <v>1636.7614879649891</v>
      </c>
      <c r="AF27">
        <v>0.45631319678506616</v>
      </c>
      <c r="AG27">
        <v>28.031892150204985</v>
      </c>
      <c r="AH27">
        <v>51.562000000000005</v>
      </c>
      <c r="AI27">
        <v>14</v>
      </c>
    </row>
    <row r="28" spans="1:35" x14ac:dyDescent="0.25">
      <c r="A28">
        <v>2024</v>
      </c>
      <c r="B28" t="s">
        <v>103</v>
      </c>
      <c r="C28" t="s">
        <v>33</v>
      </c>
      <c r="D28" t="s">
        <v>25</v>
      </c>
      <c r="E28">
        <v>3</v>
      </c>
      <c r="F28">
        <v>27</v>
      </c>
      <c r="G28" s="12">
        <v>45576</v>
      </c>
      <c r="H28">
        <v>284</v>
      </c>
      <c r="J28" t="s">
        <v>26</v>
      </c>
      <c r="K28">
        <v>37100</v>
      </c>
      <c r="L28">
        <v>0</v>
      </c>
      <c r="M28">
        <v>0</v>
      </c>
      <c r="N28">
        <v>0</v>
      </c>
      <c r="O28">
        <v>0</v>
      </c>
      <c r="P28">
        <v>0</v>
      </c>
      <c r="Q28">
        <v>263.7</v>
      </c>
      <c r="R28">
        <v>0</v>
      </c>
      <c r="S28">
        <v>576.5</v>
      </c>
      <c r="T28">
        <v>3153.7199124726476</v>
      </c>
      <c r="U28">
        <v>2</v>
      </c>
      <c r="V28">
        <v>0.91400000000000003</v>
      </c>
      <c r="W28">
        <v>1.8280000000000001</v>
      </c>
      <c r="X28">
        <v>0</v>
      </c>
      <c r="Y28">
        <v>0</v>
      </c>
      <c r="Z28" s="16">
        <v>0</v>
      </c>
      <c r="AA28">
        <v>0</v>
      </c>
      <c r="AB28">
        <v>0</v>
      </c>
      <c r="AC28">
        <v>1442.5601750547044</v>
      </c>
      <c r="AD28">
        <v>1442.5601750547046</v>
      </c>
      <c r="AF28">
        <v>0.45741543798785778</v>
      </c>
      <c r="AG28">
        <v>24.705915641741491</v>
      </c>
    </row>
    <row r="29" spans="1:35" x14ac:dyDescent="0.25">
      <c r="A29">
        <v>2024</v>
      </c>
      <c r="B29" t="s">
        <v>103</v>
      </c>
      <c r="C29" t="s">
        <v>34</v>
      </c>
      <c r="D29" t="s">
        <v>25</v>
      </c>
      <c r="E29">
        <v>3</v>
      </c>
      <c r="F29">
        <v>28</v>
      </c>
      <c r="G29" s="12">
        <v>45562</v>
      </c>
      <c r="H29">
        <v>270</v>
      </c>
      <c r="J29" t="s">
        <v>26</v>
      </c>
      <c r="K29">
        <v>37100</v>
      </c>
      <c r="L29">
        <v>0</v>
      </c>
      <c r="M29">
        <v>2.6000000000000014</v>
      </c>
      <c r="N29">
        <v>54.89</v>
      </c>
      <c r="O29">
        <v>200.3</v>
      </c>
      <c r="P29">
        <v>118.89999999999999</v>
      </c>
      <c r="Q29">
        <v>198.60000000000002</v>
      </c>
      <c r="R29">
        <v>376.69</v>
      </c>
      <c r="S29">
        <v>526.5</v>
      </c>
      <c r="T29">
        <v>4290.4266958424505</v>
      </c>
      <c r="U29">
        <v>2</v>
      </c>
      <c r="V29">
        <v>0.91400000000000003</v>
      </c>
      <c r="W29">
        <v>1.8280000000000001</v>
      </c>
      <c r="X29">
        <v>0</v>
      </c>
      <c r="Y29">
        <v>43.272079635324786</v>
      </c>
      <c r="Z29" s="16">
        <v>913.54017353191387</v>
      </c>
      <c r="AA29">
        <v>3333.6144426752116</v>
      </c>
      <c r="AB29">
        <v>1978.8654879385053</v>
      </c>
      <c r="AC29">
        <v>1618.3831752978363</v>
      </c>
      <c r="AD29">
        <v>1736.870897155361</v>
      </c>
      <c r="AF29">
        <v>0.40482474594856499</v>
      </c>
      <c r="AG29">
        <v>29.746409617948135</v>
      </c>
      <c r="AH29">
        <v>38.353999999999999</v>
      </c>
      <c r="AI29">
        <v>13.8</v>
      </c>
    </row>
    <row r="30" spans="1:35" x14ac:dyDescent="0.25">
      <c r="A30">
        <v>2024</v>
      </c>
      <c r="B30" t="s">
        <v>103</v>
      </c>
      <c r="C30" t="s">
        <v>37</v>
      </c>
      <c r="D30" t="s">
        <v>25</v>
      </c>
      <c r="E30">
        <v>3</v>
      </c>
      <c r="F30">
        <v>29</v>
      </c>
      <c r="G30" s="12">
        <v>45562</v>
      </c>
      <c r="H30">
        <v>270</v>
      </c>
      <c r="J30" t="s">
        <v>26</v>
      </c>
      <c r="K30">
        <v>37100</v>
      </c>
      <c r="L30">
        <v>0</v>
      </c>
      <c r="M30">
        <v>0</v>
      </c>
      <c r="N30">
        <v>0</v>
      </c>
      <c r="O30">
        <v>0</v>
      </c>
      <c r="P30">
        <v>0</v>
      </c>
      <c r="Q30">
        <v>307.3</v>
      </c>
      <c r="R30">
        <v>0</v>
      </c>
      <c r="S30">
        <v>670.5</v>
      </c>
      <c r="T30">
        <v>3667.9431072210064</v>
      </c>
      <c r="U30">
        <v>2</v>
      </c>
      <c r="V30">
        <v>0.91400000000000003</v>
      </c>
      <c r="W30">
        <v>1.8280000000000001</v>
      </c>
      <c r="X30">
        <v>0</v>
      </c>
      <c r="Y30">
        <v>0</v>
      </c>
      <c r="Z30" s="16">
        <v>0</v>
      </c>
      <c r="AA30">
        <v>0</v>
      </c>
      <c r="AB30">
        <v>0</v>
      </c>
      <c r="AC30">
        <v>1681.0722100656455</v>
      </c>
      <c r="AD30">
        <v>1681.0722100656455</v>
      </c>
      <c r="AF30">
        <v>0.45831469052945567</v>
      </c>
      <c r="AG30">
        <v>28.790776931009333</v>
      </c>
    </row>
    <row r="31" spans="1:35" x14ac:dyDescent="0.25">
      <c r="A31">
        <v>2024</v>
      </c>
      <c r="B31" t="s">
        <v>103</v>
      </c>
      <c r="C31" t="s">
        <v>36</v>
      </c>
      <c r="D31" t="s">
        <v>25</v>
      </c>
      <c r="E31">
        <v>3</v>
      </c>
      <c r="F31">
        <v>30</v>
      </c>
      <c r="G31" s="12">
        <v>45562</v>
      </c>
      <c r="H31">
        <v>270</v>
      </c>
      <c r="J31" t="s">
        <v>26</v>
      </c>
      <c r="K31">
        <v>37100</v>
      </c>
      <c r="L31">
        <v>0</v>
      </c>
      <c r="M31">
        <v>9.6000000000000014</v>
      </c>
      <c r="N31">
        <v>33.89</v>
      </c>
      <c r="O31">
        <v>96.3</v>
      </c>
      <c r="P31">
        <v>59.399999999999991</v>
      </c>
      <c r="Q31">
        <v>151.9</v>
      </c>
      <c r="R31">
        <v>199.18999999999997</v>
      </c>
      <c r="S31">
        <v>406.5</v>
      </c>
      <c r="T31">
        <v>2988.4573304157548</v>
      </c>
      <c r="U31">
        <v>2</v>
      </c>
      <c r="V31">
        <v>0.91400000000000003</v>
      </c>
      <c r="W31">
        <v>1.8280000000000001</v>
      </c>
      <c r="X31">
        <v>0</v>
      </c>
      <c r="Y31">
        <v>205.23063432285034</v>
      </c>
      <c r="Z31" s="16">
        <v>724.50689554181236</v>
      </c>
      <c r="AA31">
        <v>2058.7198005510922</v>
      </c>
      <c r="AB31">
        <v>1269.8645498726364</v>
      </c>
      <c r="AC31">
        <v>1116.7199716854936</v>
      </c>
      <c r="AD31">
        <v>1155.9080962800874</v>
      </c>
      <c r="AF31">
        <v>0.38679089860696697</v>
      </c>
      <c r="AG31">
        <v>19.796586936291153</v>
      </c>
      <c r="AH31">
        <v>39.116</v>
      </c>
      <c r="AI31">
        <v>12.6</v>
      </c>
    </row>
    <row r="32" spans="1:35" x14ac:dyDescent="0.25">
      <c r="A32">
        <v>2024</v>
      </c>
      <c r="B32" t="s">
        <v>103</v>
      </c>
      <c r="C32" t="s">
        <v>35</v>
      </c>
      <c r="D32" t="s">
        <v>25</v>
      </c>
      <c r="E32">
        <v>3</v>
      </c>
      <c r="F32">
        <v>31</v>
      </c>
      <c r="G32" s="12">
        <v>45562</v>
      </c>
      <c r="H32">
        <v>270</v>
      </c>
      <c r="J32" t="s">
        <v>26</v>
      </c>
      <c r="K32">
        <v>37100</v>
      </c>
      <c r="L32">
        <v>0</v>
      </c>
      <c r="M32">
        <v>0.60000000000000142</v>
      </c>
      <c r="N32">
        <v>34.89</v>
      </c>
      <c r="O32">
        <v>72.3</v>
      </c>
      <c r="P32">
        <v>36.700000000000003</v>
      </c>
      <c r="Q32">
        <v>89.7</v>
      </c>
      <c r="R32">
        <v>144.49</v>
      </c>
      <c r="S32">
        <v>303.5</v>
      </c>
      <c r="T32">
        <v>2249.9452954048138</v>
      </c>
      <c r="U32">
        <v>2</v>
      </c>
      <c r="V32">
        <v>0.91400000000000003</v>
      </c>
      <c r="W32">
        <v>1.8280000000000001</v>
      </c>
      <c r="X32">
        <v>0</v>
      </c>
      <c r="Y32">
        <v>12.524048401919396</v>
      </c>
      <c r="Z32" s="16">
        <v>728.27341457161106</v>
      </c>
      <c r="AA32">
        <v>1509.1478324312836</v>
      </c>
      <c r="AB32">
        <v>766.0542939174012</v>
      </c>
      <c r="AC32">
        <v>664.97559472096145</v>
      </c>
      <c r="AD32">
        <v>691.46608315098479</v>
      </c>
      <c r="AF32">
        <v>0.30732573123586771</v>
      </c>
      <c r="AG32">
        <v>11.84235015971227</v>
      </c>
      <c r="AH32">
        <v>59.436</v>
      </c>
      <c r="AI32">
        <v>16.2</v>
      </c>
    </row>
    <row r="33" spans="1:35" x14ac:dyDescent="0.25">
      <c r="A33">
        <v>2024</v>
      </c>
      <c r="B33" t="s">
        <v>103</v>
      </c>
      <c r="C33" t="s">
        <v>28</v>
      </c>
      <c r="D33" t="s">
        <v>25</v>
      </c>
      <c r="E33">
        <v>3</v>
      </c>
      <c r="F33">
        <v>32</v>
      </c>
      <c r="G33" s="12">
        <v>45576</v>
      </c>
      <c r="H33">
        <v>284</v>
      </c>
      <c r="J33" t="s">
        <v>26</v>
      </c>
      <c r="K33">
        <v>37100</v>
      </c>
      <c r="L33">
        <v>0</v>
      </c>
      <c r="M33">
        <v>0</v>
      </c>
      <c r="N33">
        <v>30.89</v>
      </c>
      <c r="O33">
        <v>96.3</v>
      </c>
      <c r="P33">
        <v>62.599999999999987</v>
      </c>
      <c r="Q33">
        <v>220.4</v>
      </c>
      <c r="R33">
        <v>189.79</v>
      </c>
      <c r="S33">
        <v>477.5</v>
      </c>
      <c r="T33">
        <v>3307.9321663019691</v>
      </c>
      <c r="U33">
        <v>2</v>
      </c>
      <c r="V33">
        <v>0.91400000000000003</v>
      </c>
      <c r="W33">
        <v>1.8280000000000001</v>
      </c>
      <c r="X33">
        <v>0</v>
      </c>
      <c r="Y33">
        <v>0</v>
      </c>
      <c r="Z33" s="16">
        <v>803.38096247399812</v>
      </c>
      <c r="AA33">
        <v>2504.5512038279708</v>
      </c>
      <c r="AB33">
        <v>1628.088321491495</v>
      </c>
      <c r="AC33">
        <v>1526.8445014721551</v>
      </c>
      <c r="AD33">
        <v>1548.1400437636764</v>
      </c>
      <c r="AF33">
        <v>0.46800840099885904</v>
      </c>
      <c r="AG33">
        <v>26.514122588596297</v>
      </c>
      <c r="AH33">
        <v>46.99</v>
      </c>
      <c r="AI33">
        <v>14</v>
      </c>
    </row>
    <row r="34" spans="1:35" x14ac:dyDescent="0.25">
      <c r="A34">
        <v>2024</v>
      </c>
      <c r="B34" t="s">
        <v>103</v>
      </c>
      <c r="C34" t="s">
        <v>29</v>
      </c>
      <c r="D34" t="s">
        <v>25</v>
      </c>
      <c r="E34">
        <v>3</v>
      </c>
      <c r="F34">
        <v>33</v>
      </c>
      <c r="G34" s="12">
        <v>45566</v>
      </c>
      <c r="H34">
        <v>274</v>
      </c>
      <c r="J34" t="s">
        <v>26</v>
      </c>
      <c r="K34">
        <v>37100</v>
      </c>
      <c r="L34">
        <v>0</v>
      </c>
      <c r="M34">
        <v>0</v>
      </c>
      <c r="N34">
        <v>27.89</v>
      </c>
      <c r="O34">
        <v>77.3</v>
      </c>
      <c r="P34">
        <v>55.8</v>
      </c>
      <c r="Q34">
        <v>391.90000000000003</v>
      </c>
      <c r="R34">
        <v>160.98999999999998</v>
      </c>
      <c r="S34">
        <v>827.5</v>
      </c>
      <c r="T34">
        <v>5102.2428884026258</v>
      </c>
      <c r="U34">
        <v>2</v>
      </c>
      <c r="V34">
        <v>0.91400000000000003</v>
      </c>
      <c r="W34">
        <v>1.8280000000000001</v>
      </c>
      <c r="X34">
        <v>0</v>
      </c>
      <c r="Y34">
        <v>0</v>
      </c>
      <c r="Z34" s="16">
        <v>1352.8049639466608</v>
      </c>
      <c r="AA34">
        <v>3749.4379244559655</v>
      </c>
      <c r="AB34">
        <v>2706.5800282618738</v>
      </c>
      <c r="AC34">
        <v>2416.3975685377513</v>
      </c>
      <c r="AD34">
        <v>2449.1247264770241</v>
      </c>
      <c r="AF34">
        <v>0.48000943507489091</v>
      </c>
      <c r="AG34">
        <v>41.944779798284664</v>
      </c>
      <c r="AH34">
        <v>66.294000000000011</v>
      </c>
      <c r="AI34">
        <v>17.8</v>
      </c>
    </row>
    <row r="35" spans="1:35" x14ac:dyDescent="0.25">
      <c r="A35">
        <v>2024</v>
      </c>
      <c r="B35" t="s">
        <v>103</v>
      </c>
      <c r="C35" t="s">
        <v>31</v>
      </c>
      <c r="D35" t="s">
        <v>25</v>
      </c>
      <c r="E35">
        <v>3</v>
      </c>
      <c r="F35">
        <v>34</v>
      </c>
      <c r="G35" s="12">
        <v>45576</v>
      </c>
      <c r="H35">
        <v>284</v>
      </c>
      <c r="J35" t="s">
        <v>26</v>
      </c>
      <c r="K35">
        <v>37100</v>
      </c>
      <c r="L35">
        <v>0</v>
      </c>
      <c r="M35">
        <v>0</v>
      </c>
      <c r="N35">
        <v>0</v>
      </c>
      <c r="O35">
        <v>0</v>
      </c>
      <c r="P35">
        <v>0</v>
      </c>
      <c r="Q35">
        <v>350.40000000000003</v>
      </c>
      <c r="R35">
        <v>0</v>
      </c>
      <c r="S35">
        <v>691.5</v>
      </c>
      <c r="T35">
        <v>3782.8227571115972</v>
      </c>
      <c r="U35">
        <v>2</v>
      </c>
      <c r="V35">
        <v>0.91400000000000003</v>
      </c>
      <c r="W35">
        <v>1.8280000000000001</v>
      </c>
      <c r="X35">
        <v>0</v>
      </c>
      <c r="Y35">
        <v>0</v>
      </c>
      <c r="Z35" s="16">
        <v>0</v>
      </c>
      <c r="AA35">
        <v>0</v>
      </c>
      <c r="AB35">
        <v>0</v>
      </c>
      <c r="AC35">
        <v>1916.8490153172868</v>
      </c>
      <c r="AD35">
        <v>1916.8490153172868</v>
      </c>
      <c r="AF35">
        <v>0.50672451193058576</v>
      </c>
      <c r="AG35">
        <v>32.828793480721352</v>
      </c>
    </row>
    <row r="36" spans="1:35" x14ac:dyDescent="0.25">
      <c r="A36">
        <v>2024</v>
      </c>
      <c r="B36" t="s">
        <v>103</v>
      </c>
      <c r="C36" t="s">
        <v>30</v>
      </c>
      <c r="D36" t="s">
        <v>25</v>
      </c>
      <c r="E36">
        <v>3</v>
      </c>
      <c r="F36">
        <v>35</v>
      </c>
      <c r="G36" s="12">
        <v>45566</v>
      </c>
      <c r="H36">
        <v>274</v>
      </c>
      <c r="J36" t="s">
        <v>26</v>
      </c>
      <c r="K36">
        <v>37100</v>
      </c>
      <c r="L36">
        <v>0</v>
      </c>
      <c r="M36">
        <v>0</v>
      </c>
      <c r="N36">
        <v>49.89</v>
      </c>
      <c r="O36">
        <v>144.30000000000001</v>
      </c>
      <c r="P36">
        <v>96.1</v>
      </c>
      <c r="Q36">
        <v>282.5</v>
      </c>
      <c r="R36">
        <v>290.29000000000002</v>
      </c>
      <c r="S36">
        <v>684.5</v>
      </c>
      <c r="T36">
        <v>4806.8380743982489</v>
      </c>
      <c r="U36">
        <v>2</v>
      </c>
      <c r="V36">
        <v>0.91400000000000003</v>
      </c>
      <c r="W36">
        <v>1.8280000000000001</v>
      </c>
      <c r="X36">
        <v>0</v>
      </c>
      <c r="Y36">
        <v>0</v>
      </c>
      <c r="Z36" s="16">
        <v>1234.9407875365807</v>
      </c>
      <c r="AA36">
        <v>3571.8972868616675</v>
      </c>
      <c r="AB36">
        <v>2378.7895306126557</v>
      </c>
      <c r="AC36">
        <v>1983.8301767969397</v>
      </c>
      <c r="AD36">
        <v>2071.1159737417938</v>
      </c>
      <c r="AF36">
        <v>0.43086867951154556</v>
      </c>
      <c r="AG36">
        <v>35.470836791669804</v>
      </c>
      <c r="AH36">
        <v>63.245999999999995</v>
      </c>
      <c r="AI36">
        <v>20.2</v>
      </c>
    </row>
    <row r="37" spans="1:35" x14ac:dyDescent="0.25">
      <c r="A37">
        <v>2024</v>
      </c>
      <c r="B37" t="s">
        <v>103</v>
      </c>
      <c r="C37" t="s">
        <v>32</v>
      </c>
      <c r="D37" t="s">
        <v>25</v>
      </c>
      <c r="E37">
        <v>3</v>
      </c>
      <c r="F37">
        <v>36</v>
      </c>
      <c r="G37" s="12">
        <v>45576</v>
      </c>
      <c r="H37">
        <v>284</v>
      </c>
      <c r="J37" t="s">
        <v>26</v>
      </c>
      <c r="K37">
        <v>37100</v>
      </c>
      <c r="L37">
        <v>0</v>
      </c>
      <c r="M37">
        <v>0</v>
      </c>
      <c r="N37">
        <v>0</v>
      </c>
      <c r="O37">
        <v>0</v>
      </c>
      <c r="P37">
        <v>0</v>
      </c>
      <c r="Q37">
        <v>340.2</v>
      </c>
      <c r="R37">
        <v>0</v>
      </c>
      <c r="S37">
        <v>760.5</v>
      </c>
      <c r="T37">
        <v>4160.2844638949664</v>
      </c>
      <c r="U37">
        <v>2</v>
      </c>
      <c r="V37">
        <v>0.91400000000000003</v>
      </c>
      <c r="W37">
        <v>1.8280000000000001</v>
      </c>
      <c r="X37">
        <v>0</v>
      </c>
      <c r="Y37">
        <v>0</v>
      </c>
      <c r="Z37" s="16">
        <v>0</v>
      </c>
      <c r="AA37">
        <v>0</v>
      </c>
      <c r="AB37">
        <v>0</v>
      </c>
      <c r="AC37">
        <v>1861.0503282275708</v>
      </c>
      <c r="AD37">
        <v>1861.0503282275711</v>
      </c>
      <c r="AF37">
        <v>0.44733727810650897</v>
      </c>
      <c r="AG37">
        <v>31.873160793782542</v>
      </c>
    </row>
    <row r="38" spans="1:35" x14ac:dyDescent="0.25">
      <c r="A38">
        <v>2024</v>
      </c>
      <c r="B38" t="s">
        <v>103</v>
      </c>
      <c r="C38" t="s">
        <v>24</v>
      </c>
      <c r="D38" t="s">
        <v>38</v>
      </c>
      <c r="E38">
        <v>1</v>
      </c>
      <c r="F38">
        <v>37</v>
      </c>
      <c r="G38" s="12">
        <v>45579</v>
      </c>
      <c r="H38">
        <v>287</v>
      </c>
      <c r="J38" t="s">
        <v>26</v>
      </c>
      <c r="K38">
        <v>37100</v>
      </c>
      <c r="L38">
        <v>0.30000000000000071</v>
      </c>
      <c r="M38">
        <v>0</v>
      </c>
      <c r="N38">
        <v>52.89</v>
      </c>
      <c r="O38">
        <v>134.30000000000001</v>
      </c>
      <c r="P38">
        <v>97.2</v>
      </c>
      <c r="Q38">
        <v>584.59999999999991</v>
      </c>
      <c r="R38">
        <v>284.69</v>
      </c>
      <c r="S38">
        <v>1285.5</v>
      </c>
      <c r="T38">
        <v>8057.9321663019691</v>
      </c>
      <c r="U38">
        <v>2</v>
      </c>
      <c r="V38">
        <v>0.91400000000000003</v>
      </c>
      <c r="W38">
        <v>1.8280000000000001</v>
      </c>
      <c r="X38">
        <v>12.893379112969207</v>
      </c>
      <c r="Y38">
        <v>0</v>
      </c>
      <c r="Z38" s="16">
        <v>2273.1027376164657</v>
      </c>
      <c r="AA38">
        <v>5771.936049572535</v>
      </c>
      <c r="AB38">
        <v>4177.4548326020131</v>
      </c>
      <c r="AC38">
        <v>3664.4629672657566</v>
      </c>
      <c r="AD38">
        <v>3729.7592997811817</v>
      </c>
      <c r="AF38">
        <v>0.46286804391068509</v>
      </c>
      <c r="AG38">
        <v>63.87748685832139</v>
      </c>
      <c r="AH38">
        <v>78.231999999999999</v>
      </c>
      <c r="AI38">
        <v>18.2</v>
      </c>
    </row>
    <row r="39" spans="1:35" x14ac:dyDescent="0.25">
      <c r="A39">
        <v>2024</v>
      </c>
      <c r="B39" t="s">
        <v>103</v>
      </c>
      <c r="C39" t="s">
        <v>27</v>
      </c>
      <c r="D39" t="s">
        <v>38</v>
      </c>
      <c r="E39">
        <v>1</v>
      </c>
      <c r="F39">
        <v>38</v>
      </c>
      <c r="G39" s="12">
        <v>45582</v>
      </c>
      <c r="H39">
        <v>290</v>
      </c>
      <c r="J39" t="s">
        <v>26</v>
      </c>
      <c r="K39">
        <v>37100</v>
      </c>
      <c r="L39">
        <v>0</v>
      </c>
      <c r="M39">
        <v>0</v>
      </c>
      <c r="N39">
        <v>68.89</v>
      </c>
      <c r="O39">
        <v>217.3</v>
      </c>
      <c r="P39">
        <v>163.80000000000001</v>
      </c>
      <c r="Q39">
        <v>851.09999999999991</v>
      </c>
      <c r="R39">
        <v>449.99000000000007</v>
      </c>
      <c r="S39">
        <v>1708.5</v>
      </c>
      <c r="T39">
        <v>10911.870897155359</v>
      </c>
      <c r="U39">
        <v>2</v>
      </c>
      <c r="V39">
        <v>0.91400000000000003</v>
      </c>
      <c r="W39">
        <v>1.8280000000000001</v>
      </c>
      <c r="X39">
        <v>0</v>
      </c>
      <c r="Y39">
        <v>0</v>
      </c>
      <c r="Z39" s="16">
        <v>2626.6423917852917</v>
      </c>
      <c r="AA39">
        <v>8285.2285053700671</v>
      </c>
      <c r="AB39">
        <v>6245.3770325799214</v>
      </c>
      <c r="AC39">
        <v>5435.8169859929321</v>
      </c>
      <c r="AD39">
        <v>5551.9693654266957</v>
      </c>
      <c r="AF39">
        <v>0.50880086630002663</v>
      </c>
      <c r="AG39">
        <v>95.085452350411217</v>
      </c>
      <c r="AH39">
        <v>91.948000000000008</v>
      </c>
      <c r="AI39">
        <v>20.6</v>
      </c>
    </row>
    <row r="40" spans="1:35" x14ac:dyDescent="0.25">
      <c r="A40">
        <v>2024</v>
      </c>
      <c r="B40" t="s">
        <v>103</v>
      </c>
      <c r="C40" t="s">
        <v>28</v>
      </c>
      <c r="D40" t="s">
        <v>38</v>
      </c>
      <c r="E40">
        <v>1</v>
      </c>
      <c r="F40">
        <v>39</v>
      </c>
      <c r="G40" s="12">
        <v>45582</v>
      </c>
      <c r="H40">
        <v>290</v>
      </c>
      <c r="J40" t="s">
        <v>26</v>
      </c>
      <c r="K40">
        <v>37100</v>
      </c>
      <c r="L40">
        <v>0</v>
      </c>
      <c r="M40">
        <v>0</v>
      </c>
      <c r="N40">
        <v>63.89</v>
      </c>
      <c r="O40">
        <v>160.30000000000001</v>
      </c>
      <c r="P40">
        <v>120.49999999999999</v>
      </c>
      <c r="Q40">
        <v>539.79999999999995</v>
      </c>
      <c r="R40">
        <v>344.69</v>
      </c>
      <c r="S40">
        <v>1126.5</v>
      </c>
      <c r="T40">
        <v>7388.8949671772434</v>
      </c>
      <c r="U40">
        <v>2</v>
      </c>
      <c r="V40">
        <v>0.91400000000000003</v>
      </c>
      <c r="W40">
        <v>1.8280000000000001</v>
      </c>
      <c r="X40">
        <v>0</v>
      </c>
      <c r="Y40">
        <v>0</v>
      </c>
      <c r="Z40" s="16">
        <v>2105.6982891875377</v>
      </c>
      <c r="AA40">
        <v>5283.1966779897057</v>
      </c>
      <c r="AB40">
        <v>3971.4610087196475</v>
      </c>
      <c r="AC40">
        <v>3540.6351560428543</v>
      </c>
      <c r="AD40">
        <v>3612.1444201312902</v>
      </c>
      <c r="AF40">
        <v>0.48886124869511122</v>
      </c>
      <c r="AG40">
        <v>61.863163057420948</v>
      </c>
      <c r="AH40">
        <v>59.436</v>
      </c>
      <c r="AI40">
        <v>14.2</v>
      </c>
    </row>
    <row r="41" spans="1:35" x14ac:dyDescent="0.25">
      <c r="A41">
        <v>2024</v>
      </c>
      <c r="B41" t="s">
        <v>103</v>
      </c>
      <c r="C41" t="s">
        <v>29</v>
      </c>
      <c r="D41" t="s">
        <v>38</v>
      </c>
      <c r="E41">
        <v>1</v>
      </c>
      <c r="F41">
        <v>40</v>
      </c>
      <c r="G41" s="12">
        <v>45582</v>
      </c>
      <c r="H41">
        <v>290</v>
      </c>
      <c r="J41" t="s">
        <v>26</v>
      </c>
      <c r="K41">
        <v>37100</v>
      </c>
      <c r="L41">
        <v>3.3000000000000007</v>
      </c>
      <c r="M41">
        <v>0</v>
      </c>
      <c r="N41">
        <v>80.89</v>
      </c>
      <c r="O41">
        <v>121.3</v>
      </c>
      <c r="P41">
        <v>90</v>
      </c>
      <c r="Q41">
        <v>628.09999999999991</v>
      </c>
      <c r="R41">
        <v>295.49</v>
      </c>
      <c r="S41">
        <v>1327.5</v>
      </c>
      <c r="T41">
        <v>8386.1597374179419</v>
      </c>
      <c r="U41">
        <v>2</v>
      </c>
      <c r="V41">
        <v>0.91400000000000003</v>
      </c>
      <c r="W41">
        <v>1.8280000000000001</v>
      </c>
      <c r="X41">
        <v>134.67481207591229</v>
      </c>
      <c r="Y41">
        <v>0</v>
      </c>
      <c r="Z41" s="16">
        <v>3301.1653178244069</v>
      </c>
      <c r="AA41">
        <v>4950.319607517622</v>
      </c>
      <c r="AB41">
        <v>3672.9494202521519</v>
      </c>
      <c r="AC41">
        <v>3967.869627926334</v>
      </c>
      <c r="AD41">
        <v>3928.3369803063447</v>
      </c>
      <c r="AF41">
        <v>0.46843097476174006</v>
      </c>
      <c r="AG41">
        <v>67.278414950074179</v>
      </c>
      <c r="AH41">
        <v>107.188</v>
      </c>
      <c r="AI41">
        <v>20.6</v>
      </c>
    </row>
    <row r="42" spans="1:35" x14ac:dyDescent="0.25">
      <c r="A42">
        <v>2024</v>
      </c>
      <c r="B42" t="s">
        <v>103</v>
      </c>
      <c r="C42" t="s">
        <v>30</v>
      </c>
      <c r="D42" t="s">
        <v>38</v>
      </c>
      <c r="E42">
        <v>1</v>
      </c>
      <c r="F42">
        <v>41</v>
      </c>
      <c r="G42" s="12">
        <v>45579</v>
      </c>
      <c r="H42">
        <v>287</v>
      </c>
      <c r="J42" t="s">
        <v>26</v>
      </c>
      <c r="K42">
        <v>37100</v>
      </c>
      <c r="L42">
        <v>1.3000000000000007</v>
      </c>
      <c r="M42">
        <v>0</v>
      </c>
      <c r="N42">
        <v>55.89</v>
      </c>
      <c r="O42">
        <v>91.3</v>
      </c>
      <c r="P42">
        <v>71</v>
      </c>
      <c r="Q42">
        <v>415.2</v>
      </c>
      <c r="R42">
        <v>219.49</v>
      </c>
      <c r="S42">
        <v>1102.5</v>
      </c>
      <c r="T42">
        <v>6843.4901531728665</v>
      </c>
      <c r="U42">
        <v>2</v>
      </c>
      <c r="V42">
        <v>0.91400000000000003</v>
      </c>
      <c r="W42">
        <v>1.8280000000000001</v>
      </c>
      <c r="X42">
        <v>59.913375979020351</v>
      </c>
      <c r="Y42">
        <v>0</v>
      </c>
      <c r="Z42" s="16">
        <v>2575.8142949749581</v>
      </c>
      <c r="AA42">
        <v>4207.7624822188882</v>
      </c>
      <c r="AB42">
        <v>3272.1920727003398</v>
      </c>
      <c r="AC42">
        <v>2577.2490808139446</v>
      </c>
      <c r="AD42">
        <v>2659.7374179431072</v>
      </c>
      <c r="AF42">
        <v>0.38865218746752572</v>
      </c>
      <c r="AG42">
        <v>45.551824744083099</v>
      </c>
      <c r="AH42">
        <v>104.64800000000001</v>
      </c>
      <c r="AI42">
        <v>20.2</v>
      </c>
    </row>
    <row r="43" spans="1:35" x14ac:dyDescent="0.25">
      <c r="A43">
        <v>2024</v>
      </c>
      <c r="B43" t="s">
        <v>103</v>
      </c>
      <c r="C43" t="s">
        <v>31</v>
      </c>
      <c r="D43" t="s">
        <v>38</v>
      </c>
      <c r="E43">
        <v>1</v>
      </c>
      <c r="F43">
        <v>42</v>
      </c>
      <c r="G43" s="12">
        <v>45582</v>
      </c>
      <c r="H43">
        <v>290</v>
      </c>
      <c r="J43" t="s">
        <v>26</v>
      </c>
      <c r="K43">
        <v>37100</v>
      </c>
      <c r="L43">
        <v>0</v>
      </c>
      <c r="M43">
        <v>0</v>
      </c>
      <c r="N43">
        <v>0</v>
      </c>
      <c r="O43">
        <v>0</v>
      </c>
      <c r="P43">
        <v>0</v>
      </c>
      <c r="Q43">
        <v>788.3</v>
      </c>
      <c r="R43">
        <v>0</v>
      </c>
      <c r="S43">
        <v>1713.5</v>
      </c>
      <c r="T43">
        <v>9373.6323851203506</v>
      </c>
      <c r="U43">
        <v>2</v>
      </c>
      <c r="V43">
        <v>0.91400000000000003</v>
      </c>
      <c r="W43">
        <v>1.8280000000000001</v>
      </c>
      <c r="X43">
        <v>0</v>
      </c>
      <c r="Y43">
        <v>0</v>
      </c>
      <c r="Z43" s="16">
        <v>0</v>
      </c>
      <c r="AA43">
        <v>0</v>
      </c>
      <c r="AB43">
        <v>0</v>
      </c>
      <c r="AC43">
        <v>4312.3632385120354</v>
      </c>
      <c r="AD43">
        <v>4312.3632385120345</v>
      </c>
      <c r="AF43">
        <v>0.46005252407353364</v>
      </c>
      <c r="AG43">
        <v>73.855416383711855</v>
      </c>
    </row>
    <row r="44" spans="1:35" x14ac:dyDescent="0.25">
      <c r="A44">
        <v>2024</v>
      </c>
      <c r="B44" t="s">
        <v>103</v>
      </c>
      <c r="C44" t="s">
        <v>32</v>
      </c>
      <c r="D44" t="s">
        <v>38</v>
      </c>
      <c r="E44">
        <v>1</v>
      </c>
      <c r="F44">
        <v>43</v>
      </c>
      <c r="G44" s="12">
        <v>45582</v>
      </c>
      <c r="H44">
        <v>290</v>
      </c>
      <c r="J44" t="s">
        <v>26</v>
      </c>
      <c r="K44">
        <v>37100</v>
      </c>
      <c r="L44">
        <v>0</v>
      </c>
      <c r="M44">
        <v>0</v>
      </c>
      <c r="N44">
        <v>0</v>
      </c>
      <c r="O44">
        <v>0</v>
      </c>
      <c r="P44">
        <v>0</v>
      </c>
      <c r="Q44">
        <v>544.59999999999991</v>
      </c>
      <c r="R44">
        <v>0</v>
      </c>
      <c r="S44">
        <v>1292.5</v>
      </c>
      <c r="T44">
        <v>7070.5689277899337</v>
      </c>
      <c r="U44">
        <v>2</v>
      </c>
      <c r="V44">
        <v>0.91400000000000003</v>
      </c>
      <c r="W44">
        <v>1.8280000000000001</v>
      </c>
      <c r="X44">
        <v>0</v>
      </c>
      <c r="Y44">
        <v>0</v>
      </c>
      <c r="Z44" s="16">
        <v>0</v>
      </c>
      <c r="AA44">
        <v>0</v>
      </c>
      <c r="AB44">
        <v>0</v>
      </c>
      <c r="AC44">
        <v>2979.2122538293211</v>
      </c>
      <c r="AD44">
        <v>2979.2122538293206</v>
      </c>
      <c r="AF44">
        <v>0.42135396518375229</v>
      </c>
      <c r="AG44">
        <v>51.023290324203309</v>
      </c>
    </row>
    <row r="45" spans="1:35" x14ac:dyDescent="0.25">
      <c r="A45">
        <v>2024</v>
      </c>
      <c r="B45" t="s">
        <v>103</v>
      </c>
      <c r="C45" t="s">
        <v>33</v>
      </c>
      <c r="D45" t="s">
        <v>38</v>
      </c>
      <c r="E45">
        <v>1</v>
      </c>
      <c r="F45">
        <v>44</v>
      </c>
      <c r="G45" s="12">
        <v>45579</v>
      </c>
      <c r="H45">
        <v>287</v>
      </c>
      <c r="J45" t="s">
        <v>26</v>
      </c>
      <c r="K45">
        <v>37100</v>
      </c>
      <c r="L45">
        <v>0</v>
      </c>
      <c r="M45">
        <v>0</v>
      </c>
      <c r="N45">
        <v>0</v>
      </c>
      <c r="O45">
        <v>0</v>
      </c>
      <c r="P45">
        <v>0</v>
      </c>
      <c r="Q45">
        <v>753.19999999999993</v>
      </c>
      <c r="R45">
        <v>0</v>
      </c>
      <c r="S45">
        <v>1550.5</v>
      </c>
      <c r="T45">
        <v>8481.9474835886213</v>
      </c>
      <c r="U45">
        <v>2</v>
      </c>
      <c r="V45">
        <v>0.91400000000000003</v>
      </c>
      <c r="W45">
        <v>1.8280000000000001</v>
      </c>
      <c r="X45">
        <v>0</v>
      </c>
      <c r="Y45">
        <v>0</v>
      </c>
      <c r="Z45" s="16">
        <v>0</v>
      </c>
      <c r="AA45">
        <v>0</v>
      </c>
      <c r="AB45">
        <v>0</v>
      </c>
      <c r="AC45">
        <v>4120.3501094091898</v>
      </c>
      <c r="AD45">
        <v>4120.3501094091898</v>
      </c>
      <c r="AF45">
        <v>0.48577878103837469</v>
      </c>
      <c r="AG45">
        <v>70.566915666893024</v>
      </c>
    </row>
    <row r="46" spans="1:35" x14ac:dyDescent="0.25">
      <c r="A46">
        <v>2024</v>
      </c>
      <c r="B46" t="s">
        <v>103</v>
      </c>
      <c r="C46" t="s">
        <v>34</v>
      </c>
      <c r="D46" t="s">
        <v>38</v>
      </c>
      <c r="E46">
        <v>1</v>
      </c>
      <c r="F46">
        <v>45</v>
      </c>
      <c r="G46" s="12">
        <v>45566</v>
      </c>
      <c r="H46">
        <v>274</v>
      </c>
      <c r="J46" t="s">
        <v>26</v>
      </c>
      <c r="K46">
        <v>37100</v>
      </c>
      <c r="L46">
        <v>0</v>
      </c>
      <c r="M46">
        <v>7.6000000000000014</v>
      </c>
      <c r="N46">
        <v>72.89</v>
      </c>
      <c r="O46">
        <v>228.3</v>
      </c>
      <c r="P46">
        <v>148.20000000000002</v>
      </c>
      <c r="Q46">
        <v>430.2</v>
      </c>
      <c r="R46">
        <v>456.99</v>
      </c>
      <c r="S46">
        <v>857.5</v>
      </c>
      <c r="T46">
        <v>6380.1422319474832</v>
      </c>
      <c r="U46">
        <v>2</v>
      </c>
      <c r="V46">
        <v>0.91400000000000003</v>
      </c>
      <c r="W46">
        <v>1.8280000000000001</v>
      </c>
      <c r="X46">
        <v>0</v>
      </c>
      <c r="Y46">
        <v>157.02931106188956</v>
      </c>
      <c r="Z46" s="16">
        <v>1506.0350635922537</v>
      </c>
      <c r="AA46">
        <v>4717.0778572933395</v>
      </c>
      <c r="AB46">
        <v>3062.0715657068463</v>
      </c>
      <c r="AC46">
        <v>3200.8596946749935</v>
      </c>
      <c r="AD46">
        <v>3164.1137855579868</v>
      </c>
      <c r="AF46">
        <v>0.49593154361265213</v>
      </c>
      <c r="AG46">
        <v>54.189994718177019</v>
      </c>
      <c r="AH46">
        <v>52.832000000000001</v>
      </c>
      <c r="AI46">
        <v>15.4</v>
      </c>
    </row>
    <row r="47" spans="1:35" x14ac:dyDescent="0.25">
      <c r="A47">
        <v>2024</v>
      </c>
      <c r="B47" t="s">
        <v>103</v>
      </c>
      <c r="C47" t="s">
        <v>35</v>
      </c>
      <c r="D47" t="s">
        <v>38</v>
      </c>
      <c r="E47">
        <v>1</v>
      </c>
      <c r="F47">
        <v>46</v>
      </c>
      <c r="G47" s="12">
        <v>45562</v>
      </c>
      <c r="H47">
        <v>270</v>
      </c>
      <c r="J47" t="s">
        <v>26</v>
      </c>
      <c r="K47">
        <v>37100</v>
      </c>
      <c r="L47">
        <v>22.3</v>
      </c>
      <c r="M47">
        <v>1.6000000000000014</v>
      </c>
      <c r="N47">
        <v>102.89</v>
      </c>
      <c r="O47">
        <v>51.3</v>
      </c>
      <c r="P47">
        <v>4.9000000000000021</v>
      </c>
      <c r="Q47">
        <v>163.80000000000001</v>
      </c>
      <c r="R47">
        <v>182.98999999999998</v>
      </c>
      <c r="S47">
        <v>645.5</v>
      </c>
      <c r="T47">
        <v>4505.4157549234133</v>
      </c>
      <c r="U47">
        <v>2</v>
      </c>
      <c r="V47">
        <v>0.91400000000000003</v>
      </c>
      <c r="W47">
        <v>1.8280000000000001</v>
      </c>
      <c r="X47">
        <v>564.15728752199527</v>
      </c>
      <c r="Y47">
        <v>40.477652916376378</v>
      </c>
      <c r="Z47" s="16">
        <v>2602.9660678537261</v>
      </c>
      <c r="AA47">
        <v>1297.8147466313164</v>
      </c>
      <c r="AB47">
        <v>123.9628120564026</v>
      </c>
      <c r="AC47">
        <v>1143.2797841308366</v>
      </c>
      <c r="AD47">
        <v>922.86652078774625</v>
      </c>
      <c r="AF47">
        <v>0.20483493000157849</v>
      </c>
      <c r="AG47">
        <v>15.805415126134964</v>
      </c>
      <c r="AH47">
        <v>83.820000000000007</v>
      </c>
      <c r="AI47">
        <v>16.600000000000001</v>
      </c>
    </row>
    <row r="48" spans="1:35" x14ac:dyDescent="0.25">
      <c r="A48">
        <v>2024</v>
      </c>
      <c r="B48" t="s">
        <v>103</v>
      </c>
      <c r="C48" t="s">
        <v>36</v>
      </c>
      <c r="D48" t="s">
        <v>38</v>
      </c>
      <c r="E48">
        <v>1</v>
      </c>
      <c r="F48">
        <v>47</v>
      </c>
      <c r="G48" s="12">
        <v>45562</v>
      </c>
      <c r="H48">
        <v>270</v>
      </c>
      <c r="J48" t="s">
        <v>26</v>
      </c>
      <c r="K48">
        <v>37100</v>
      </c>
      <c r="L48">
        <v>0</v>
      </c>
      <c r="M48">
        <v>0</v>
      </c>
      <c r="N48">
        <v>38.89</v>
      </c>
      <c r="O48">
        <v>103.3</v>
      </c>
      <c r="P48">
        <v>65.099999999999994</v>
      </c>
      <c r="Q48">
        <v>452.40000000000003</v>
      </c>
      <c r="R48">
        <v>207.29</v>
      </c>
      <c r="S48">
        <v>936.5</v>
      </c>
      <c r="T48">
        <v>5900.9299781181617</v>
      </c>
      <c r="U48">
        <v>2</v>
      </c>
      <c r="V48">
        <v>0.91400000000000003</v>
      </c>
      <c r="W48">
        <v>1.8280000000000001</v>
      </c>
      <c r="X48">
        <v>0</v>
      </c>
      <c r="Y48">
        <v>0</v>
      </c>
      <c r="Z48" s="16">
        <v>1613.9473018427127</v>
      </c>
      <c r="AA48">
        <v>4286.9826762754492</v>
      </c>
      <c r="AB48">
        <v>2701.6705926963373</v>
      </c>
      <c r="AC48">
        <v>2850.5934032041177</v>
      </c>
      <c r="AD48">
        <v>2830.9628008752738</v>
      </c>
      <c r="AF48">
        <v>0.4797485839305084</v>
      </c>
      <c r="AG48">
        <v>48.48430544027768</v>
      </c>
      <c r="AH48">
        <v>58.165999999999997</v>
      </c>
      <c r="AI48">
        <v>14.4</v>
      </c>
    </row>
    <row r="49" spans="1:35" x14ac:dyDescent="0.25">
      <c r="A49">
        <v>2024</v>
      </c>
      <c r="B49" t="s">
        <v>103</v>
      </c>
      <c r="C49" t="s">
        <v>37</v>
      </c>
      <c r="D49" t="s">
        <v>38</v>
      </c>
      <c r="E49">
        <v>1</v>
      </c>
      <c r="F49">
        <v>48</v>
      </c>
      <c r="G49" s="12">
        <v>45562</v>
      </c>
      <c r="H49">
        <v>270</v>
      </c>
      <c r="J49" t="s">
        <v>26</v>
      </c>
      <c r="K49">
        <v>37100</v>
      </c>
      <c r="L49">
        <v>0</v>
      </c>
      <c r="M49">
        <v>0</v>
      </c>
      <c r="N49">
        <v>0</v>
      </c>
      <c r="O49">
        <v>0</v>
      </c>
      <c r="P49">
        <v>0</v>
      </c>
      <c r="Q49">
        <v>599.19999999999993</v>
      </c>
      <c r="R49">
        <v>0</v>
      </c>
      <c r="S49">
        <v>1270.5</v>
      </c>
      <c r="T49">
        <v>6950.2188183807439</v>
      </c>
      <c r="U49">
        <v>2</v>
      </c>
      <c r="V49">
        <v>0.91400000000000003</v>
      </c>
      <c r="W49">
        <v>1.8280000000000001</v>
      </c>
      <c r="X49">
        <v>0</v>
      </c>
      <c r="Y49">
        <v>0</v>
      </c>
      <c r="Z49" s="16">
        <v>0</v>
      </c>
      <c r="AA49">
        <v>0</v>
      </c>
      <c r="AB49">
        <v>0</v>
      </c>
      <c r="AC49">
        <v>3277.8993435448574</v>
      </c>
      <c r="AD49">
        <v>3277.8993435448579</v>
      </c>
      <c r="AF49">
        <v>0.4716253443526171</v>
      </c>
      <c r="AG49">
        <v>56.13873588369929</v>
      </c>
    </row>
    <row r="50" spans="1:35" x14ac:dyDescent="0.25">
      <c r="A50">
        <v>2024</v>
      </c>
      <c r="B50" t="s">
        <v>103</v>
      </c>
      <c r="C50" t="s">
        <v>35</v>
      </c>
      <c r="D50" t="s">
        <v>38</v>
      </c>
      <c r="E50">
        <v>2</v>
      </c>
      <c r="F50">
        <v>49</v>
      </c>
      <c r="G50" s="12">
        <v>45562</v>
      </c>
      <c r="H50">
        <v>270</v>
      </c>
      <c r="J50" t="s">
        <v>26</v>
      </c>
      <c r="K50">
        <v>37100</v>
      </c>
      <c r="L50">
        <v>10.3</v>
      </c>
      <c r="M50">
        <v>0</v>
      </c>
      <c r="N50">
        <v>69.89</v>
      </c>
      <c r="O50">
        <v>111.3</v>
      </c>
      <c r="P50">
        <v>69.099999999999994</v>
      </c>
      <c r="Q50">
        <v>182.70000000000002</v>
      </c>
      <c r="R50">
        <v>260.58999999999997</v>
      </c>
      <c r="S50">
        <v>910.5</v>
      </c>
      <c r="T50">
        <v>6028.3916849015313</v>
      </c>
      <c r="U50">
        <v>2</v>
      </c>
      <c r="V50">
        <v>0.91400000000000003</v>
      </c>
      <c r="W50">
        <v>1.8280000000000001</v>
      </c>
      <c r="X50">
        <v>324.2594096531713</v>
      </c>
      <c r="Y50">
        <v>0</v>
      </c>
      <c r="Z50" s="16">
        <v>2200.2417612291401</v>
      </c>
      <c r="AA50">
        <v>3503.8905140192201</v>
      </c>
      <c r="AB50">
        <v>2175.3713793237025</v>
      </c>
      <c r="AC50">
        <v>1209.6509179917737</v>
      </c>
      <c r="AD50">
        <v>1377.4617067833699</v>
      </c>
      <c r="AF50">
        <v>0.22849572137678203</v>
      </c>
      <c r="AG50">
        <v>23.591010840312887</v>
      </c>
      <c r="AH50">
        <v>67.817999999999998</v>
      </c>
      <c r="AI50">
        <v>11.8</v>
      </c>
    </row>
    <row r="51" spans="1:35" x14ac:dyDescent="0.25">
      <c r="A51">
        <v>2024</v>
      </c>
      <c r="B51" t="s">
        <v>103</v>
      </c>
      <c r="C51" t="s">
        <v>33</v>
      </c>
      <c r="D51" t="s">
        <v>38</v>
      </c>
      <c r="E51">
        <v>2</v>
      </c>
      <c r="F51">
        <v>50</v>
      </c>
      <c r="G51" s="12">
        <v>45579</v>
      </c>
      <c r="H51">
        <v>287</v>
      </c>
      <c r="J51" t="s">
        <v>26</v>
      </c>
      <c r="K51">
        <v>37100</v>
      </c>
      <c r="L51">
        <v>0</v>
      </c>
      <c r="M51">
        <v>0</v>
      </c>
      <c r="N51">
        <v>0</v>
      </c>
      <c r="O51">
        <v>0</v>
      </c>
      <c r="P51">
        <v>0</v>
      </c>
      <c r="Q51">
        <v>960.3</v>
      </c>
      <c r="R51">
        <v>0</v>
      </c>
      <c r="S51">
        <v>1963.5</v>
      </c>
      <c r="T51">
        <v>10741.24726477024</v>
      </c>
      <c r="U51">
        <v>2</v>
      </c>
      <c r="V51">
        <v>0.91400000000000003</v>
      </c>
      <c r="W51">
        <v>1.8280000000000001</v>
      </c>
      <c r="X51">
        <v>0</v>
      </c>
      <c r="Y51">
        <v>0</v>
      </c>
      <c r="Z51" s="16">
        <v>0</v>
      </c>
      <c r="AA51">
        <v>0</v>
      </c>
      <c r="AB51">
        <v>0</v>
      </c>
      <c r="AC51">
        <v>5253.2822757111589</v>
      </c>
      <c r="AD51">
        <v>5253.2822757111599</v>
      </c>
      <c r="AF51">
        <v>0.48907563025210088</v>
      </c>
      <c r="AG51">
        <v>89.970006790915264</v>
      </c>
    </row>
    <row r="52" spans="1:35" x14ac:dyDescent="0.25">
      <c r="A52">
        <v>2024</v>
      </c>
      <c r="B52" t="s">
        <v>103</v>
      </c>
      <c r="C52" t="s">
        <v>34</v>
      </c>
      <c r="D52" t="s">
        <v>38</v>
      </c>
      <c r="E52">
        <v>2</v>
      </c>
      <c r="F52">
        <v>51</v>
      </c>
      <c r="G52" s="12">
        <v>45566</v>
      </c>
      <c r="H52">
        <v>274</v>
      </c>
      <c r="J52" t="s">
        <v>26</v>
      </c>
      <c r="K52">
        <v>37100</v>
      </c>
      <c r="L52">
        <v>0</v>
      </c>
      <c r="M52">
        <v>3.6000000000000014</v>
      </c>
      <c r="N52">
        <v>64.89</v>
      </c>
      <c r="O52">
        <v>206.3</v>
      </c>
      <c r="P52">
        <v>127.89999999999999</v>
      </c>
      <c r="Q52">
        <v>456.5</v>
      </c>
      <c r="R52">
        <v>402.69</v>
      </c>
      <c r="S52">
        <v>943.5</v>
      </c>
      <c r="T52">
        <v>6664.6061269146612</v>
      </c>
      <c r="U52">
        <v>2</v>
      </c>
      <c r="V52">
        <v>0.91400000000000003</v>
      </c>
      <c r="W52">
        <v>1.8280000000000001</v>
      </c>
      <c r="X52">
        <v>0</v>
      </c>
      <c r="Y52">
        <v>87.31242787908144</v>
      </c>
      <c r="Z52" s="16">
        <v>1573.8065125204423</v>
      </c>
      <c r="AA52">
        <v>5003.4871865151372</v>
      </c>
      <c r="AB52">
        <v>3102.0165349262529</v>
      </c>
      <c r="AC52">
        <v>3224.5815547817097</v>
      </c>
      <c r="AD52">
        <v>3196.936542669584</v>
      </c>
      <c r="AF52">
        <v>0.47968874405929618</v>
      </c>
      <c r="AG52">
        <v>54.752131592846901</v>
      </c>
      <c r="AH52">
        <v>45.974000000000004</v>
      </c>
      <c r="AI52">
        <v>14.6</v>
      </c>
    </row>
    <row r="53" spans="1:35" x14ac:dyDescent="0.25">
      <c r="A53">
        <v>2024</v>
      </c>
      <c r="B53" t="s">
        <v>103</v>
      </c>
      <c r="C53" t="s">
        <v>27</v>
      </c>
      <c r="D53" t="s">
        <v>38</v>
      </c>
      <c r="E53">
        <v>2</v>
      </c>
      <c r="F53">
        <v>52</v>
      </c>
      <c r="G53" s="12">
        <v>45582</v>
      </c>
      <c r="H53">
        <v>290</v>
      </c>
      <c r="J53" t="s">
        <v>26</v>
      </c>
      <c r="K53">
        <v>37100</v>
      </c>
      <c r="L53">
        <v>0.30000000000000071</v>
      </c>
      <c r="M53">
        <v>0</v>
      </c>
      <c r="N53">
        <v>53.89</v>
      </c>
      <c r="O53">
        <v>132.30000000000001</v>
      </c>
      <c r="P53">
        <v>98</v>
      </c>
      <c r="Q53">
        <v>702.5</v>
      </c>
      <c r="R53">
        <v>284.49</v>
      </c>
      <c r="S53">
        <v>1474.5</v>
      </c>
      <c r="T53">
        <v>9086.3785557986866</v>
      </c>
      <c r="U53">
        <v>2</v>
      </c>
      <c r="V53">
        <v>0.91400000000000003</v>
      </c>
      <c r="W53">
        <v>1.8280000000000001</v>
      </c>
      <c r="X53">
        <v>14.616942285053423</v>
      </c>
      <c r="Y53">
        <v>0</v>
      </c>
      <c r="Z53" s="16">
        <v>2625.6900658050899</v>
      </c>
      <c r="AA53">
        <v>6446.0715477085441</v>
      </c>
      <c r="AB53">
        <v>4774.8678131174393</v>
      </c>
      <c r="AC53">
        <v>4329.0477690393882</v>
      </c>
      <c r="AD53">
        <v>4379.1028446389491</v>
      </c>
      <c r="AF53">
        <v>0.48194149272421866</v>
      </c>
      <c r="AG53">
        <v>74.99842802887396</v>
      </c>
      <c r="AH53">
        <v>95.504000000000005</v>
      </c>
      <c r="AI53">
        <v>17.600000000000001</v>
      </c>
    </row>
    <row r="54" spans="1:35" x14ac:dyDescent="0.25">
      <c r="A54">
        <v>2024</v>
      </c>
      <c r="B54" t="s">
        <v>103</v>
      </c>
      <c r="C54" t="s">
        <v>32</v>
      </c>
      <c r="D54" t="s">
        <v>38</v>
      </c>
      <c r="E54">
        <v>2</v>
      </c>
      <c r="F54">
        <v>53</v>
      </c>
      <c r="G54" s="12">
        <v>45582</v>
      </c>
      <c r="H54">
        <v>290</v>
      </c>
      <c r="J54" t="s">
        <v>26</v>
      </c>
      <c r="K54">
        <v>37100</v>
      </c>
      <c r="L54">
        <v>0</v>
      </c>
      <c r="M54">
        <v>0</v>
      </c>
      <c r="N54">
        <v>0</v>
      </c>
      <c r="O54">
        <v>0</v>
      </c>
      <c r="P54">
        <v>0</v>
      </c>
      <c r="Q54">
        <v>746.59999999999991</v>
      </c>
      <c r="R54">
        <v>0</v>
      </c>
      <c r="S54">
        <v>1677.5</v>
      </c>
      <c r="T54">
        <v>9176.6958424507648</v>
      </c>
      <c r="U54">
        <v>2</v>
      </c>
      <c r="V54">
        <v>0.91400000000000003</v>
      </c>
      <c r="W54">
        <v>1.8280000000000001</v>
      </c>
      <c r="X54">
        <v>0</v>
      </c>
      <c r="Y54">
        <v>0</v>
      </c>
      <c r="Z54" s="16">
        <v>0</v>
      </c>
      <c r="AA54">
        <v>0</v>
      </c>
      <c r="AB54">
        <v>0</v>
      </c>
      <c r="AC54">
        <v>4084.2450765864323</v>
      </c>
      <c r="AD54">
        <v>4084.2450765864328</v>
      </c>
      <c r="AF54">
        <v>0.44506706408345753</v>
      </c>
      <c r="AG54">
        <v>69.948565104756142</v>
      </c>
    </row>
    <row r="55" spans="1:35" x14ac:dyDescent="0.25">
      <c r="A55">
        <v>2024</v>
      </c>
      <c r="B55" t="s">
        <v>103</v>
      </c>
      <c r="C55" t="s">
        <v>29</v>
      </c>
      <c r="D55" t="s">
        <v>38</v>
      </c>
      <c r="E55">
        <v>2</v>
      </c>
      <c r="F55">
        <v>54</v>
      </c>
      <c r="G55" s="12">
        <v>45582</v>
      </c>
      <c r="H55">
        <v>290</v>
      </c>
      <c r="J55" t="s">
        <v>26</v>
      </c>
      <c r="K55">
        <v>37100</v>
      </c>
      <c r="L55">
        <v>0</v>
      </c>
      <c r="M55">
        <v>0</v>
      </c>
      <c r="N55">
        <v>69.89</v>
      </c>
      <c r="O55">
        <v>141.30000000000001</v>
      </c>
      <c r="P55">
        <v>106.3</v>
      </c>
      <c r="Q55">
        <v>730.9</v>
      </c>
      <c r="R55">
        <v>317.49</v>
      </c>
      <c r="S55">
        <v>1614.5</v>
      </c>
      <c r="T55">
        <v>9987.3632385120363</v>
      </c>
      <c r="U55">
        <v>2</v>
      </c>
      <c r="V55">
        <v>0.91400000000000003</v>
      </c>
      <c r="W55">
        <v>1.8280000000000001</v>
      </c>
      <c r="X55">
        <v>0</v>
      </c>
      <c r="Y55">
        <v>0</v>
      </c>
      <c r="Z55" s="16">
        <v>3305.1603614735836</v>
      </c>
      <c r="AA55">
        <v>6682.2028770384532</v>
      </c>
      <c r="AB55">
        <v>5027.0216973049364</v>
      </c>
      <c r="AC55">
        <v>4521.3773868246808</v>
      </c>
      <c r="AD55">
        <v>4579.8687089715531</v>
      </c>
      <c r="AF55">
        <v>0.45856635025661519</v>
      </c>
      <c r="AG55">
        <v>78.43683191227143</v>
      </c>
      <c r="AH55">
        <v>96.774000000000001</v>
      </c>
      <c r="AI55">
        <v>19</v>
      </c>
    </row>
    <row r="56" spans="1:35" x14ac:dyDescent="0.25">
      <c r="A56">
        <v>2024</v>
      </c>
      <c r="B56" t="s">
        <v>103</v>
      </c>
      <c r="C56" t="s">
        <v>30</v>
      </c>
      <c r="D56" t="s">
        <v>38</v>
      </c>
      <c r="E56">
        <v>2</v>
      </c>
      <c r="F56">
        <v>55</v>
      </c>
      <c r="G56" s="12">
        <v>45579</v>
      </c>
      <c r="H56">
        <v>287</v>
      </c>
      <c r="J56" t="s">
        <v>26</v>
      </c>
      <c r="K56">
        <v>37100</v>
      </c>
      <c r="L56">
        <v>2.3000000000000007</v>
      </c>
      <c r="M56">
        <v>0</v>
      </c>
      <c r="N56">
        <v>55.89</v>
      </c>
      <c r="O56">
        <v>115.3</v>
      </c>
      <c r="P56">
        <v>86</v>
      </c>
      <c r="Q56">
        <v>500.50000000000006</v>
      </c>
      <c r="R56">
        <v>259.49</v>
      </c>
      <c r="S56">
        <v>1083.5</v>
      </c>
      <c r="T56">
        <v>6876.3129102844623</v>
      </c>
      <c r="U56">
        <v>2</v>
      </c>
      <c r="V56">
        <v>0.91400000000000003</v>
      </c>
      <c r="W56">
        <v>1.8280000000000001</v>
      </c>
      <c r="X56">
        <v>91.160987340217133</v>
      </c>
      <c r="Y56">
        <v>0</v>
      </c>
      <c r="Z56" s="16">
        <v>2215.2119923672753</v>
      </c>
      <c r="AA56">
        <v>4569.9399305769693</v>
      </c>
      <c r="AB56">
        <v>3408.6282222863779</v>
      </c>
      <c r="AC56">
        <v>3176.3678925679505</v>
      </c>
      <c r="AD56">
        <v>3208.4245076586431</v>
      </c>
      <c r="AF56">
        <v>0.46659082411156816</v>
      </c>
      <c r="AG56">
        <v>54.948879498981356</v>
      </c>
      <c r="AH56">
        <v>90.931999999999988</v>
      </c>
      <c r="AI56">
        <v>18.600000000000001</v>
      </c>
    </row>
    <row r="57" spans="1:35" x14ac:dyDescent="0.25">
      <c r="A57">
        <v>2024</v>
      </c>
      <c r="B57" t="s">
        <v>103</v>
      </c>
      <c r="C57" t="s">
        <v>36</v>
      </c>
      <c r="D57" t="s">
        <v>38</v>
      </c>
      <c r="E57">
        <v>2</v>
      </c>
      <c r="F57">
        <v>56</v>
      </c>
      <c r="G57" s="12">
        <v>45562</v>
      </c>
      <c r="H57">
        <v>270</v>
      </c>
      <c r="J57" t="s">
        <v>26</v>
      </c>
      <c r="K57">
        <v>37100</v>
      </c>
      <c r="L57">
        <v>0</v>
      </c>
      <c r="M57">
        <v>0</v>
      </c>
      <c r="N57">
        <v>46.89</v>
      </c>
      <c r="O57">
        <v>137.30000000000001</v>
      </c>
      <c r="P57">
        <v>89.399999999999991</v>
      </c>
      <c r="Q57">
        <v>476.3</v>
      </c>
      <c r="R57">
        <v>273.58999999999997</v>
      </c>
      <c r="S57">
        <v>983.5</v>
      </c>
      <c r="T57">
        <v>6387.8008752735232</v>
      </c>
      <c r="U57">
        <v>2</v>
      </c>
      <c r="V57">
        <v>0.91400000000000003</v>
      </c>
      <c r="W57">
        <v>1.8280000000000001</v>
      </c>
      <c r="X57">
        <v>0</v>
      </c>
      <c r="Y57">
        <v>0</v>
      </c>
      <c r="Z57" s="16">
        <v>1626.1685381485174</v>
      </c>
      <c r="AA57">
        <v>4761.6323371250046</v>
      </c>
      <c r="AB57">
        <v>3100.4364962780437</v>
      </c>
      <c r="AC57">
        <v>3093.5531844359725</v>
      </c>
      <c r="AD57">
        <v>3094.6389496717725</v>
      </c>
      <c r="AF57">
        <v>0.48446077297912971</v>
      </c>
      <c r="AG57">
        <v>53.000138333459091</v>
      </c>
      <c r="AH57">
        <v>51.815999999999995</v>
      </c>
      <c r="AI57">
        <v>14.6</v>
      </c>
    </row>
    <row r="58" spans="1:35" x14ac:dyDescent="0.25">
      <c r="A58">
        <v>2024</v>
      </c>
      <c r="B58" t="s">
        <v>103</v>
      </c>
      <c r="C58" t="s">
        <v>24</v>
      </c>
      <c r="D58" t="s">
        <v>38</v>
      </c>
      <c r="E58">
        <v>2</v>
      </c>
      <c r="F58">
        <v>57</v>
      </c>
      <c r="G58" s="12">
        <v>45579</v>
      </c>
      <c r="H58">
        <v>287</v>
      </c>
      <c r="J58" t="s">
        <v>26</v>
      </c>
      <c r="K58">
        <v>37100</v>
      </c>
      <c r="L58">
        <v>0</v>
      </c>
      <c r="M58">
        <v>0</v>
      </c>
      <c r="N58">
        <v>26.89</v>
      </c>
      <c r="O58">
        <v>91.3</v>
      </c>
      <c r="P58">
        <v>36.099999999999994</v>
      </c>
      <c r="Q58">
        <v>778.09999999999991</v>
      </c>
      <c r="R58">
        <v>154.29</v>
      </c>
      <c r="S58">
        <v>1529.5</v>
      </c>
      <c r="T58">
        <v>9013.6214442013134</v>
      </c>
      <c r="U58">
        <v>2</v>
      </c>
      <c r="V58">
        <v>0.91400000000000003</v>
      </c>
      <c r="W58">
        <v>1.8280000000000001</v>
      </c>
      <c r="X58">
        <v>0</v>
      </c>
      <c r="Y58">
        <v>0</v>
      </c>
      <c r="Z58" s="16">
        <v>2050.734246844685</v>
      </c>
      <c r="AA58">
        <v>6962.8871973566283</v>
      </c>
      <c r="AB58">
        <v>2753.1240725583157</v>
      </c>
      <c r="AC58">
        <v>4585.4846980928669</v>
      </c>
      <c r="AD58">
        <v>4454.0481400437629</v>
      </c>
      <c r="AF58">
        <v>0.49414635034502841</v>
      </c>
      <c r="AG58">
        <v>76.281973892703533</v>
      </c>
      <c r="AH58">
        <v>77.977999999999994</v>
      </c>
      <c r="AI58">
        <v>17</v>
      </c>
    </row>
    <row r="59" spans="1:35" x14ac:dyDescent="0.25">
      <c r="A59">
        <v>2024</v>
      </c>
      <c r="B59" t="s">
        <v>103</v>
      </c>
      <c r="C59" t="s">
        <v>37</v>
      </c>
      <c r="D59" t="s">
        <v>38</v>
      </c>
      <c r="E59">
        <v>2</v>
      </c>
      <c r="F59">
        <v>58</v>
      </c>
      <c r="G59" s="12">
        <v>45562</v>
      </c>
      <c r="H59">
        <v>270</v>
      </c>
      <c r="J59" t="s">
        <v>26</v>
      </c>
      <c r="K59">
        <v>37100</v>
      </c>
      <c r="L59">
        <v>0</v>
      </c>
      <c r="M59">
        <v>0</v>
      </c>
      <c r="N59">
        <v>0</v>
      </c>
      <c r="O59">
        <v>0</v>
      </c>
      <c r="P59">
        <v>0</v>
      </c>
      <c r="Q59">
        <v>470.3</v>
      </c>
      <c r="R59">
        <v>0</v>
      </c>
      <c r="S59">
        <v>1068.5</v>
      </c>
      <c r="T59">
        <v>5845.1859956236322</v>
      </c>
      <c r="U59">
        <v>2</v>
      </c>
      <c r="V59">
        <v>0.91400000000000003</v>
      </c>
      <c r="W59">
        <v>1.8280000000000001</v>
      </c>
      <c r="X59">
        <v>0</v>
      </c>
      <c r="Y59">
        <v>0</v>
      </c>
      <c r="Z59" s="16">
        <v>0</v>
      </c>
      <c r="AA59">
        <v>0</v>
      </c>
      <c r="AB59">
        <v>0</v>
      </c>
      <c r="AC59">
        <v>2572.7571115973742</v>
      </c>
      <c r="AD59">
        <v>2572.7571115973742</v>
      </c>
      <c r="AF59">
        <v>0.44014974262985496</v>
      </c>
      <c r="AG59">
        <v>44.062162026207901</v>
      </c>
    </row>
    <row r="60" spans="1:35" x14ac:dyDescent="0.25">
      <c r="A60">
        <v>2024</v>
      </c>
      <c r="B60" t="s">
        <v>103</v>
      </c>
      <c r="C60" t="s">
        <v>31</v>
      </c>
      <c r="D60" t="s">
        <v>38</v>
      </c>
      <c r="E60">
        <v>2</v>
      </c>
      <c r="F60">
        <v>59</v>
      </c>
      <c r="G60" s="12">
        <v>45582</v>
      </c>
      <c r="H60">
        <v>290</v>
      </c>
      <c r="J60" t="s">
        <v>26</v>
      </c>
      <c r="K60">
        <v>37100</v>
      </c>
      <c r="L60">
        <v>0</v>
      </c>
      <c r="M60">
        <v>0</v>
      </c>
      <c r="N60">
        <v>0</v>
      </c>
      <c r="O60">
        <v>0</v>
      </c>
      <c r="P60">
        <v>0</v>
      </c>
      <c r="Q60">
        <v>674.4</v>
      </c>
      <c r="R60">
        <v>0</v>
      </c>
      <c r="S60">
        <v>1478.5</v>
      </c>
      <c r="T60">
        <v>8088.0743982494523</v>
      </c>
      <c r="U60">
        <v>2</v>
      </c>
      <c r="V60">
        <v>0.91400000000000003</v>
      </c>
      <c r="W60">
        <v>1.8280000000000001</v>
      </c>
      <c r="X60">
        <v>0</v>
      </c>
      <c r="Y60">
        <v>0</v>
      </c>
      <c r="Z60" s="16">
        <v>0</v>
      </c>
      <c r="AA60">
        <v>0</v>
      </c>
      <c r="AB60">
        <v>0</v>
      </c>
      <c r="AC60">
        <v>3689.277899343545</v>
      </c>
      <c r="AD60">
        <v>3689.2778993435445</v>
      </c>
      <c r="AF60">
        <v>0.45613797768008113</v>
      </c>
      <c r="AG60">
        <v>63.184184712895195</v>
      </c>
    </row>
    <row r="61" spans="1:35" x14ac:dyDescent="0.25">
      <c r="A61">
        <v>2024</v>
      </c>
      <c r="B61" t="s">
        <v>103</v>
      </c>
      <c r="C61" t="s">
        <v>28</v>
      </c>
      <c r="D61" t="s">
        <v>38</v>
      </c>
      <c r="E61">
        <v>2</v>
      </c>
      <c r="F61">
        <v>60</v>
      </c>
      <c r="G61" s="12">
        <v>45582</v>
      </c>
      <c r="H61">
        <v>290</v>
      </c>
      <c r="J61" t="s">
        <v>26</v>
      </c>
      <c r="K61">
        <v>37100</v>
      </c>
      <c r="L61">
        <v>0.30000000000000071</v>
      </c>
      <c r="M61">
        <v>0.60000000000000142</v>
      </c>
      <c r="N61">
        <v>52.89</v>
      </c>
      <c r="O61">
        <v>97.3</v>
      </c>
      <c r="P61">
        <v>71.599999999999994</v>
      </c>
      <c r="Q61">
        <v>521.09999999999991</v>
      </c>
      <c r="R61">
        <v>222.69</v>
      </c>
      <c r="S61">
        <v>1135.5</v>
      </c>
      <c r="T61">
        <v>7038.2385120350109</v>
      </c>
      <c r="U61">
        <v>2</v>
      </c>
      <c r="V61">
        <v>0.91400000000000003</v>
      </c>
      <c r="W61">
        <v>1.8280000000000001</v>
      </c>
      <c r="X61">
        <v>13.974925895893232</v>
      </c>
      <c r="Y61">
        <v>27.949851791786465</v>
      </c>
      <c r="Z61" s="16">
        <v>2463.7794354459706</v>
      </c>
      <c r="AA61">
        <v>4532.5342989013607</v>
      </c>
      <c r="AB61">
        <v>3335.3489804865098</v>
      </c>
      <c r="AC61">
        <v>3229.9657319431471</v>
      </c>
      <c r="AD61">
        <v>3242.34135667396</v>
      </c>
      <c r="AF61">
        <v>0.46067511794744237</v>
      </c>
      <c r="AG61">
        <v>55.529754269473571</v>
      </c>
      <c r="AH61">
        <v>66.294000000000011</v>
      </c>
      <c r="AI61">
        <v>13.8</v>
      </c>
    </row>
    <row r="62" spans="1:35" x14ac:dyDescent="0.25">
      <c r="A62">
        <v>2024</v>
      </c>
      <c r="B62" t="s">
        <v>103</v>
      </c>
      <c r="C62" t="s">
        <v>27</v>
      </c>
      <c r="D62" t="s">
        <v>38</v>
      </c>
      <c r="E62">
        <v>3</v>
      </c>
      <c r="F62">
        <v>61</v>
      </c>
      <c r="G62" s="12">
        <v>45582</v>
      </c>
      <c r="H62">
        <v>290</v>
      </c>
      <c r="J62" t="s">
        <v>26</v>
      </c>
      <c r="K62">
        <v>37100</v>
      </c>
      <c r="L62">
        <v>0</v>
      </c>
      <c r="M62">
        <v>0</v>
      </c>
      <c r="N62">
        <v>58.89</v>
      </c>
      <c r="O62">
        <v>196.3</v>
      </c>
      <c r="P62">
        <v>146.60000000000002</v>
      </c>
      <c r="Q62">
        <v>703.9</v>
      </c>
      <c r="R62">
        <v>401.79000000000008</v>
      </c>
      <c r="S62">
        <v>1481.5</v>
      </c>
      <c r="T62">
        <v>9500.4923413566739</v>
      </c>
      <c r="U62">
        <v>2</v>
      </c>
      <c r="V62">
        <v>0.91400000000000003</v>
      </c>
      <c r="W62">
        <v>1.8280000000000001</v>
      </c>
      <c r="X62">
        <v>0</v>
      </c>
      <c r="Y62">
        <v>0</v>
      </c>
      <c r="Z62" s="16">
        <v>2192.4213095438472</v>
      </c>
      <c r="AA62">
        <v>7308.0710318128258</v>
      </c>
      <c r="AB62">
        <v>5457.785090492921</v>
      </c>
      <c r="AC62">
        <v>4513.9362531764846</v>
      </c>
      <c r="AD62">
        <v>4652.6258205689273</v>
      </c>
      <c r="AF62">
        <v>0.48972470619396663</v>
      </c>
      <c r="AG62">
        <v>79.68290198445635</v>
      </c>
      <c r="AH62">
        <v>92.456000000000003</v>
      </c>
      <c r="AI62">
        <v>20.2</v>
      </c>
    </row>
    <row r="63" spans="1:35" x14ac:dyDescent="0.25">
      <c r="A63">
        <v>2024</v>
      </c>
      <c r="B63" t="s">
        <v>103</v>
      </c>
      <c r="C63" t="s">
        <v>24</v>
      </c>
      <c r="D63" t="s">
        <v>38</v>
      </c>
      <c r="E63">
        <v>3</v>
      </c>
      <c r="F63">
        <v>62</v>
      </c>
      <c r="G63" s="12">
        <v>45579</v>
      </c>
      <c r="H63">
        <v>287</v>
      </c>
      <c r="J63" t="s">
        <v>26</v>
      </c>
      <c r="K63">
        <v>37100</v>
      </c>
      <c r="L63">
        <v>0</v>
      </c>
      <c r="M63">
        <v>0</v>
      </c>
      <c r="N63">
        <v>35.89</v>
      </c>
      <c r="O63">
        <v>141.30000000000001</v>
      </c>
      <c r="P63">
        <v>99.3</v>
      </c>
      <c r="Q63">
        <v>665.69999999999993</v>
      </c>
      <c r="R63">
        <v>276.49</v>
      </c>
      <c r="S63">
        <v>1288.5</v>
      </c>
      <c r="T63">
        <v>8017.9978118161916</v>
      </c>
      <c r="U63">
        <v>2</v>
      </c>
      <c r="V63">
        <v>0.91400000000000003</v>
      </c>
      <c r="W63">
        <v>1.8280000000000001</v>
      </c>
      <c r="X63">
        <v>0</v>
      </c>
      <c r="Y63">
        <v>0</v>
      </c>
      <c r="Z63" s="16">
        <v>1624.0529457987645</v>
      </c>
      <c r="AA63">
        <v>6393.9448660174276</v>
      </c>
      <c r="AB63">
        <v>4493.4092370525868</v>
      </c>
      <c r="AC63">
        <v>4142.4766343236624</v>
      </c>
      <c r="AD63">
        <v>4184.9015317286648</v>
      </c>
      <c r="AF63">
        <v>0.5219384726647518</v>
      </c>
      <c r="AG63">
        <v>71.672451520410476</v>
      </c>
      <c r="AH63">
        <v>77.724000000000004</v>
      </c>
      <c r="AI63">
        <v>17</v>
      </c>
    </row>
    <row r="64" spans="1:35" x14ac:dyDescent="0.25">
      <c r="A64">
        <v>2024</v>
      </c>
      <c r="B64" t="s">
        <v>103</v>
      </c>
      <c r="C64" t="s">
        <v>33</v>
      </c>
      <c r="D64" t="s">
        <v>38</v>
      </c>
      <c r="E64">
        <v>3</v>
      </c>
      <c r="F64">
        <v>63</v>
      </c>
      <c r="G64" s="12">
        <v>45579</v>
      </c>
      <c r="H64">
        <v>287</v>
      </c>
      <c r="J64" t="s">
        <v>26</v>
      </c>
      <c r="K64">
        <v>37100</v>
      </c>
      <c r="L64">
        <v>0</v>
      </c>
      <c r="M64">
        <v>0</v>
      </c>
      <c r="N64">
        <v>0</v>
      </c>
      <c r="O64">
        <v>0</v>
      </c>
      <c r="P64">
        <v>0</v>
      </c>
      <c r="Q64">
        <v>813.5</v>
      </c>
      <c r="R64">
        <v>0</v>
      </c>
      <c r="S64">
        <v>1763.5</v>
      </c>
      <c r="T64">
        <v>9647.155361050327</v>
      </c>
      <c r="U64">
        <v>2</v>
      </c>
      <c r="V64">
        <v>0.91400000000000003</v>
      </c>
      <c r="W64">
        <v>1.8280000000000001</v>
      </c>
      <c r="X64">
        <v>0</v>
      </c>
      <c r="Y64">
        <v>0</v>
      </c>
      <c r="Z64" s="16">
        <v>0</v>
      </c>
      <c r="AA64">
        <v>0</v>
      </c>
      <c r="AB64">
        <v>0</v>
      </c>
      <c r="AC64">
        <v>4450.218818380743</v>
      </c>
      <c r="AD64">
        <v>4450.2188183807439</v>
      </c>
      <c r="AF64">
        <v>0.46129855401190817</v>
      </c>
      <c r="AG64">
        <v>76.216391257325384</v>
      </c>
    </row>
    <row r="65" spans="1:35" x14ac:dyDescent="0.25">
      <c r="A65">
        <v>2024</v>
      </c>
      <c r="B65" t="s">
        <v>103</v>
      </c>
      <c r="C65" t="s">
        <v>34</v>
      </c>
      <c r="D65" t="s">
        <v>38</v>
      </c>
      <c r="E65">
        <v>3</v>
      </c>
      <c r="F65">
        <v>64</v>
      </c>
      <c r="G65" s="12">
        <v>45566</v>
      </c>
      <c r="H65">
        <v>274</v>
      </c>
      <c r="J65" t="s">
        <v>26</v>
      </c>
      <c r="K65">
        <v>37100</v>
      </c>
      <c r="L65">
        <v>0</v>
      </c>
      <c r="M65">
        <v>4.6000000000000014</v>
      </c>
      <c r="N65">
        <v>67.89</v>
      </c>
      <c r="O65">
        <v>191.3</v>
      </c>
      <c r="P65">
        <v>117.7</v>
      </c>
      <c r="Q65">
        <v>423.1</v>
      </c>
      <c r="R65">
        <v>381.49</v>
      </c>
      <c r="S65">
        <v>867.5</v>
      </c>
      <c r="T65">
        <v>6188.6761487964995</v>
      </c>
      <c r="U65">
        <v>2</v>
      </c>
      <c r="V65">
        <v>0.91400000000000003</v>
      </c>
      <c r="W65">
        <v>1.8280000000000001</v>
      </c>
      <c r="X65">
        <v>0</v>
      </c>
      <c r="Y65">
        <v>107.91883803200996</v>
      </c>
      <c r="Z65" s="16">
        <v>1592.7412856506855</v>
      </c>
      <c r="AA65">
        <v>4488.0160251138041</v>
      </c>
      <c r="AB65">
        <v>2761.314616601645</v>
      </c>
      <c r="AC65">
        <v>3018.3618196608636</v>
      </c>
      <c r="AD65">
        <v>2958.4245076586435</v>
      </c>
      <c r="AF65">
        <v>0.47803834560545921</v>
      </c>
      <c r="AG65">
        <v>50.667270303579066</v>
      </c>
      <c r="AH65">
        <v>52.324000000000005</v>
      </c>
      <c r="AI65">
        <v>14.2</v>
      </c>
    </row>
    <row r="66" spans="1:35" x14ac:dyDescent="0.25">
      <c r="A66">
        <v>2024</v>
      </c>
      <c r="B66" t="s">
        <v>103</v>
      </c>
      <c r="C66" t="s">
        <v>37</v>
      </c>
      <c r="D66" t="s">
        <v>38</v>
      </c>
      <c r="E66">
        <v>3</v>
      </c>
      <c r="F66">
        <v>65</v>
      </c>
      <c r="G66" s="12">
        <v>45562</v>
      </c>
      <c r="H66">
        <v>270</v>
      </c>
      <c r="J66" t="s">
        <v>26</v>
      </c>
      <c r="K66">
        <v>37100</v>
      </c>
      <c r="L66">
        <v>0</v>
      </c>
      <c r="M66">
        <v>0</v>
      </c>
      <c r="N66">
        <v>0</v>
      </c>
      <c r="O66">
        <v>0</v>
      </c>
      <c r="P66">
        <v>0</v>
      </c>
      <c r="Q66">
        <v>738.8</v>
      </c>
      <c r="R66">
        <v>0</v>
      </c>
      <c r="S66">
        <v>1518.5</v>
      </c>
      <c r="T66">
        <v>8306.8927789934351</v>
      </c>
      <c r="U66">
        <v>2</v>
      </c>
      <c r="V66">
        <v>0.91400000000000003</v>
      </c>
      <c r="W66">
        <v>1.8280000000000001</v>
      </c>
      <c r="X66">
        <v>0</v>
      </c>
      <c r="Y66">
        <v>0</v>
      </c>
      <c r="Z66" s="16">
        <v>0</v>
      </c>
      <c r="AA66">
        <v>0</v>
      </c>
      <c r="AB66">
        <v>0</v>
      </c>
      <c r="AC66">
        <v>4041.575492341356</v>
      </c>
      <c r="AD66">
        <v>4041.575492341356</v>
      </c>
      <c r="AF66">
        <v>0.48653276259466571</v>
      </c>
      <c r="AG66">
        <v>69.217787167685287</v>
      </c>
    </row>
    <row r="67" spans="1:35" x14ac:dyDescent="0.25">
      <c r="A67">
        <v>2024</v>
      </c>
      <c r="B67" t="s">
        <v>103</v>
      </c>
      <c r="C67" t="s">
        <v>36</v>
      </c>
      <c r="D67" t="s">
        <v>38</v>
      </c>
      <c r="E67">
        <v>3</v>
      </c>
      <c r="F67">
        <v>66</v>
      </c>
      <c r="G67" s="12">
        <v>45562</v>
      </c>
      <c r="H67">
        <v>270</v>
      </c>
      <c r="J67" t="s">
        <v>26</v>
      </c>
      <c r="K67">
        <v>37100</v>
      </c>
      <c r="L67">
        <v>0</v>
      </c>
      <c r="M67">
        <v>0.60000000000000142</v>
      </c>
      <c r="N67">
        <v>55.89</v>
      </c>
      <c r="O67">
        <v>135.30000000000001</v>
      </c>
      <c r="P67">
        <v>83</v>
      </c>
      <c r="Q67">
        <v>405.2</v>
      </c>
      <c r="R67">
        <v>274.79000000000002</v>
      </c>
      <c r="S67">
        <v>941.5</v>
      </c>
      <c r="T67">
        <v>6199.6170678336985</v>
      </c>
      <c r="U67">
        <v>2</v>
      </c>
      <c r="V67">
        <v>0.91400000000000003</v>
      </c>
      <c r="W67">
        <v>1.8280000000000001</v>
      </c>
      <c r="X67">
        <v>0</v>
      </c>
      <c r="Y67">
        <v>19.395016636426444</v>
      </c>
      <c r="Z67" s="16">
        <v>1806.6457996831189</v>
      </c>
      <c r="AA67">
        <v>4373.5762515141532</v>
      </c>
      <c r="AB67">
        <v>2682.9773013723184</v>
      </c>
      <c r="AC67">
        <v>2668.1729536762768</v>
      </c>
      <c r="AD67">
        <v>2670.6783369803061</v>
      </c>
      <c r="AF67">
        <v>0.43078117692735302</v>
      </c>
      <c r="AG67">
        <v>45.739203702306391</v>
      </c>
      <c r="AH67">
        <v>60.452000000000005</v>
      </c>
      <c r="AI67">
        <v>17</v>
      </c>
    </row>
    <row r="68" spans="1:35" x14ac:dyDescent="0.25">
      <c r="A68">
        <v>2024</v>
      </c>
      <c r="B68" t="s">
        <v>103</v>
      </c>
      <c r="C68" t="s">
        <v>35</v>
      </c>
      <c r="D68" t="s">
        <v>38</v>
      </c>
      <c r="E68">
        <v>3</v>
      </c>
      <c r="F68">
        <v>67</v>
      </c>
      <c r="G68" s="12">
        <v>45562</v>
      </c>
      <c r="H68">
        <v>270</v>
      </c>
      <c r="J68" t="s">
        <v>26</v>
      </c>
      <c r="K68">
        <v>37100</v>
      </c>
      <c r="L68">
        <v>0</v>
      </c>
      <c r="M68">
        <v>0</v>
      </c>
      <c r="N68">
        <v>54.89</v>
      </c>
      <c r="O68">
        <v>108.3</v>
      </c>
      <c r="P68">
        <v>63.5</v>
      </c>
      <c r="Q68">
        <v>383</v>
      </c>
      <c r="R68">
        <v>226.69</v>
      </c>
      <c r="S68">
        <v>975.5</v>
      </c>
      <c r="T68">
        <v>6229.1575492341353</v>
      </c>
      <c r="U68">
        <v>2</v>
      </c>
      <c r="V68">
        <v>0.91400000000000003</v>
      </c>
      <c r="W68">
        <v>1.8280000000000001</v>
      </c>
      <c r="X68">
        <v>0</v>
      </c>
      <c r="Y68">
        <v>0</v>
      </c>
      <c r="Z68" s="16">
        <v>2095.2169733284004</v>
      </c>
      <c r="AA68">
        <v>4133.9405759057345</v>
      </c>
      <c r="AB68">
        <v>2423.8709747923745</v>
      </c>
      <c r="AC68">
        <v>2445.6866646403628</v>
      </c>
      <c r="AD68">
        <v>2442.5601750547044</v>
      </c>
      <c r="AF68">
        <v>0.39211725755034293</v>
      </c>
      <c r="AG68">
        <v>41.832352423350684</v>
      </c>
      <c r="AH68">
        <v>77.215999999999994</v>
      </c>
      <c r="AI68">
        <v>15.6</v>
      </c>
    </row>
    <row r="69" spans="1:35" x14ac:dyDescent="0.25">
      <c r="A69">
        <v>2024</v>
      </c>
      <c r="B69" t="s">
        <v>103</v>
      </c>
      <c r="C69" t="s">
        <v>28</v>
      </c>
      <c r="D69" t="s">
        <v>38</v>
      </c>
      <c r="E69">
        <v>3</v>
      </c>
      <c r="F69">
        <v>68</v>
      </c>
      <c r="G69" s="12">
        <v>45582</v>
      </c>
      <c r="H69">
        <v>290</v>
      </c>
      <c r="J69" t="s">
        <v>26</v>
      </c>
      <c r="K69">
        <v>37100</v>
      </c>
      <c r="L69">
        <v>0</v>
      </c>
      <c r="M69">
        <v>1.6000000000000014</v>
      </c>
      <c r="N69">
        <v>59.89</v>
      </c>
      <c r="O69">
        <v>134.30000000000001</v>
      </c>
      <c r="P69">
        <v>94.6</v>
      </c>
      <c r="Q69">
        <v>703</v>
      </c>
      <c r="R69">
        <v>290.39000000000004</v>
      </c>
      <c r="S69">
        <v>1377.5</v>
      </c>
      <c r="T69">
        <v>8606.6192560175059</v>
      </c>
      <c r="U69">
        <v>2</v>
      </c>
      <c r="V69">
        <v>0.91400000000000003</v>
      </c>
      <c r="W69">
        <v>1.8280000000000001</v>
      </c>
      <c r="X69">
        <v>0</v>
      </c>
      <c r="Y69">
        <v>70.333473668869814</v>
      </c>
      <c r="Z69" s="16">
        <v>2632.6698362678808</v>
      </c>
      <c r="AA69">
        <v>5903.6159460807548</v>
      </c>
      <c r="AB69">
        <v>4158.4666306719237</v>
      </c>
      <c r="AC69">
        <v>4392.3436203123829</v>
      </c>
      <c r="AD69">
        <v>4363.2385120350109</v>
      </c>
      <c r="AF69">
        <v>0.50696311550953732</v>
      </c>
      <c r="AG69">
        <v>74.726728539450193</v>
      </c>
      <c r="AH69">
        <v>72.39</v>
      </c>
      <c r="AI69">
        <v>14.4</v>
      </c>
    </row>
    <row r="70" spans="1:35" x14ac:dyDescent="0.25">
      <c r="A70">
        <v>2024</v>
      </c>
      <c r="B70" t="s">
        <v>103</v>
      </c>
      <c r="C70" t="s">
        <v>29</v>
      </c>
      <c r="D70" t="s">
        <v>38</v>
      </c>
      <c r="E70">
        <v>3</v>
      </c>
      <c r="F70">
        <v>69</v>
      </c>
      <c r="G70" s="12">
        <v>45582</v>
      </c>
      <c r="H70">
        <v>290</v>
      </c>
      <c r="J70" t="s">
        <v>26</v>
      </c>
      <c r="K70">
        <v>37100</v>
      </c>
      <c r="L70">
        <v>0</v>
      </c>
      <c r="M70">
        <v>0</v>
      </c>
      <c r="N70">
        <v>81.89</v>
      </c>
      <c r="O70">
        <v>124.3</v>
      </c>
      <c r="P70">
        <v>82.399999999999991</v>
      </c>
      <c r="Q70">
        <v>483.8</v>
      </c>
      <c r="R70">
        <v>288.58999999999997</v>
      </c>
      <c r="S70">
        <v>1080.5</v>
      </c>
      <c r="T70">
        <v>7038.785557986871</v>
      </c>
      <c r="U70">
        <v>2</v>
      </c>
      <c r="V70">
        <v>0.91400000000000003</v>
      </c>
      <c r="W70">
        <v>1.8280000000000001</v>
      </c>
      <c r="X70">
        <v>0</v>
      </c>
      <c r="Y70">
        <v>0</v>
      </c>
      <c r="Z70" s="16">
        <v>2795.5097208571947</v>
      </c>
      <c r="AA70">
        <v>4243.2758371296768</v>
      </c>
      <c r="AB70">
        <v>2812.9197826185464</v>
      </c>
      <c r="AC70">
        <v>3151.6561341546026</v>
      </c>
      <c r="AD70">
        <v>3097.3741794310722</v>
      </c>
      <c r="AF70">
        <v>0.44004383340198494</v>
      </c>
      <c r="AG70">
        <v>53.046983073014914</v>
      </c>
      <c r="AH70">
        <v>96.012</v>
      </c>
      <c r="AI70">
        <v>26.8</v>
      </c>
    </row>
    <row r="71" spans="1:35" x14ac:dyDescent="0.25">
      <c r="A71">
        <v>2024</v>
      </c>
      <c r="B71" t="s">
        <v>103</v>
      </c>
      <c r="C71" t="s">
        <v>31</v>
      </c>
      <c r="D71" t="s">
        <v>38</v>
      </c>
      <c r="E71">
        <v>3</v>
      </c>
      <c r="F71">
        <v>70</v>
      </c>
      <c r="G71" s="12">
        <v>45582</v>
      </c>
      <c r="H71">
        <v>290</v>
      </c>
      <c r="J71" t="s">
        <v>26</v>
      </c>
      <c r="K71">
        <v>37100</v>
      </c>
      <c r="L71">
        <v>0</v>
      </c>
      <c r="M71">
        <v>0</v>
      </c>
      <c r="N71">
        <v>0</v>
      </c>
      <c r="O71">
        <v>0</v>
      </c>
      <c r="P71">
        <v>0</v>
      </c>
      <c r="Q71">
        <v>658.5</v>
      </c>
      <c r="R71">
        <v>0</v>
      </c>
      <c r="S71">
        <v>1316.5</v>
      </c>
      <c r="T71">
        <v>7201.8599562363233</v>
      </c>
      <c r="U71">
        <v>2</v>
      </c>
      <c r="V71">
        <v>0.91400000000000003</v>
      </c>
      <c r="W71">
        <v>1.8280000000000001</v>
      </c>
      <c r="X71">
        <v>0</v>
      </c>
      <c r="Y71">
        <v>0</v>
      </c>
      <c r="Z71" s="16">
        <v>0</v>
      </c>
      <c r="AA71">
        <v>0</v>
      </c>
      <c r="AB71">
        <v>0</v>
      </c>
      <c r="AC71">
        <v>3602.2975929978115</v>
      </c>
      <c r="AD71">
        <v>3602.2975929978115</v>
      </c>
      <c r="AF71">
        <v>0.50018989745537412</v>
      </c>
      <c r="AG71">
        <v>61.69452199501999</v>
      </c>
    </row>
    <row r="72" spans="1:35" x14ac:dyDescent="0.25">
      <c r="A72">
        <v>2024</v>
      </c>
      <c r="B72" t="s">
        <v>103</v>
      </c>
      <c r="C72" t="s">
        <v>30</v>
      </c>
      <c r="D72" t="s">
        <v>38</v>
      </c>
      <c r="E72">
        <v>3</v>
      </c>
      <c r="F72">
        <v>71</v>
      </c>
      <c r="G72" s="12">
        <v>45579</v>
      </c>
      <c r="H72">
        <v>287</v>
      </c>
      <c r="J72" t="s">
        <v>26</v>
      </c>
      <c r="K72">
        <v>37100</v>
      </c>
      <c r="L72">
        <v>3.3000000000000007</v>
      </c>
      <c r="M72">
        <v>0</v>
      </c>
      <c r="N72">
        <v>55.89</v>
      </c>
      <c r="O72">
        <v>82.3</v>
      </c>
      <c r="P72">
        <v>59.2</v>
      </c>
      <c r="Q72">
        <v>687.5</v>
      </c>
      <c r="R72">
        <v>200.69</v>
      </c>
      <c r="S72">
        <v>1472.5</v>
      </c>
      <c r="T72">
        <v>8829.2669584245068</v>
      </c>
      <c r="U72">
        <v>2</v>
      </c>
      <c r="V72">
        <v>0.91400000000000003</v>
      </c>
      <c r="W72">
        <v>1.8280000000000001</v>
      </c>
      <c r="X72">
        <v>205.92678608241488</v>
      </c>
      <c r="Y72">
        <v>0</v>
      </c>
      <c r="Z72" s="16">
        <v>3487.6509315594435</v>
      </c>
      <c r="AA72">
        <v>5135.6892407826481</v>
      </c>
      <c r="AB72">
        <v>3694.2017382057447</v>
      </c>
      <c r="AC72">
        <v>4122.3232827958227</v>
      </c>
      <c r="AD72">
        <v>4084.7921225382929</v>
      </c>
      <c r="AF72">
        <v>0.46264227163737076</v>
      </c>
      <c r="AG72">
        <v>69.957934052667312</v>
      </c>
      <c r="AH72">
        <v>93.725999999999999</v>
      </c>
      <c r="AI72">
        <v>17.8</v>
      </c>
    </row>
    <row r="73" spans="1:35" x14ac:dyDescent="0.25">
      <c r="A73">
        <v>2024</v>
      </c>
      <c r="B73" t="s">
        <v>103</v>
      </c>
      <c r="C73" t="s">
        <v>32</v>
      </c>
      <c r="D73" t="s">
        <v>38</v>
      </c>
      <c r="E73">
        <v>3</v>
      </c>
      <c r="F73">
        <v>72</v>
      </c>
      <c r="G73" s="12">
        <v>45582</v>
      </c>
      <c r="H73">
        <v>290</v>
      </c>
      <c r="J73" t="s">
        <v>26</v>
      </c>
      <c r="K73">
        <v>37100</v>
      </c>
      <c r="L73">
        <v>0</v>
      </c>
      <c r="M73">
        <v>0</v>
      </c>
      <c r="N73">
        <v>0</v>
      </c>
      <c r="O73">
        <v>0</v>
      </c>
      <c r="P73">
        <v>0</v>
      </c>
      <c r="Q73">
        <v>611.5</v>
      </c>
      <c r="R73">
        <v>0</v>
      </c>
      <c r="S73">
        <v>1443.5</v>
      </c>
      <c r="T73">
        <v>7896.6083150984678</v>
      </c>
      <c r="U73">
        <v>2</v>
      </c>
      <c r="V73">
        <v>0.91400000000000003</v>
      </c>
      <c r="W73">
        <v>1.8280000000000001</v>
      </c>
      <c r="X73">
        <v>0</v>
      </c>
      <c r="Y73">
        <v>0</v>
      </c>
      <c r="Z73" s="16">
        <v>0</v>
      </c>
      <c r="AA73">
        <v>0</v>
      </c>
      <c r="AB73">
        <v>0</v>
      </c>
      <c r="AC73">
        <v>3345.1859956236322</v>
      </c>
      <c r="AD73">
        <v>3345.1859956236299</v>
      </c>
      <c r="AF73">
        <v>0.42362313820574993</v>
      </c>
      <c r="AG73">
        <v>57.291116476772551</v>
      </c>
    </row>
    <row r="74" spans="1:35" x14ac:dyDescent="0.25">
      <c r="A74">
        <v>2024</v>
      </c>
      <c r="B74" t="s">
        <v>103</v>
      </c>
      <c r="C74" t="s">
        <v>24</v>
      </c>
      <c r="D74" t="s">
        <v>25</v>
      </c>
      <c r="E74">
        <v>1</v>
      </c>
      <c r="F74">
        <v>1</v>
      </c>
      <c r="G74" s="12">
        <v>45581</v>
      </c>
      <c r="H74">
        <v>289</v>
      </c>
      <c r="J74" t="s">
        <v>97</v>
      </c>
      <c r="K74">
        <v>37100</v>
      </c>
      <c r="Q74">
        <v>1008.8</v>
      </c>
      <c r="S74">
        <v>2182.3000000000002</v>
      </c>
      <c r="T74">
        <v>11307.2538860104</v>
      </c>
      <c r="U74">
        <v>2</v>
      </c>
      <c r="V74">
        <v>0.96499999999999997</v>
      </c>
      <c r="W74">
        <v>1.93</v>
      </c>
      <c r="AC74">
        <v>5226.9430051813633</v>
      </c>
      <c r="AD74">
        <v>5226.943005181347</v>
      </c>
      <c r="AF74">
        <v>0.46226458323786679</v>
      </c>
      <c r="AG74">
        <v>89.518908939312738</v>
      </c>
    </row>
    <row r="75" spans="1:35" x14ac:dyDescent="0.25">
      <c r="A75">
        <v>2024</v>
      </c>
      <c r="B75" t="s">
        <v>103</v>
      </c>
      <c r="C75" t="s">
        <v>27</v>
      </c>
      <c r="D75" t="s">
        <v>25</v>
      </c>
      <c r="E75">
        <v>1</v>
      </c>
      <c r="F75">
        <v>2</v>
      </c>
      <c r="G75" s="12">
        <v>45581</v>
      </c>
      <c r="H75">
        <v>289</v>
      </c>
      <c r="J75" t="s">
        <v>97</v>
      </c>
      <c r="K75">
        <v>37100</v>
      </c>
      <c r="Q75">
        <v>883.69999999999993</v>
      </c>
      <c r="S75">
        <v>1720.3</v>
      </c>
      <c r="T75">
        <v>8913.4715025906735</v>
      </c>
      <c r="U75">
        <v>2</v>
      </c>
      <c r="V75">
        <v>0.96499999999999997</v>
      </c>
      <c r="W75">
        <v>1.93</v>
      </c>
      <c r="AC75">
        <v>4578.7564766839369</v>
      </c>
      <c r="AD75">
        <v>4578.7564766839378</v>
      </c>
      <c r="AF75">
        <v>0.513689472766378</v>
      </c>
      <c r="AG75">
        <v>78.417783336311118</v>
      </c>
    </row>
    <row r="76" spans="1:35" x14ac:dyDescent="0.25">
      <c r="A76">
        <v>2024</v>
      </c>
      <c r="B76" t="s">
        <v>103</v>
      </c>
      <c r="C76" t="s">
        <v>28</v>
      </c>
      <c r="D76" t="s">
        <v>25</v>
      </c>
      <c r="E76">
        <v>1</v>
      </c>
      <c r="F76">
        <v>3</v>
      </c>
      <c r="G76" s="12">
        <v>45581</v>
      </c>
      <c r="H76">
        <v>289</v>
      </c>
      <c r="J76" t="s">
        <v>97</v>
      </c>
      <c r="K76">
        <v>37100</v>
      </c>
      <c r="Q76">
        <v>741.69999999999993</v>
      </c>
      <c r="S76">
        <v>1387.3</v>
      </c>
      <c r="T76">
        <v>7188.0829015544041</v>
      </c>
      <c r="U76">
        <v>2</v>
      </c>
      <c r="V76">
        <v>0.96499999999999997</v>
      </c>
      <c r="W76">
        <v>1.93</v>
      </c>
      <c r="AC76">
        <v>3843.0051813471496</v>
      </c>
      <c r="AD76">
        <v>3843.00518134715</v>
      </c>
      <c r="AF76">
        <v>0.53463562315288693</v>
      </c>
      <c r="AG76">
        <v>65.81698528973854</v>
      </c>
    </row>
    <row r="77" spans="1:35" x14ac:dyDescent="0.25">
      <c r="A77">
        <v>2024</v>
      </c>
      <c r="B77" t="s">
        <v>103</v>
      </c>
      <c r="C77" t="s">
        <v>29</v>
      </c>
      <c r="D77" t="s">
        <v>25</v>
      </c>
      <c r="E77">
        <v>1</v>
      </c>
      <c r="F77">
        <v>4</v>
      </c>
      <c r="G77" s="12">
        <v>45581</v>
      </c>
      <c r="H77">
        <v>289</v>
      </c>
      <c r="J77" t="s">
        <v>97</v>
      </c>
      <c r="K77">
        <v>37100</v>
      </c>
      <c r="Q77">
        <v>537.09999999999991</v>
      </c>
      <c r="S77">
        <v>1153.3</v>
      </c>
      <c r="T77">
        <v>5975.6476683937826</v>
      </c>
      <c r="U77">
        <v>2</v>
      </c>
      <c r="V77">
        <v>0.96499999999999997</v>
      </c>
      <c r="W77">
        <v>1.93</v>
      </c>
      <c r="AC77">
        <v>2782.9015544041449</v>
      </c>
      <c r="AD77">
        <v>2782.9015544041449</v>
      </c>
      <c r="AF77">
        <v>0.46570710136131099</v>
      </c>
      <c r="AG77">
        <v>47.661187540944546</v>
      </c>
    </row>
    <row r="78" spans="1:35" x14ac:dyDescent="0.25">
      <c r="A78">
        <v>2024</v>
      </c>
      <c r="B78" t="s">
        <v>103</v>
      </c>
      <c r="C78" t="s">
        <v>30</v>
      </c>
      <c r="D78" t="s">
        <v>25</v>
      </c>
      <c r="E78">
        <v>1</v>
      </c>
      <c r="F78">
        <v>5</v>
      </c>
      <c r="G78" s="12">
        <v>45581</v>
      </c>
      <c r="H78">
        <v>289</v>
      </c>
      <c r="J78" t="s">
        <v>97</v>
      </c>
      <c r="K78">
        <v>37100</v>
      </c>
      <c r="Q78">
        <v>860.4</v>
      </c>
      <c r="S78">
        <v>1797.3</v>
      </c>
      <c r="T78">
        <v>9312.4352331606224</v>
      </c>
      <c r="U78">
        <v>2</v>
      </c>
      <c r="V78">
        <v>0.96499999999999997</v>
      </c>
      <c r="W78">
        <v>1.93</v>
      </c>
      <c r="AC78">
        <v>4458.031088082902</v>
      </c>
      <c r="AD78">
        <v>4458.031088082902</v>
      </c>
      <c r="AF78">
        <v>0.47871807711567355</v>
      </c>
      <c r="AG78">
        <v>76.350187600500263</v>
      </c>
    </row>
    <row r="79" spans="1:35" x14ac:dyDescent="0.25">
      <c r="A79">
        <v>2024</v>
      </c>
      <c r="B79" t="s">
        <v>103</v>
      </c>
      <c r="C79" t="s">
        <v>31</v>
      </c>
      <c r="D79" t="s">
        <v>25</v>
      </c>
      <c r="E79">
        <v>1</v>
      </c>
      <c r="F79">
        <v>6</v>
      </c>
      <c r="G79" s="12">
        <v>45581</v>
      </c>
      <c r="H79">
        <v>289</v>
      </c>
      <c r="J79" t="s">
        <v>97</v>
      </c>
      <c r="K79">
        <v>37100</v>
      </c>
      <c r="Q79">
        <v>638.5</v>
      </c>
      <c r="S79">
        <v>1288.3</v>
      </c>
      <c r="T79">
        <v>6675.1295336787571</v>
      </c>
      <c r="U79">
        <v>2</v>
      </c>
      <c r="V79">
        <v>0.96499999999999997</v>
      </c>
      <c r="W79">
        <v>1.93</v>
      </c>
      <c r="AC79">
        <v>3308.2901554404143</v>
      </c>
      <c r="AD79">
        <v>3308.2901554404148</v>
      </c>
      <c r="AF79">
        <v>0.49561437553364901</v>
      </c>
      <c r="AG79">
        <v>56.659222202370323</v>
      </c>
    </row>
    <row r="80" spans="1:35" x14ac:dyDescent="0.25">
      <c r="A80">
        <v>2024</v>
      </c>
      <c r="B80" t="s">
        <v>103</v>
      </c>
      <c r="C80" t="s">
        <v>32</v>
      </c>
      <c r="D80" t="s">
        <v>25</v>
      </c>
      <c r="E80">
        <v>1</v>
      </c>
      <c r="F80">
        <v>7</v>
      </c>
      <c r="G80" s="12">
        <v>45581</v>
      </c>
      <c r="H80">
        <v>289</v>
      </c>
      <c r="J80" t="s">
        <v>97</v>
      </c>
      <c r="K80">
        <v>37100</v>
      </c>
      <c r="Q80">
        <v>644.09999999999991</v>
      </c>
      <c r="S80">
        <v>1395.3</v>
      </c>
      <c r="T80">
        <v>7229.5336787564765</v>
      </c>
      <c r="U80">
        <v>2</v>
      </c>
      <c r="V80">
        <v>0.96499999999999997</v>
      </c>
      <c r="W80">
        <v>1.93</v>
      </c>
      <c r="AC80">
        <v>3337.3056994818648</v>
      </c>
      <c r="AD80">
        <v>3337.3056994818648</v>
      </c>
      <c r="AF80">
        <v>0.46162115674048587</v>
      </c>
      <c r="AG80">
        <v>57.156155083080215</v>
      </c>
    </row>
    <row r="81" spans="1:33" x14ac:dyDescent="0.25">
      <c r="A81">
        <v>2024</v>
      </c>
      <c r="B81" t="s">
        <v>103</v>
      </c>
      <c r="C81" t="s">
        <v>33</v>
      </c>
      <c r="D81" t="s">
        <v>25</v>
      </c>
      <c r="E81">
        <v>1</v>
      </c>
      <c r="F81">
        <v>8</v>
      </c>
      <c r="G81" s="12">
        <v>45581</v>
      </c>
      <c r="H81">
        <v>289</v>
      </c>
      <c r="J81" t="s">
        <v>97</v>
      </c>
      <c r="K81">
        <v>37100</v>
      </c>
      <c r="Q81">
        <v>457.2</v>
      </c>
      <c r="S81">
        <v>1053.3</v>
      </c>
      <c r="T81">
        <v>5457.5129533678746</v>
      </c>
      <c r="U81">
        <v>2</v>
      </c>
      <c r="V81">
        <v>0.96499999999999997</v>
      </c>
      <c r="W81">
        <v>1.93</v>
      </c>
      <c r="AC81">
        <v>2368.9119170984454</v>
      </c>
      <c r="AD81">
        <v>2368.9119170984459</v>
      </c>
      <c r="AF81">
        <v>0.43406436912560536</v>
      </c>
      <c r="AG81">
        <v>40.571020189387177</v>
      </c>
    </row>
    <row r="82" spans="1:33" x14ac:dyDescent="0.25">
      <c r="A82">
        <v>2024</v>
      </c>
      <c r="B82" t="s">
        <v>103</v>
      </c>
      <c r="C82" t="s">
        <v>27</v>
      </c>
      <c r="D82" t="s">
        <v>25</v>
      </c>
      <c r="E82">
        <v>2</v>
      </c>
      <c r="F82">
        <v>9</v>
      </c>
      <c r="G82" s="12">
        <v>45581</v>
      </c>
      <c r="H82">
        <v>289</v>
      </c>
      <c r="J82" t="s">
        <v>97</v>
      </c>
      <c r="K82">
        <v>37100</v>
      </c>
      <c r="Q82">
        <v>701.3</v>
      </c>
      <c r="S82">
        <v>1511.3</v>
      </c>
      <c r="T82">
        <v>7830.5699481865277</v>
      </c>
      <c r="U82">
        <v>2</v>
      </c>
      <c r="V82">
        <v>0.96499999999999997</v>
      </c>
      <c r="W82">
        <v>1.93</v>
      </c>
      <c r="AC82">
        <v>3633.6787564766832</v>
      </c>
      <c r="AD82">
        <v>3633.6787564766837</v>
      </c>
      <c r="AF82">
        <v>0.46403758353735197</v>
      </c>
      <c r="AG82">
        <v>62.23196950747424</v>
      </c>
    </row>
    <row r="83" spans="1:33" x14ac:dyDescent="0.25">
      <c r="A83">
        <v>2024</v>
      </c>
      <c r="B83" t="s">
        <v>103</v>
      </c>
      <c r="C83" t="s">
        <v>33</v>
      </c>
      <c r="D83" t="s">
        <v>25</v>
      </c>
      <c r="E83">
        <v>2</v>
      </c>
      <c r="F83">
        <v>10</v>
      </c>
      <c r="G83" s="12">
        <v>45581</v>
      </c>
      <c r="H83">
        <v>289</v>
      </c>
      <c r="J83" t="s">
        <v>97</v>
      </c>
      <c r="K83">
        <v>37100</v>
      </c>
      <c r="Q83">
        <v>652.09999999999991</v>
      </c>
      <c r="S83">
        <v>1301.5999999999999</v>
      </c>
      <c r="T83">
        <v>6744.0414507772011</v>
      </c>
      <c r="U83">
        <v>2</v>
      </c>
      <c r="V83">
        <v>0.96499999999999997</v>
      </c>
      <c r="W83">
        <v>1.93</v>
      </c>
      <c r="AC83">
        <v>3378.7564766839373</v>
      </c>
      <c r="AD83">
        <v>3378.7564766839373</v>
      </c>
      <c r="AF83">
        <v>0.50099877074370003</v>
      </c>
      <c r="AG83">
        <v>57.866059198380078</v>
      </c>
    </row>
    <row r="84" spans="1:33" x14ac:dyDescent="0.25">
      <c r="A84">
        <v>2024</v>
      </c>
      <c r="B84" t="s">
        <v>103</v>
      </c>
      <c r="C84" t="s">
        <v>32</v>
      </c>
      <c r="D84" t="s">
        <v>25</v>
      </c>
      <c r="E84">
        <v>2</v>
      </c>
      <c r="F84">
        <v>11</v>
      </c>
      <c r="G84" s="12">
        <v>45581</v>
      </c>
      <c r="H84">
        <v>289</v>
      </c>
      <c r="J84" t="s">
        <v>97</v>
      </c>
      <c r="K84">
        <v>37100</v>
      </c>
      <c r="Q84">
        <v>646.79999999999995</v>
      </c>
      <c r="S84">
        <v>1372.3</v>
      </c>
      <c r="T84">
        <v>7110.3626943005174</v>
      </c>
      <c r="U84">
        <v>2</v>
      </c>
      <c r="V84">
        <v>0.96499999999999997</v>
      </c>
      <c r="W84">
        <v>1.93</v>
      </c>
      <c r="AC84">
        <v>3351.2953367875643</v>
      </c>
      <c r="AD84">
        <v>3351.2953367875643</v>
      </c>
      <c r="AF84">
        <v>0.47132551191430444</v>
      </c>
      <c r="AG84">
        <v>57.395747721993914</v>
      </c>
    </row>
    <row r="85" spans="1:33" x14ac:dyDescent="0.25">
      <c r="A85">
        <v>2024</v>
      </c>
      <c r="B85" t="s">
        <v>103</v>
      </c>
      <c r="C85" t="s">
        <v>28</v>
      </c>
      <c r="D85" t="s">
        <v>25</v>
      </c>
      <c r="E85">
        <v>2</v>
      </c>
      <c r="F85">
        <v>12</v>
      </c>
      <c r="G85" s="12">
        <v>45581</v>
      </c>
      <c r="H85">
        <v>289</v>
      </c>
      <c r="J85" t="s">
        <v>97</v>
      </c>
      <c r="K85">
        <v>37100</v>
      </c>
      <c r="Q85">
        <v>552.4</v>
      </c>
      <c r="S85">
        <v>986.3</v>
      </c>
      <c r="T85">
        <v>5110.3626943005183</v>
      </c>
      <c r="U85">
        <v>2</v>
      </c>
      <c r="V85">
        <v>0.96499999999999997</v>
      </c>
      <c r="W85">
        <v>1.93</v>
      </c>
      <c r="AC85">
        <v>2862.1761658031091</v>
      </c>
      <c r="AD85">
        <v>2862.1761658031087</v>
      </c>
      <c r="AF85">
        <v>0.56007300010138894</v>
      </c>
      <c r="AG85">
        <v>49.018879161455537</v>
      </c>
    </row>
    <row r="86" spans="1:33" x14ac:dyDescent="0.25">
      <c r="A86">
        <v>2024</v>
      </c>
      <c r="B86" t="s">
        <v>103</v>
      </c>
      <c r="C86" t="s">
        <v>31</v>
      </c>
      <c r="D86" t="s">
        <v>25</v>
      </c>
      <c r="E86">
        <v>2</v>
      </c>
      <c r="F86">
        <v>13</v>
      </c>
      <c r="G86" s="12">
        <v>45581</v>
      </c>
      <c r="H86">
        <v>289</v>
      </c>
      <c r="J86" t="s">
        <v>97</v>
      </c>
      <c r="K86">
        <v>37100</v>
      </c>
      <c r="Q86">
        <v>665.4</v>
      </c>
      <c r="S86">
        <v>1233.3</v>
      </c>
      <c r="T86">
        <v>6390.1554404145081</v>
      </c>
      <c r="U86">
        <v>2</v>
      </c>
      <c r="V86">
        <v>0.96499999999999997</v>
      </c>
      <c r="W86">
        <v>1.93</v>
      </c>
      <c r="AC86">
        <v>3447.6683937823832</v>
      </c>
      <c r="AD86">
        <v>3447.6683937823836</v>
      </c>
      <c r="AF86">
        <v>0.53952809535392854</v>
      </c>
      <c r="AG86">
        <v>59.046274790066107</v>
      </c>
    </row>
    <row r="87" spans="1:33" x14ac:dyDescent="0.25">
      <c r="A87">
        <v>2024</v>
      </c>
      <c r="B87" t="s">
        <v>103</v>
      </c>
      <c r="C87" t="s">
        <v>24</v>
      </c>
      <c r="D87" t="s">
        <v>25</v>
      </c>
      <c r="E87">
        <v>2</v>
      </c>
      <c r="F87">
        <v>14</v>
      </c>
      <c r="G87" s="12">
        <v>45581</v>
      </c>
      <c r="H87">
        <v>289</v>
      </c>
      <c r="J87" t="s">
        <v>97</v>
      </c>
      <c r="K87">
        <v>37100</v>
      </c>
      <c r="Q87">
        <v>850.09999999999991</v>
      </c>
      <c r="S87">
        <v>1667.3</v>
      </c>
      <c r="T87">
        <v>8638.8601036269429</v>
      </c>
      <c r="U87">
        <v>2</v>
      </c>
      <c r="V87">
        <v>0.96499999999999997</v>
      </c>
      <c r="W87">
        <v>1.93</v>
      </c>
      <c r="AC87">
        <v>4404.6632124352318</v>
      </c>
      <c r="AD87">
        <v>4404.6632124352327</v>
      </c>
      <c r="AF87">
        <v>0.50986625082468662</v>
      </c>
      <c r="AG87">
        <v>75.436186052051696</v>
      </c>
    </row>
    <row r="88" spans="1:33" x14ac:dyDescent="0.25">
      <c r="A88">
        <v>2024</v>
      </c>
      <c r="B88" t="s">
        <v>103</v>
      </c>
      <c r="C88" t="s">
        <v>30</v>
      </c>
      <c r="D88" t="s">
        <v>25</v>
      </c>
      <c r="E88">
        <v>2</v>
      </c>
      <c r="F88">
        <v>15</v>
      </c>
      <c r="G88" s="12">
        <v>45581</v>
      </c>
      <c r="H88">
        <v>289</v>
      </c>
      <c r="J88" t="s">
        <v>97</v>
      </c>
      <c r="K88">
        <v>37100</v>
      </c>
      <c r="Q88">
        <v>544.29999999999995</v>
      </c>
      <c r="S88">
        <v>1191.3</v>
      </c>
      <c r="T88">
        <v>6172.5388601036275</v>
      </c>
      <c r="U88">
        <v>2</v>
      </c>
      <c r="V88">
        <v>0.96499999999999997</v>
      </c>
      <c r="W88">
        <v>1.93</v>
      </c>
      <c r="AC88">
        <v>2820.2072538860107</v>
      </c>
      <c r="AD88">
        <v>2820.2072538860107</v>
      </c>
      <c r="AF88">
        <v>0.45689582808696383</v>
      </c>
      <c r="AG88">
        <v>48.300101244714433</v>
      </c>
    </row>
    <row r="89" spans="1:33" x14ac:dyDescent="0.25">
      <c r="A89">
        <v>2024</v>
      </c>
      <c r="B89" t="s">
        <v>103</v>
      </c>
      <c r="C89" t="s">
        <v>29</v>
      </c>
      <c r="D89" t="s">
        <v>25</v>
      </c>
      <c r="E89">
        <v>2</v>
      </c>
      <c r="F89">
        <v>16</v>
      </c>
      <c r="G89" s="12">
        <v>45581</v>
      </c>
      <c r="H89">
        <v>289</v>
      </c>
      <c r="J89" t="s">
        <v>97</v>
      </c>
      <c r="K89">
        <v>37100</v>
      </c>
      <c r="Q89">
        <v>621.29999999999995</v>
      </c>
      <c r="S89">
        <v>1310.3</v>
      </c>
      <c r="T89">
        <v>6789.1191709844561</v>
      </c>
      <c r="U89">
        <v>2</v>
      </c>
      <c r="V89">
        <v>0.96499999999999997</v>
      </c>
      <c r="W89">
        <v>1.93</v>
      </c>
      <c r="AC89">
        <v>3219.1709844559587</v>
      </c>
      <c r="AD89">
        <v>3219.1709844559587</v>
      </c>
      <c r="AF89">
        <v>0.47416622147599785</v>
      </c>
      <c r="AG89">
        <v>55.132928354475617</v>
      </c>
    </row>
    <row r="90" spans="1:33" x14ac:dyDescent="0.25">
      <c r="A90">
        <v>2024</v>
      </c>
      <c r="B90" t="s">
        <v>103</v>
      </c>
      <c r="C90" t="s">
        <v>33</v>
      </c>
      <c r="D90" t="s">
        <v>25</v>
      </c>
      <c r="E90">
        <v>3</v>
      </c>
      <c r="F90">
        <v>17</v>
      </c>
      <c r="G90" s="12">
        <v>45581</v>
      </c>
      <c r="H90">
        <v>289</v>
      </c>
      <c r="J90" t="s">
        <v>97</v>
      </c>
      <c r="K90">
        <v>37100</v>
      </c>
      <c r="Q90">
        <v>595.9</v>
      </c>
      <c r="S90">
        <v>1303.3</v>
      </c>
      <c r="T90">
        <v>6752.8497409326419</v>
      </c>
      <c r="U90">
        <v>2</v>
      </c>
      <c r="V90">
        <v>0.96499999999999997</v>
      </c>
      <c r="W90">
        <v>1.93</v>
      </c>
      <c r="AC90">
        <v>3087.5647668393781</v>
      </c>
      <c r="AD90">
        <v>3087.5647668393785</v>
      </c>
      <c r="AF90">
        <v>0.45722396992250447</v>
      </c>
      <c r="AG90">
        <v>52.878982788398552</v>
      </c>
    </row>
    <row r="91" spans="1:33" x14ac:dyDescent="0.25">
      <c r="A91">
        <v>2024</v>
      </c>
      <c r="B91" t="s">
        <v>103</v>
      </c>
      <c r="C91" t="s">
        <v>27</v>
      </c>
      <c r="D91" t="s">
        <v>25</v>
      </c>
      <c r="E91">
        <v>3</v>
      </c>
      <c r="F91">
        <v>18</v>
      </c>
      <c r="G91" s="12">
        <v>45581</v>
      </c>
      <c r="H91">
        <v>289</v>
      </c>
      <c r="J91" t="s">
        <v>97</v>
      </c>
      <c r="K91">
        <v>37100</v>
      </c>
      <c r="Q91">
        <v>618.79999999999995</v>
      </c>
      <c r="S91">
        <v>1275.3</v>
      </c>
      <c r="T91">
        <v>6607.7720207253878</v>
      </c>
      <c r="U91">
        <v>2</v>
      </c>
      <c r="V91">
        <v>0.96499999999999997</v>
      </c>
      <c r="W91">
        <v>1.93</v>
      </c>
      <c r="AC91">
        <v>3206.2176165803103</v>
      </c>
      <c r="AD91">
        <v>3206.2176165803107</v>
      </c>
      <c r="AF91">
        <v>0.48521916411824673</v>
      </c>
      <c r="AG91">
        <v>54.911083318444405</v>
      </c>
    </row>
    <row r="92" spans="1:33" x14ac:dyDescent="0.25">
      <c r="A92">
        <v>2024</v>
      </c>
      <c r="B92" t="s">
        <v>103</v>
      </c>
      <c r="C92" t="s">
        <v>29</v>
      </c>
      <c r="D92" t="s">
        <v>25</v>
      </c>
      <c r="E92">
        <v>3</v>
      </c>
      <c r="F92">
        <v>19</v>
      </c>
      <c r="G92" s="12">
        <v>45581</v>
      </c>
      <c r="H92">
        <v>289</v>
      </c>
      <c r="J92" t="s">
        <v>97</v>
      </c>
      <c r="K92">
        <v>37100</v>
      </c>
      <c r="Q92">
        <v>502.59999999999991</v>
      </c>
      <c r="S92">
        <v>1286.3</v>
      </c>
      <c r="T92">
        <v>6664.7668393782387</v>
      </c>
      <c r="U92">
        <v>2</v>
      </c>
      <c r="V92">
        <v>0.96499999999999997</v>
      </c>
      <c r="W92">
        <v>1.93</v>
      </c>
      <c r="AC92">
        <v>2604.1450777202072</v>
      </c>
      <c r="AD92">
        <v>2604.1450777202067</v>
      </c>
      <c r="AF92">
        <v>0.39073311047189602</v>
      </c>
      <c r="AG92">
        <v>44.599726043713886</v>
      </c>
    </row>
    <row r="93" spans="1:33" x14ac:dyDescent="0.25">
      <c r="A93">
        <v>2024</v>
      </c>
      <c r="B93" t="s">
        <v>103</v>
      </c>
      <c r="C93" t="s">
        <v>31</v>
      </c>
      <c r="D93" t="s">
        <v>25</v>
      </c>
      <c r="E93">
        <v>3</v>
      </c>
      <c r="F93">
        <v>20</v>
      </c>
      <c r="G93" s="12">
        <v>45581</v>
      </c>
      <c r="H93">
        <v>289</v>
      </c>
      <c r="J93" t="s">
        <v>97</v>
      </c>
      <c r="K93">
        <v>37100</v>
      </c>
      <c r="Q93">
        <v>530.5</v>
      </c>
      <c r="S93">
        <v>1191.3</v>
      </c>
      <c r="T93">
        <v>6172.5388601036275</v>
      </c>
      <c r="U93">
        <v>2</v>
      </c>
      <c r="V93">
        <v>0.96499999999999997</v>
      </c>
      <c r="W93">
        <v>1.93</v>
      </c>
      <c r="AC93">
        <v>2748.7046632124352</v>
      </c>
      <c r="AD93">
        <v>2748.7046632124352</v>
      </c>
      <c r="AF93">
        <v>0.44531184420381092</v>
      </c>
      <c r="AG93">
        <v>47.075516645822169</v>
      </c>
    </row>
    <row r="94" spans="1:33" x14ac:dyDescent="0.25">
      <c r="A94">
        <v>2024</v>
      </c>
      <c r="B94" t="s">
        <v>103</v>
      </c>
      <c r="C94" t="s">
        <v>30</v>
      </c>
      <c r="D94" t="s">
        <v>25</v>
      </c>
      <c r="E94">
        <v>3</v>
      </c>
      <c r="F94">
        <v>21</v>
      </c>
      <c r="G94" s="12">
        <v>45581</v>
      </c>
      <c r="H94">
        <v>289</v>
      </c>
      <c r="J94" t="s">
        <v>97</v>
      </c>
      <c r="K94">
        <v>37100</v>
      </c>
      <c r="Q94">
        <v>448.40000000000003</v>
      </c>
      <c r="S94">
        <v>937.3</v>
      </c>
      <c r="T94">
        <v>4856.4766839378244</v>
      </c>
      <c r="U94">
        <v>2</v>
      </c>
      <c r="V94">
        <v>0.96499999999999997</v>
      </c>
      <c r="W94">
        <v>1.93</v>
      </c>
      <c r="AC94">
        <v>2323.3160621761667</v>
      </c>
      <c r="AD94">
        <v>2323.3160621761658</v>
      </c>
      <c r="AF94">
        <v>0.47839539101675016</v>
      </c>
      <c r="AG94">
        <v>39.790125662557323</v>
      </c>
    </row>
    <row r="95" spans="1:33" x14ac:dyDescent="0.25">
      <c r="A95">
        <v>2024</v>
      </c>
      <c r="B95" t="s">
        <v>103</v>
      </c>
      <c r="C95" t="s">
        <v>32</v>
      </c>
      <c r="D95" t="s">
        <v>25</v>
      </c>
      <c r="E95">
        <v>3</v>
      </c>
      <c r="F95">
        <v>22</v>
      </c>
      <c r="G95" s="12">
        <v>45581</v>
      </c>
      <c r="H95">
        <v>289</v>
      </c>
      <c r="J95" t="s">
        <v>97</v>
      </c>
      <c r="K95">
        <v>37100</v>
      </c>
      <c r="Q95">
        <v>602.19999999999993</v>
      </c>
      <c r="S95">
        <v>1302.3</v>
      </c>
      <c r="T95">
        <v>6747.6683937823836</v>
      </c>
      <c r="U95">
        <v>2</v>
      </c>
      <c r="V95">
        <v>0.96499999999999997</v>
      </c>
      <c r="W95">
        <v>1.93</v>
      </c>
      <c r="AC95">
        <v>3120.2072538860102</v>
      </c>
      <c r="AD95">
        <v>3120.2072538860107</v>
      </c>
      <c r="AF95">
        <v>0.46241265453428554</v>
      </c>
      <c r="AG95">
        <v>53.438032279197202</v>
      </c>
    </row>
    <row r="96" spans="1:33" x14ac:dyDescent="0.25">
      <c r="A96">
        <v>2024</v>
      </c>
      <c r="B96" t="s">
        <v>103</v>
      </c>
      <c r="C96" t="s">
        <v>24</v>
      </c>
      <c r="D96" t="s">
        <v>25</v>
      </c>
      <c r="E96">
        <v>3</v>
      </c>
      <c r="F96">
        <v>23</v>
      </c>
      <c r="G96" s="12">
        <v>45581</v>
      </c>
      <c r="H96">
        <v>289</v>
      </c>
      <c r="J96" t="s">
        <v>97</v>
      </c>
      <c r="K96">
        <v>37100</v>
      </c>
      <c r="Q96">
        <v>729.4</v>
      </c>
      <c r="S96">
        <v>1577.3</v>
      </c>
      <c r="T96">
        <v>8172.5388601036275</v>
      </c>
      <c r="U96">
        <v>2</v>
      </c>
      <c r="V96">
        <v>0.96499999999999997</v>
      </c>
      <c r="W96">
        <v>1.93</v>
      </c>
      <c r="AC96">
        <v>3779.2746113989638</v>
      </c>
      <c r="AD96">
        <v>3779.2746113989633</v>
      </c>
      <c r="AF96">
        <v>0.46243580802637413</v>
      </c>
      <c r="AG96">
        <v>64.725507712465003</v>
      </c>
    </row>
    <row r="97" spans="1:35" x14ac:dyDescent="0.25">
      <c r="A97">
        <v>2024</v>
      </c>
      <c r="B97" t="s">
        <v>103</v>
      </c>
      <c r="C97" t="s">
        <v>28</v>
      </c>
      <c r="D97" t="s">
        <v>25</v>
      </c>
      <c r="E97">
        <v>3</v>
      </c>
      <c r="F97">
        <v>24</v>
      </c>
      <c r="G97" s="12">
        <v>45581</v>
      </c>
      <c r="H97">
        <v>289</v>
      </c>
      <c r="J97" t="s">
        <v>97</v>
      </c>
      <c r="K97">
        <v>37100</v>
      </c>
      <c r="Q97">
        <v>607.59999999999991</v>
      </c>
      <c r="S97">
        <v>1140.3</v>
      </c>
      <c r="T97">
        <v>5908.2901554404134</v>
      </c>
      <c r="U97">
        <v>2</v>
      </c>
      <c r="V97">
        <v>0.96499999999999997</v>
      </c>
      <c r="W97">
        <v>1.93</v>
      </c>
      <c r="AC97">
        <v>3148.1865284974087</v>
      </c>
      <c r="AD97">
        <v>3148.1865284974087</v>
      </c>
      <c r="AF97">
        <v>0.53284223449969303</v>
      </c>
      <c r="AG97">
        <v>53.917217557024593</v>
      </c>
    </row>
    <row r="98" spans="1:35" x14ac:dyDescent="0.25">
      <c r="A98">
        <v>2024</v>
      </c>
      <c r="B98" s="19" t="s">
        <v>103</v>
      </c>
      <c r="C98" s="24" t="s">
        <v>24</v>
      </c>
      <c r="D98" s="19" t="s">
        <v>25</v>
      </c>
      <c r="E98" s="24">
        <v>1</v>
      </c>
      <c r="F98" s="19">
        <v>1</v>
      </c>
      <c r="G98" s="25">
        <v>45574</v>
      </c>
      <c r="H98" s="18">
        <v>282</v>
      </c>
      <c r="I98" s="19"/>
      <c r="J98" s="19" t="s">
        <v>107</v>
      </c>
      <c r="K98" s="19">
        <v>40800</v>
      </c>
      <c r="L98" s="19"/>
      <c r="M98" s="19"/>
      <c r="N98" s="19"/>
      <c r="O98" s="19"/>
      <c r="P98" s="19"/>
      <c r="Q98" s="19"/>
      <c r="R98" s="19"/>
      <c r="S98" s="19">
        <v>0</v>
      </c>
      <c r="T98" s="19"/>
      <c r="U98" s="19">
        <v>1</v>
      </c>
      <c r="V98" s="19">
        <v>0.96499999999999997</v>
      </c>
      <c r="W98" s="27">
        <f t="shared" ref="W98:W121" si="0">V98*U98</f>
        <v>0.96499999999999997</v>
      </c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</row>
    <row r="99" spans="1:35" x14ac:dyDescent="0.25">
      <c r="A99">
        <v>2024</v>
      </c>
      <c r="B99" s="19" t="s">
        <v>103</v>
      </c>
      <c r="C99" s="24" t="s">
        <v>27</v>
      </c>
      <c r="D99" s="19" t="s">
        <v>25</v>
      </c>
      <c r="E99" s="24">
        <v>1</v>
      </c>
      <c r="F99" s="19">
        <v>2</v>
      </c>
      <c r="G99" s="25">
        <v>45574</v>
      </c>
      <c r="H99" s="18">
        <v>282</v>
      </c>
      <c r="I99" s="19"/>
      <c r="J99" s="19" t="s">
        <v>107</v>
      </c>
      <c r="K99" s="19">
        <v>40800</v>
      </c>
      <c r="L99" s="19"/>
      <c r="M99" s="19"/>
      <c r="N99" s="19"/>
      <c r="O99" s="19"/>
      <c r="P99" s="19"/>
      <c r="Q99" s="19"/>
      <c r="R99" s="19"/>
      <c r="S99" s="19">
        <v>1292.5</v>
      </c>
      <c r="T99" s="19">
        <v>6696.8911917098449</v>
      </c>
      <c r="U99" s="19">
        <v>1</v>
      </c>
      <c r="V99" s="19">
        <v>0.96499999999999997</v>
      </c>
      <c r="W99" s="27">
        <f t="shared" si="0"/>
        <v>0.96499999999999997</v>
      </c>
      <c r="X99" s="19"/>
      <c r="Y99" s="19"/>
      <c r="Z99" s="19"/>
      <c r="AA99" s="19"/>
      <c r="AB99" s="19"/>
      <c r="AC99" s="19">
        <v>3054.9222797927459</v>
      </c>
      <c r="AD99" s="19">
        <v>3054.9222797927459</v>
      </c>
      <c r="AE99" s="19"/>
      <c r="AF99" s="19">
        <v>0.45617021276595743</v>
      </c>
      <c r="AG99" s="19">
        <v>52.319933297599896</v>
      </c>
      <c r="AH99" s="19"/>
      <c r="AI99" s="19"/>
    </row>
    <row r="100" spans="1:35" x14ac:dyDescent="0.25">
      <c r="A100">
        <v>2024</v>
      </c>
      <c r="B100" s="19" t="s">
        <v>103</v>
      </c>
      <c r="C100" s="24" t="s">
        <v>28</v>
      </c>
      <c r="D100" s="19" t="s">
        <v>25</v>
      </c>
      <c r="E100" s="24">
        <v>1</v>
      </c>
      <c r="F100" s="19">
        <v>3</v>
      </c>
      <c r="G100" s="25">
        <v>45574</v>
      </c>
      <c r="H100" s="18">
        <v>282</v>
      </c>
      <c r="I100" s="19"/>
      <c r="J100" s="19" t="s">
        <v>107</v>
      </c>
      <c r="K100" s="19">
        <v>40800</v>
      </c>
      <c r="L100" s="19"/>
      <c r="M100" s="19"/>
      <c r="N100" s="19"/>
      <c r="O100" s="19"/>
      <c r="P100" s="19"/>
      <c r="Q100" s="19"/>
      <c r="R100" s="19"/>
      <c r="S100" s="19">
        <v>1363.5</v>
      </c>
      <c r="T100" s="19">
        <v>7064.7668393782387</v>
      </c>
      <c r="U100" s="19">
        <v>1</v>
      </c>
      <c r="V100" s="19">
        <v>0.96499999999999997</v>
      </c>
      <c r="W100" s="27">
        <f t="shared" si="0"/>
        <v>0.96499999999999997</v>
      </c>
      <c r="X100" s="19"/>
      <c r="Y100" s="19"/>
      <c r="Z100" s="19"/>
      <c r="AA100" s="19"/>
      <c r="AB100" s="19"/>
      <c r="AC100" s="19">
        <v>3214.5077720207255</v>
      </c>
      <c r="AD100" s="19">
        <v>3214.507772020725</v>
      </c>
      <c r="AE100" s="19"/>
      <c r="AF100" s="19">
        <v>0.45500550055005495</v>
      </c>
      <c r="AG100" s="19">
        <v>55.053064141504372</v>
      </c>
      <c r="AH100" s="19"/>
      <c r="AI100" s="19"/>
    </row>
    <row r="101" spans="1:35" x14ac:dyDescent="0.25">
      <c r="A101">
        <v>2024</v>
      </c>
      <c r="B101" s="19" t="s">
        <v>103</v>
      </c>
      <c r="C101" s="24" t="s">
        <v>29</v>
      </c>
      <c r="D101" s="19" t="s">
        <v>25</v>
      </c>
      <c r="E101" s="24">
        <v>1</v>
      </c>
      <c r="F101" s="19">
        <v>4</v>
      </c>
      <c r="G101" s="25">
        <v>45574</v>
      </c>
      <c r="H101" s="18">
        <v>282</v>
      </c>
      <c r="I101" s="19"/>
      <c r="J101" s="19" t="s">
        <v>107</v>
      </c>
      <c r="K101" s="19">
        <v>40800</v>
      </c>
      <c r="L101" s="19"/>
      <c r="M101" s="19"/>
      <c r="N101" s="19"/>
      <c r="O101" s="19"/>
      <c r="P101" s="19"/>
      <c r="Q101" s="19"/>
      <c r="R101" s="19"/>
      <c r="S101" s="19">
        <v>1628.5</v>
      </c>
      <c r="T101" s="19">
        <v>8437.8238341968918</v>
      </c>
      <c r="U101" s="19">
        <v>1</v>
      </c>
      <c r="V101" s="19">
        <v>0.96499999999999997</v>
      </c>
      <c r="W101" s="27">
        <f t="shared" si="0"/>
        <v>0.96499999999999997</v>
      </c>
      <c r="X101" s="19"/>
      <c r="Y101" s="19"/>
      <c r="Z101" s="19"/>
      <c r="AA101" s="19"/>
      <c r="AB101" s="19"/>
      <c r="AC101" s="19">
        <v>3826.4248704663214</v>
      </c>
      <c r="AD101" s="19">
        <v>3826.4248704663214</v>
      </c>
      <c r="AE101" s="19"/>
      <c r="AF101" s="19">
        <v>0.45348480196499846</v>
      </c>
      <c r="AG101" s="19">
        <v>65.533023643618606</v>
      </c>
      <c r="AH101" s="19"/>
      <c r="AI101" s="19"/>
    </row>
    <row r="102" spans="1:35" x14ac:dyDescent="0.25">
      <c r="A102">
        <v>2024</v>
      </c>
      <c r="B102" s="19" t="s">
        <v>103</v>
      </c>
      <c r="C102" s="24" t="s">
        <v>30</v>
      </c>
      <c r="D102" s="19" t="s">
        <v>25</v>
      </c>
      <c r="E102" s="24">
        <v>1</v>
      </c>
      <c r="F102" s="19">
        <v>5</v>
      </c>
      <c r="G102" s="25">
        <v>45574</v>
      </c>
      <c r="H102" s="18">
        <v>282</v>
      </c>
      <c r="I102" s="19"/>
      <c r="J102" s="19" t="s">
        <v>107</v>
      </c>
      <c r="K102" s="19">
        <v>40800</v>
      </c>
      <c r="L102" s="19"/>
      <c r="M102" s="19"/>
      <c r="N102" s="19"/>
      <c r="O102" s="19"/>
      <c r="P102" s="19"/>
      <c r="Q102" s="19"/>
      <c r="R102" s="19"/>
      <c r="S102" s="19">
        <v>1268.5</v>
      </c>
      <c r="T102" s="19">
        <v>6572.5388601036275</v>
      </c>
      <c r="U102" s="19">
        <v>1</v>
      </c>
      <c r="V102" s="19">
        <v>0.96499999999999997</v>
      </c>
      <c r="W102" s="27">
        <f t="shared" si="0"/>
        <v>0.96499999999999997</v>
      </c>
      <c r="X102" s="19"/>
      <c r="Y102" s="19"/>
      <c r="Z102" s="19"/>
      <c r="AA102" s="19"/>
      <c r="AB102" s="19"/>
      <c r="AC102" s="19">
        <v>2821.7616580310878</v>
      </c>
      <c r="AD102" s="19">
        <v>2821.7616580310873</v>
      </c>
      <c r="AE102" s="19"/>
      <c r="AF102" s="19">
        <v>0.42932597556168689</v>
      </c>
      <c r="AG102" s="19">
        <v>48.326722649038167</v>
      </c>
      <c r="AH102" s="19"/>
      <c r="AI102" s="19"/>
    </row>
    <row r="103" spans="1:35" x14ac:dyDescent="0.25">
      <c r="A103">
        <v>2024</v>
      </c>
      <c r="B103" s="19" t="s">
        <v>103</v>
      </c>
      <c r="C103" s="24" t="s">
        <v>31</v>
      </c>
      <c r="D103" s="19" t="s">
        <v>25</v>
      </c>
      <c r="E103" s="24">
        <v>1</v>
      </c>
      <c r="F103" s="19">
        <v>6</v>
      </c>
      <c r="G103" s="25">
        <v>45574</v>
      </c>
      <c r="H103" s="18">
        <v>282</v>
      </c>
      <c r="I103" s="19"/>
      <c r="J103" s="19" t="s">
        <v>107</v>
      </c>
      <c r="K103" s="19">
        <v>40800</v>
      </c>
      <c r="L103" s="19"/>
      <c r="M103" s="19"/>
      <c r="N103" s="19"/>
      <c r="O103" s="19"/>
      <c r="P103" s="19"/>
      <c r="Q103" s="19"/>
      <c r="R103" s="19"/>
      <c r="S103" s="19">
        <v>1204.5</v>
      </c>
      <c r="T103" s="19">
        <v>6240.932642487046</v>
      </c>
      <c r="U103" s="19">
        <v>1</v>
      </c>
      <c r="V103" s="19">
        <v>0.96499999999999997</v>
      </c>
      <c r="W103" s="27">
        <f t="shared" si="0"/>
        <v>0.96499999999999997</v>
      </c>
      <c r="X103" s="19"/>
      <c r="Y103" s="19"/>
      <c r="Z103" s="19"/>
      <c r="AA103" s="19"/>
      <c r="AB103" s="19"/>
      <c r="AC103" s="19">
        <v>2994.3005181347148</v>
      </c>
      <c r="AD103" s="19">
        <v>2994.3005181347153</v>
      </c>
      <c r="AE103" s="19"/>
      <c r="AF103" s="19">
        <v>0.47978414279784154</v>
      </c>
      <c r="AG103" s="19">
        <v>51.281698528973862</v>
      </c>
      <c r="AH103" s="19"/>
      <c r="AI103" s="19"/>
    </row>
    <row r="104" spans="1:35" x14ac:dyDescent="0.25">
      <c r="A104">
        <v>2024</v>
      </c>
      <c r="B104" s="19" t="s">
        <v>103</v>
      </c>
      <c r="C104" s="24" t="s">
        <v>32</v>
      </c>
      <c r="D104" s="19" t="s">
        <v>25</v>
      </c>
      <c r="E104" s="24">
        <v>1</v>
      </c>
      <c r="F104" s="19">
        <v>7</v>
      </c>
      <c r="G104" s="25">
        <v>45574</v>
      </c>
      <c r="H104" s="18">
        <v>282</v>
      </c>
      <c r="I104" s="19"/>
      <c r="J104" s="19" t="s">
        <v>107</v>
      </c>
      <c r="K104" s="19">
        <v>40800</v>
      </c>
      <c r="L104" s="19"/>
      <c r="M104" s="19"/>
      <c r="N104" s="19"/>
      <c r="O104" s="19"/>
      <c r="P104" s="19"/>
      <c r="Q104" s="19"/>
      <c r="R104" s="19"/>
      <c r="S104" s="19">
        <v>1357.5</v>
      </c>
      <c r="T104" s="19">
        <v>7033.6787564766846</v>
      </c>
      <c r="U104" s="19">
        <v>1</v>
      </c>
      <c r="V104" s="19">
        <v>0.96499999999999997</v>
      </c>
      <c r="W104" s="27">
        <f t="shared" si="0"/>
        <v>0.96499999999999997</v>
      </c>
      <c r="X104" s="19"/>
      <c r="Y104" s="19"/>
      <c r="Z104" s="19"/>
      <c r="AA104" s="19"/>
      <c r="AB104" s="19"/>
      <c r="AC104" s="19">
        <v>3138.8601036269433</v>
      </c>
      <c r="AD104" s="19">
        <v>3138.8601036269433</v>
      </c>
      <c r="AE104" s="19"/>
      <c r="AF104" s="19">
        <v>0.44626151012891346</v>
      </c>
      <c r="AG104" s="19">
        <v>53.757489131082139</v>
      </c>
      <c r="AH104" s="19"/>
      <c r="AI104" s="19"/>
    </row>
    <row r="105" spans="1:35" x14ac:dyDescent="0.25">
      <c r="A105">
        <v>2024</v>
      </c>
      <c r="B105" s="19" t="s">
        <v>103</v>
      </c>
      <c r="C105" s="24" t="s">
        <v>33</v>
      </c>
      <c r="D105" s="19" t="s">
        <v>25</v>
      </c>
      <c r="E105" s="24">
        <v>1</v>
      </c>
      <c r="F105" s="19">
        <v>8</v>
      </c>
      <c r="G105" s="25">
        <v>45574</v>
      </c>
      <c r="H105" s="18">
        <v>282</v>
      </c>
      <c r="I105" s="19"/>
      <c r="J105" s="19" t="s">
        <v>107</v>
      </c>
      <c r="K105" s="19">
        <v>40800</v>
      </c>
      <c r="L105" s="19"/>
      <c r="M105" s="19"/>
      <c r="N105" s="19"/>
      <c r="O105" s="19"/>
      <c r="P105" s="19"/>
      <c r="Q105" s="19"/>
      <c r="R105" s="19"/>
      <c r="S105" s="19">
        <v>1460.5</v>
      </c>
      <c r="T105" s="19">
        <v>7567.3575129533683</v>
      </c>
      <c r="U105" s="19">
        <v>1</v>
      </c>
      <c r="V105" s="19">
        <v>0.96499999999999997</v>
      </c>
      <c r="W105" s="27">
        <f t="shared" si="0"/>
        <v>0.96499999999999997</v>
      </c>
      <c r="X105" s="19"/>
      <c r="Y105" s="19"/>
      <c r="Z105" s="19"/>
      <c r="AA105" s="19"/>
      <c r="AB105" s="19"/>
      <c r="AC105" s="19">
        <v>3676.1658031088091</v>
      </c>
      <c r="AD105" s="19">
        <v>3676.1658031088086</v>
      </c>
      <c r="AE105" s="19"/>
      <c r="AF105" s="19">
        <v>0.48579253680246492</v>
      </c>
      <c r="AG105" s="19">
        <v>62.959621225656605</v>
      </c>
      <c r="AH105" s="19"/>
      <c r="AI105" s="19"/>
    </row>
    <row r="106" spans="1:35" x14ac:dyDescent="0.25">
      <c r="A106">
        <v>2024</v>
      </c>
      <c r="B106" s="19" t="s">
        <v>103</v>
      </c>
      <c r="C106" s="19" t="s">
        <v>27</v>
      </c>
      <c r="D106" s="19" t="s">
        <v>25</v>
      </c>
      <c r="E106" s="24">
        <v>2</v>
      </c>
      <c r="F106" s="19">
        <v>9</v>
      </c>
      <c r="G106" s="25">
        <v>45574</v>
      </c>
      <c r="H106" s="18">
        <v>282</v>
      </c>
      <c r="I106" s="19"/>
      <c r="J106" s="19" t="s">
        <v>107</v>
      </c>
      <c r="K106" s="19">
        <v>40800</v>
      </c>
      <c r="L106" s="19"/>
      <c r="M106" s="19"/>
      <c r="N106" s="19"/>
      <c r="O106" s="19"/>
      <c r="P106" s="19"/>
      <c r="Q106" s="19"/>
      <c r="R106" s="19"/>
      <c r="S106" s="19">
        <v>1424.5</v>
      </c>
      <c r="T106" s="19">
        <v>7380.8290155440427</v>
      </c>
      <c r="U106" s="19">
        <v>1</v>
      </c>
      <c r="V106" s="19">
        <v>0.96499999999999997</v>
      </c>
      <c r="W106" s="27">
        <f t="shared" si="0"/>
        <v>0.96499999999999997</v>
      </c>
      <c r="X106" s="19"/>
      <c r="Y106" s="19"/>
      <c r="Z106" s="19"/>
      <c r="AA106" s="19"/>
      <c r="AB106" s="19"/>
      <c r="AC106" s="19">
        <v>3482.9015544041449</v>
      </c>
      <c r="AD106" s="19">
        <v>3482.9015544041449</v>
      </c>
      <c r="AE106" s="19"/>
      <c r="AF106" s="19">
        <v>0.47188487188487177</v>
      </c>
      <c r="AG106" s="19">
        <v>59.649693288070985</v>
      </c>
      <c r="AH106" s="19"/>
      <c r="AI106" s="19"/>
    </row>
    <row r="107" spans="1:35" x14ac:dyDescent="0.25">
      <c r="A107">
        <v>2024</v>
      </c>
      <c r="B107" s="19" t="s">
        <v>103</v>
      </c>
      <c r="C107" s="24" t="s">
        <v>33</v>
      </c>
      <c r="D107" s="19" t="s">
        <v>25</v>
      </c>
      <c r="E107" s="24">
        <v>2</v>
      </c>
      <c r="F107" s="19">
        <v>10</v>
      </c>
      <c r="G107" s="25">
        <v>45574</v>
      </c>
      <c r="H107" s="18">
        <v>282</v>
      </c>
      <c r="I107" s="19"/>
      <c r="J107" s="19" t="s">
        <v>107</v>
      </c>
      <c r="K107" s="19">
        <v>40800</v>
      </c>
      <c r="L107" s="19"/>
      <c r="M107" s="19"/>
      <c r="N107" s="19"/>
      <c r="O107" s="19"/>
      <c r="P107" s="19"/>
      <c r="Q107" s="19"/>
      <c r="R107" s="19"/>
      <c r="S107" s="19">
        <v>1723.5</v>
      </c>
      <c r="T107" s="19">
        <v>8930.0518134715021</v>
      </c>
      <c r="U107" s="19">
        <v>1</v>
      </c>
      <c r="V107" s="19">
        <v>0.96499999999999997</v>
      </c>
      <c r="W107" s="27">
        <f t="shared" si="0"/>
        <v>0.96499999999999997</v>
      </c>
      <c r="X107" s="19"/>
      <c r="Y107" s="19"/>
      <c r="Z107" s="19"/>
      <c r="AA107" s="19"/>
      <c r="AB107" s="19"/>
      <c r="AC107" s="19">
        <v>1158.0310880829022</v>
      </c>
      <c r="AD107" s="19">
        <v>1158.0310880829022</v>
      </c>
      <c r="AE107" s="19"/>
      <c r="AF107" s="19">
        <v>0.12967798085291565</v>
      </c>
      <c r="AG107" s="19">
        <v>19.832946221189935</v>
      </c>
      <c r="AH107" s="19"/>
      <c r="AI107" s="19"/>
    </row>
    <row r="108" spans="1:35" x14ac:dyDescent="0.25">
      <c r="A108">
        <v>2024</v>
      </c>
      <c r="B108" s="19" t="s">
        <v>103</v>
      </c>
      <c r="C108" s="24" t="s">
        <v>32</v>
      </c>
      <c r="D108" s="19" t="s">
        <v>25</v>
      </c>
      <c r="E108" s="24">
        <v>2</v>
      </c>
      <c r="F108" s="19">
        <v>11</v>
      </c>
      <c r="G108" s="25">
        <v>45574</v>
      </c>
      <c r="H108" s="18">
        <v>282</v>
      </c>
      <c r="I108" s="19"/>
      <c r="J108" s="19" t="s">
        <v>107</v>
      </c>
      <c r="K108" s="19">
        <v>40800</v>
      </c>
      <c r="L108" s="19"/>
      <c r="M108" s="19"/>
      <c r="N108" s="19"/>
      <c r="O108" s="19"/>
      <c r="P108" s="19"/>
      <c r="Q108" s="19"/>
      <c r="R108" s="19"/>
      <c r="S108" s="19">
        <v>1328</v>
      </c>
      <c r="T108" s="19">
        <v>6880.8290155440418</v>
      </c>
      <c r="U108" s="19">
        <v>1</v>
      </c>
      <c r="V108" s="19">
        <v>0.96499999999999997</v>
      </c>
      <c r="W108" s="27">
        <f t="shared" si="0"/>
        <v>0.96499999999999997</v>
      </c>
      <c r="X108" s="19"/>
      <c r="Y108" s="19"/>
      <c r="Z108" s="19"/>
      <c r="AA108" s="19"/>
      <c r="AB108" s="19"/>
      <c r="AC108" s="19">
        <v>2423.3160621761654</v>
      </c>
      <c r="AD108" s="19">
        <v>2423.3160621761654</v>
      </c>
      <c r="AE108" s="19"/>
      <c r="AF108" s="19">
        <v>0.35218373493975896</v>
      </c>
      <c r="AG108" s="19">
        <v>41.502769340718238</v>
      </c>
      <c r="AH108" s="19"/>
      <c r="AI108" s="19"/>
    </row>
    <row r="109" spans="1:35" x14ac:dyDescent="0.25">
      <c r="A109">
        <v>2024</v>
      </c>
      <c r="B109" s="19" t="s">
        <v>103</v>
      </c>
      <c r="C109" s="24" t="s">
        <v>28</v>
      </c>
      <c r="D109" s="19" t="s">
        <v>25</v>
      </c>
      <c r="E109" s="24">
        <v>2</v>
      </c>
      <c r="F109" s="19">
        <v>12</v>
      </c>
      <c r="G109" s="25">
        <v>45574</v>
      </c>
      <c r="H109" s="18">
        <v>282</v>
      </c>
      <c r="I109" s="19"/>
      <c r="J109" s="19" t="s">
        <v>107</v>
      </c>
      <c r="K109" s="19">
        <v>40800</v>
      </c>
      <c r="L109" s="19"/>
      <c r="M109" s="19"/>
      <c r="N109" s="19"/>
      <c r="O109" s="19"/>
      <c r="P109" s="19"/>
      <c r="Q109" s="19"/>
      <c r="R109" s="19"/>
      <c r="S109" s="19">
        <v>1236.5</v>
      </c>
      <c r="T109" s="19">
        <v>6406.7357512953367</v>
      </c>
      <c r="U109" s="19">
        <v>1</v>
      </c>
      <c r="V109" s="19">
        <v>0.96499999999999997</v>
      </c>
      <c r="W109" s="27">
        <f t="shared" si="0"/>
        <v>0.96499999999999997</v>
      </c>
      <c r="X109" s="19"/>
      <c r="Y109" s="19"/>
      <c r="Z109" s="19"/>
      <c r="AA109" s="19"/>
      <c r="AB109" s="19"/>
      <c r="AC109" s="19">
        <v>698.44559585492254</v>
      </c>
      <c r="AD109" s="19">
        <v>698.44559585492266</v>
      </c>
      <c r="AE109" s="19"/>
      <c r="AF109" s="19">
        <v>0.10901738778811167</v>
      </c>
      <c r="AG109" s="19">
        <v>11.961884342802698</v>
      </c>
      <c r="AH109" s="19"/>
      <c r="AI109" s="19"/>
    </row>
    <row r="110" spans="1:35" x14ac:dyDescent="0.25">
      <c r="A110">
        <v>2024</v>
      </c>
      <c r="B110" s="19" t="s">
        <v>103</v>
      </c>
      <c r="C110" s="24" t="s">
        <v>31</v>
      </c>
      <c r="D110" s="19" t="s">
        <v>25</v>
      </c>
      <c r="E110" s="24">
        <v>2</v>
      </c>
      <c r="F110" s="19">
        <v>13</v>
      </c>
      <c r="G110" s="25">
        <v>45574</v>
      </c>
      <c r="H110" s="18">
        <v>282</v>
      </c>
      <c r="I110" s="19"/>
      <c r="J110" s="19" t="s">
        <v>107</v>
      </c>
      <c r="K110" s="19">
        <v>40800</v>
      </c>
      <c r="L110" s="19"/>
      <c r="M110" s="19"/>
      <c r="N110" s="19"/>
      <c r="O110" s="19"/>
      <c r="P110" s="19"/>
      <c r="Q110" s="19"/>
      <c r="R110" s="19"/>
      <c r="S110" s="19">
        <v>1082.5</v>
      </c>
      <c r="T110" s="19">
        <v>5608.8082901554408</v>
      </c>
      <c r="U110" s="19">
        <v>1</v>
      </c>
      <c r="V110" s="19">
        <v>0.96499999999999997</v>
      </c>
      <c r="W110" s="27">
        <f t="shared" si="0"/>
        <v>0.96499999999999997</v>
      </c>
      <c r="X110" s="19"/>
      <c r="Y110" s="19"/>
      <c r="Z110" s="19"/>
      <c r="AA110" s="19"/>
      <c r="AB110" s="19"/>
      <c r="AC110" s="19">
        <v>1831.6062176165801</v>
      </c>
      <c r="AD110" s="19">
        <v>1831.6062176165799</v>
      </c>
      <c r="AE110" s="19"/>
      <c r="AF110" s="19">
        <v>0.32655889145496525</v>
      </c>
      <c r="AG110" s="19">
        <v>31.368888094812689</v>
      </c>
      <c r="AH110" s="19"/>
      <c r="AI110" s="19"/>
    </row>
    <row r="111" spans="1:35" x14ac:dyDescent="0.25">
      <c r="A111">
        <v>2024</v>
      </c>
      <c r="B111" s="19" t="s">
        <v>103</v>
      </c>
      <c r="C111" s="24" t="s">
        <v>24</v>
      </c>
      <c r="D111" s="19" t="s">
        <v>25</v>
      </c>
      <c r="E111" s="24">
        <v>2</v>
      </c>
      <c r="F111" s="19">
        <v>14</v>
      </c>
      <c r="G111" s="25">
        <v>45574</v>
      </c>
      <c r="H111" s="18">
        <v>282</v>
      </c>
      <c r="I111" s="19"/>
      <c r="J111" s="19" t="s">
        <v>107</v>
      </c>
      <c r="K111" s="19">
        <v>40800</v>
      </c>
      <c r="L111" s="19"/>
      <c r="M111" s="19"/>
      <c r="N111" s="19"/>
      <c r="O111" s="19"/>
      <c r="P111" s="19"/>
      <c r="Q111" s="19"/>
      <c r="R111" s="19"/>
      <c r="S111" s="19">
        <v>0</v>
      </c>
      <c r="T111" s="19"/>
      <c r="U111" s="19">
        <v>1</v>
      </c>
      <c r="V111" s="19">
        <v>0.96499999999999997</v>
      </c>
      <c r="W111" s="27">
        <f t="shared" si="0"/>
        <v>0.96499999999999997</v>
      </c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</row>
    <row r="112" spans="1:35" x14ac:dyDescent="0.25">
      <c r="A112">
        <v>2024</v>
      </c>
      <c r="B112" s="19" t="s">
        <v>103</v>
      </c>
      <c r="C112" s="24" t="s">
        <v>30</v>
      </c>
      <c r="D112" s="19" t="s">
        <v>25</v>
      </c>
      <c r="E112" s="24">
        <v>2</v>
      </c>
      <c r="F112" s="19">
        <v>15</v>
      </c>
      <c r="G112" s="25">
        <v>45574</v>
      </c>
      <c r="H112" s="18">
        <v>282</v>
      </c>
      <c r="I112" s="19"/>
      <c r="J112" s="19" t="s">
        <v>107</v>
      </c>
      <c r="K112" s="19">
        <v>40800</v>
      </c>
      <c r="L112" s="19"/>
      <c r="M112" s="19"/>
      <c r="N112" s="19"/>
      <c r="O112" s="19"/>
      <c r="P112" s="19"/>
      <c r="Q112" s="19"/>
      <c r="R112" s="19"/>
      <c r="S112" s="19">
        <v>0</v>
      </c>
      <c r="T112" s="19"/>
      <c r="U112" s="19">
        <v>1</v>
      </c>
      <c r="V112" s="19">
        <v>0.96499999999999997</v>
      </c>
      <c r="W112" s="27">
        <f t="shared" si="0"/>
        <v>0.96499999999999997</v>
      </c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</row>
    <row r="113" spans="1:35" x14ac:dyDescent="0.25">
      <c r="A113">
        <v>2024</v>
      </c>
      <c r="B113" s="19" t="s">
        <v>103</v>
      </c>
      <c r="C113" s="24" t="s">
        <v>29</v>
      </c>
      <c r="D113" s="19" t="s">
        <v>25</v>
      </c>
      <c r="E113" s="24">
        <v>2</v>
      </c>
      <c r="F113" s="19">
        <v>16</v>
      </c>
      <c r="G113" s="25">
        <v>45574</v>
      </c>
      <c r="H113" s="18">
        <v>282</v>
      </c>
      <c r="I113" s="19"/>
      <c r="J113" s="19" t="s">
        <v>107</v>
      </c>
      <c r="K113" s="19">
        <v>40800</v>
      </c>
      <c r="L113" s="19"/>
      <c r="M113" s="19"/>
      <c r="N113" s="19"/>
      <c r="O113" s="19"/>
      <c r="P113" s="19"/>
      <c r="Q113" s="19"/>
      <c r="R113" s="19"/>
      <c r="S113" s="19">
        <v>0</v>
      </c>
      <c r="T113" s="19"/>
      <c r="U113" s="19">
        <v>1</v>
      </c>
      <c r="V113" s="19">
        <v>0.96499999999999997</v>
      </c>
      <c r="W113" s="27">
        <f t="shared" si="0"/>
        <v>0.96499999999999997</v>
      </c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</row>
    <row r="114" spans="1:35" x14ac:dyDescent="0.25">
      <c r="A114">
        <v>2024</v>
      </c>
      <c r="B114" s="19" t="s">
        <v>103</v>
      </c>
      <c r="C114" s="24" t="s">
        <v>33</v>
      </c>
      <c r="D114" s="19" t="s">
        <v>25</v>
      </c>
      <c r="E114" s="24">
        <v>3</v>
      </c>
      <c r="F114" s="19">
        <v>17</v>
      </c>
      <c r="G114" s="25">
        <v>45574</v>
      </c>
      <c r="H114" s="18">
        <v>282</v>
      </c>
      <c r="I114" s="19"/>
      <c r="J114" s="19" t="s">
        <v>107</v>
      </c>
      <c r="K114" s="19">
        <v>40800</v>
      </c>
      <c r="L114" s="19"/>
      <c r="M114" s="19"/>
      <c r="N114" s="19"/>
      <c r="O114" s="19"/>
      <c r="P114" s="19"/>
      <c r="Q114" s="19"/>
      <c r="R114" s="19"/>
      <c r="S114" s="19">
        <v>1796.5</v>
      </c>
      <c r="T114" s="19">
        <v>9308.2901554404143</v>
      </c>
      <c r="U114" s="19">
        <v>1</v>
      </c>
      <c r="V114" s="19">
        <v>0.96499999999999997</v>
      </c>
      <c r="W114" s="27">
        <f t="shared" si="0"/>
        <v>0.96499999999999997</v>
      </c>
      <c r="X114" s="19"/>
      <c r="Y114" s="19"/>
      <c r="Z114" s="19"/>
      <c r="AA114" s="19"/>
      <c r="AB114" s="19"/>
      <c r="AC114" s="19">
        <v>4432.6424870466326</v>
      </c>
      <c r="AD114" s="19">
        <v>4432.6424870466326</v>
      </c>
      <c r="AE114" s="19"/>
      <c r="AF114" s="19">
        <v>0.47620372947397721</v>
      </c>
      <c r="AG114" s="19">
        <v>75.915371329879108</v>
      </c>
      <c r="AH114" s="19"/>
      <c r="AI114" s="19"/>
    </row>
    <row r="115" spans="1:35" x14ac:dyDescent="0.25">
      <c r="A115">
        <v>2024</v>
      </c>
      <c r="B115" s="19" t="s">
        <v>103</v>
      </c>
      <c r="C115" s="24" t="s">
        <v>27</v>
      </c>
      <c r="D115" s="19" t="s">
        <v>25</v>
      </c>
      <c r="E115" s="24">
        <v>3</v>
      </c>
      <c r="F115" s="19">
        <v>18</v>
      </c>
      <c r="G115" s="25">
        <v>45574</v>
      </c>
      <c r="H115" s="18">
        <v>282</v>
      </c>
      <c r="I115" s="19"/>
      <c r="J115" s="19" t="s">
        <v>107</v>
      </c>
      <c r="K115" s="19">
        <v>40800</v>
      </c>
      <c r="L115" s="19"/>
      <c r="M115" s="19"/>
      <c r="N115" s="19"/>
      <c r="O115" s="19"/>
      <c r="P115" s="19"/>
      <c r="Q115" s="19"/>
      <c r="R115" s="19"/>
      <c r="S115" s="19">
        <v>1191</v>
      </c>
      <c r="T115" s="19">
        <v>6170.984455958549</v>
      </c>
      <c r="U115" s="19">
        <v>1</v>
      </c>
      <c r="V115" s="19">
        <v>0.96499999999999997</v>
      </c>
      <c r="W115" s="27">
        <f t="shared" si="0"/>
        <v>0.96499999999999997</v>
      </c>
      <c r="X115" s="19"/>
      <c r="Y115" s="19"/>
      <c r="Z115" s="19"/>
      <c r="AA115" s="19"/>
      <c r="AB115" s="19"/>
      <c r="AC115" s="19">
        <v>3411.3989637305699</v>
      </c>
      <c r="AD115" s="19">
        <v>3411.3989637305699</v>
      </c>
      <c r="AE115" s="19"/>
      <c r="AF115" s="19">
        <v>0.55281276238455079</v>
      </c>
      <c r="AG115" s="19">
        <v>58.425108689178721</v>
      </c>
      <c r="AH115" s="19"/>
      <c r="AI115" s="19"/>
    </row>
    <row r="116" spans="1:35" x14ac:dyDescent="0.25">
      <c r="A116">
        <v>2024</v>
      </c>
      <c r="B116" s="19" t="s">
        <v>103</v>
      </c>
      <c r="C116" s="24" t="s">
        <v>29</v>
      </c>
      <c r="D116" s="19" t="s">
        <v>25</v>
      </c>
      <c r="E116" s="24">
        <v>3</v>
      </c>
      <c r="F116" s="19">
        <v>19</v>
      </c>
      <c r="G116" s="25">
        <v>45574</v>
      </c>
      <c r="H116" s="18">
        <v>282</v>
      </c>
      <c r="I116" s="19"/>
      <c r="J116" s="19" t="s">
        <v>107</v>
      </c>
      <c r="K116" s="19">
        <v>40800</v>
      </c>
      <c r="L116" s="19"/>
      <c r="M116" s="19"/>
      <c r="N116" s="19"/>
      <c r="O116" s="19"/>
      <c r="P116" s="19"/>
      <c r="Q116" s="19"/>
      <c r="R116" s="19"/>
      <c r="S116" s="19">
        <v>1269.5</v>
      </c>
      <c r="T116" s="19">
        <v>6577.7202072538867</v>
      </c>
      <c r="U116" s="19">
        <v>1</v>
      </c>
      <c r="V116" s="19">
        <v>0.96499999999999997</v>
      </c>
      <c r="W116" s="27">
        <f t="shared" si="0"/>
        <v>0.96499999999999997</v>
      </c>
      <c r="X116" s="19"/>
      <c r="Y116" s="19"/>
      <c r="Z116" s="19"/>
      <c r="AA116" s="19"/>
      <c r="AB116" s="19"/>
      <c r="AC116" s="19">
        <v>3033.1606217616586</v>
      </c>
      <c r="AD116" s="19">
        <v>3033.1606217616581</v>
      </c>
      <c r="AE116" s="19"/>
      <c r="AF116" s="19">
        <v>0.46112642772745172</v>
      </c>
      <c r="AG116" s="19">
        <v>51.947233637067477</v>
      </c>
      <c r="AH116" s="19"/>
      <c r="AI116" s="19"/>
    </row>
    <row r="117" spans="1:35" x14ac:dyDescent="0.25">
      <c r="A117">
        <v>2024</v>
      </c>
      <c r="B117" s="19" t="s">
        <v>103</v>
      </c>
      <c r="C117" s="24" t="s">
        <v>31</v>
      </c>
      <c r="D117" s="19" t="s">
        <v>25</v>
      </c>
      <c r="E117" s="24">
        <v>3</v>
      </c>
      <c r="F117" s="19">
        <v>20</v>
      </c>
      <c r="G117" s="25">
        <v>45574</v>
      </c>
      <c r="H117" s="18">
        <v>282</v>
      </c>
      <c r="I117" s="19"/>
      <c r="J117" s="19" t="s">
        <v>107</v>
      </c>
      <c r="K117" s="19">
        <v>40800</v>
      </c>
      <c r="L117" s="19"/>
      <c r="M117" s="19"/>
      <c r="N117" s="19"/>
      <c r="O117" s="19"/>
      <c r="P117" s="19"/>
      <c r="Q117" s="19"/>
      <c r="R117" s="19"/>
      <c r="S117" s="19">
        <v>1197.5</v>
      </c>
      <c r="T117" s="19">
        <v>6204.6632124352336</v>
      </c>
      <c r="U117" s="19">
        <v>1</v>
      </c>
      <c r="V117" s="19">
        <v>0.96499999999999997</v>
      </c>
      <c r="W117" s="27">
        <f t="shared" si="0"/>
        <v>0.96499999999999997</v>
      </c>
      <c r="X117" s="19"/>
      <c r="Y117" s="19"/>
      <c r="Z117" s="19"/>
      <c r="AA117" s="19"/>
      <c r="AB117" s="19"/>
      <c r="AC117" s="19">
        <v>2832.1243523316057</v>
      </c>
      <c r="AD117" s="19">
        <v>2832.1243523316057</v>
      </c>
      <c r="AE117" s="19"/>
      <c r="AF117" s="19">
        <v>0.45645093945720239</v>
      </c>
      <c r="AG117" s="19">
        <v>48.50419867786313</v>
      </c>
      <c r="AH117" s="19"/>
      <c r="AI117" s="19"/>
    </row>
    <row r="118" spans="1:35" x14ac:dyDescent="0.25">
      <c r="A118">
        <v>2024</v>
      </c>
      <c r="B118" s="19" t="s">
        <v>103</v>
      </c>
      <c r="C118" s="24" t="s">
        <v>30</v>
      </c>
      <c r="D118" s="19" t="s">
        <v>25</v>
      </c>
      <c r="E118" s="24">
        <v>3</v>
      </c>
      <c r="F118" s="19">
        <v>21</v>
      </c>
      <c r="G118" s="25">
        <v>45574</v>
      </c>
      <c r="H118" s="18">
        <v>282</v>
      </c>
      <c r="I118" s="19"/>
      <c r="J118" s="19" t="s">
        <v>107</v>
      </c>
      <c r="K118" s="19">
        <v>40800</v>
      </c>
      <c r="L118" s="19"/>
      <c r="M118" s="19"/>
      <c r="N118" s="19"/>
      <c r="O118" s="19"/>
      <c r="P118" s="19"/>
      <c r="Q118" s="19"/>
      <c r="R118" s="19"/>
      <c r="S118" s="19">
        <v>1671</v>
      </c>
      <c r="T118" s="19">
        <v>8658.031088082902</v>
      </c>
      <c r="U118" s="19">
        <v>1</v>
      </c>
      <c r="V118" s="19">
        <v>0.96499999999999997</v>
      </c>
      <c r="W118" s="27">
        <f t="shared" si="0"/>
        <v>0.96499999999999997</v>
      </c>
      <c r="X118" s="19"/>
      <c r="Y118" s="19"/>
      <c r="Z118" s="19"/>
      <c r="AA118" s="19"/>
      <c r="AB118" s="19"/>
      <c r="AC118" s="19">
        <v>3780.8290155440409</v>
      </c>
      <c r="AD118" s="19">
        <v>3780.8290155440409</v>
      </c>
      <c r="AE118" s="19"/>
      <c r="AF118" s="19">
        <v>0.43668461998803104</v>
      </c>
      <c r="AG118" s="19">
        <v>64.752129116788751</v>
      </c>
      <c r="AH118" s="19"/>
      <c r="AI118" s="19"/>
    </row>
    <row r="119" spans="1:35" x14ac:dyDescent="0.25">
      <c r="A119">
        <v>2024</v>
      </c>
      <c r="B119" s="19" t="s">
        <v>103</v>
      </c>
      <c r="C119" s="24" t="s">
        <v>32</v>
      </c>
      <c r="D119" s="19" t="s">
        <v>25</v>
      </c>
      <c r="E119" s="24">
        <v>3</v>
      </c>
      <c r="F119" s="19">
        <v>22</v>
      </c>
      <c r="G119" s="25">
        <v>45574</v>
      </c>
      <c r="H119" s="18">
        <v>282</v>
      </c>
      <c r="I119" s="19"/>
      <c r="J119" s="19" t="s">
        <v>107</v>
      </c>
      <c r="K119" s="19">
        <v>40800</v>
      </c>
      <c r="L119" s="19"/>
      <c r="M119" s="19"/>
      <c r="N119" s="19"/>
      <c r="O119" s="19"/>
      <c r="P119" s="19"/>
      <c r="Q119" s="19"/>
      <c r="R119" s="19"/>
      <c r="S119" s="19">
        <v>1086.5</v>
      </c>
      <c r="T119" s="19">
        <v>5629.5336787564765</v>
      </c>
      <c r="U119" s="19">
        <v>1</v>
      </c>
      <c r="V119" s="19">
        <v>0.96499999999999997</v>
      </c>
      <c r="W119" s="27">
        <f t="shared" si="0"/>
        <v>0.96499999999999997</v>
      </c>
      <c r="X119" s="19"/>
      <c r="Y119" s="19"/>
      <c r="Z119" s="19"/>
      <c r="AA119" s="19"/>
      <c r="AB119" s="19"/>
      <c r="AC119" s="19">
        <v>2523.8341968911918</v>
      </c>
      <c r="AD119" s="19">
        <v>2523.8341968911918</v>
      </c>
      <c r="AE119" s="19"/>
      <c r="AF119" s="19">
        <v>0.44832029452369998</v>
      </c>
      <c r="AG119" s="19">
        <v>43.224286820320408</v>
      </c>
      <c r="AH119" s="19"/>
      <c r="AI119" s="19"/>
    </row>
    <row r="120" spans="1:35" x14ac:dyDescent="0.25">
      <c r="A120">
        <v>2024</v>
      </c>
      <c r="B120" s="19" t="s">
        <v>103</v>
      </c>
      <c r="C120" s="24" t="s">
        <v>24</v>
      </c>
      <c r="D120" s="19" t="s">
        <v>25</v>
      </c>
      <c r="E120" s="24">
        <v>3</v>
      </c>
      <c r="F120" s="19">
        <v>23</v>
      </c>
      <c r="G120" s="25">
        <v>45574</v>
      </c>
      <c r="H120" s="18">
        <v>282</v>
      </c>
      <c r="I120" s="19"/>
      <c r="J120" s="19" t="s">
        <v>107</v>
      </c>
      <c r="K120" s="19">
        <v>40800</v>
      </c>
      <c r="L120" s="19"/>
      <c r="M120" s="19"/>
      <c r="N120" s="19"/>
      <c r="O120" s="19"/>
      <c r="P120" s="19"/>
      <c r="Q120" s="19"/>
      <c r="R120" s="19"/>
      <c r="S120" s="19">
        <v>1539.5</v>
      </c>
      <c r="T120" s="19">
        <v>7976.6839378238346</v>
      </c>
      <c r="U120" s="19">
        <v>1</v>
      </c>
      <c r="V120" s="19">
        <v>0.96499999999999997</v>
      </c>
      <c r="W120" s="27">
        <f t="shared" si="0"/>
        <v>0.96499999999999997</v>
      </c>
      <c r="X120" s="19"/>
      <c r="Y120" s="19"/>
      <c r="Z120" s="19"/>
      <c r="AA120" s="19"/>
      <c r="AB120" s="19"/>
      <c r="AC120" s="19">
        <v>3748.1865284974087</v>
      </c>
      <c r="AD120" s="19">
        <v>3748.1865284974092</v>
      </c>
      <c r="AE120" s="19"/>
      <c r="AF120" s="19">
        <v>0.46989282234491714</v>
      </c>
      <c r="AG120" s="19">
        <v>64.193079625990109</v>
      </c>
      <c r="AH120" s="19"/>
      <c r="AI120" s="19"/>
    </row>
    <row r="121" spans="1:35" x14ac:dyDescent="0.25">
      <c r="A121">
        <v>2024</v>
      </c>
      <c r="B121" s="19" t="s">
        <v>103</v>
      </c>
      <c r="C121" s="24" t="s">
        <v>28</v>
      </c>
      <c r="D121" s="19" t="s">
        <v>25</v>
      </c>
      <c r="E121" s="24">
        <v>3</v>
      </c>
      <c r="F121" s="19">
        <v>24</v>
      </c>
      <c r="G121" s="25">
        <v>45574</v>
      </c>
      <c r="H121" s="18">
        <v>282</v>
      </c>
      <c r="I121" s="19"/>
      <c r="J121" s="19" t="s">
        <v>107</v>
      </c>
      <c r="K121" s="19">
        <v>40800</v>
      </c>
      <c r="L121" s="19"/>
      <c r="M121" s="19"/>
      <c r="N121" s="19"/>
      <c r="O121" s="19"/>
      <c r="P121" s="19"/>
      <c r="Q121" s="19"/>
      <c r="R121" s="19"/>
      <c r="S121" s="19">
        <v>1359</v>
      </c>
      <c r="T121" s="19">
        <v>7041.4507772020725</v>
      </c>
      <c r="U121" s="19">
        <v>1</v>
      </c>
      <c r="V121" s="19">
        <v>0.96499999999999997</v>
      </c>
      <c r="W121" s="27">
        <f t="shared" si="0"/>
        <v>0.96499999999999997</v>
      </c>
      <c r="X121" s="19"/>
      <c r="Y121" s="19"/>
      <c r="Z121" s="19"/>
      <c r="AA121" s="19"/>
      <c r="AB121" s="19"/>
      <c r="AC121" s="19">
        <v>3338.8601036269429</v>
      </c>
      <c r="AD121" s="19">
        <v>3338.8601036269433</v>
      </c>
      <c r="AE121" s="19"/>
      <c r="AF121" s="19">
        <v>0.47417218543046363</v>
      </c>
      <c r="AG121" s="19">
        <v>57.18277648740397</v>
      </c>
      <c r="AH121" s="19"/>
      <c r="AI121" s="19"/>
    </row>
    <row r="122" spans="1:35" x14ac:dyDescent="0.25">
      <c r="A122">
        <v>2024</v>
      </c>
      <c r="B122">
        <v>3</v>
      </c>
      <c r="C122" t="s">
        <v>24</v>
      </c>
      <c r="D122" t="s">
        <v>25</v>
      </c>
      <c r="E122">
        <v>1</v>
      </c>
      <c r="F122">
        <v>1</v>
      </c>
      <c r="G122" s="12">
        <v>45538</v>
      </c>
      <c r="H122">
        <v>246</v>
      </c>
      <c r="J122" t="s">
        <v>26</v>
      </c>
      <c r="K122">
        <v>37100</v>
      </c>
      <c r="L122">
        <v>33.6</v>
      </c>
      <c r="M122">
        <v>0.30000000000000071</v>
      </c>
      <c r="N122">
        <v>89.89</v>
      </c>
      <c r="O122">
        <v>70.3</v>
      </c>
      <c r="P122">
        <v>31.000000000000004</v>
      </c>
      <c r="R122">
        <v>225.09</v>
      </c>
      <c r="S122">
        <v>261.5</v>
      </c>
      <c r="T122">
        <v>4984.5733041575495</v>
      </c>
      <c r="U122">
        <v>1</v>
      </c>
      <c r="V122">
        <v>0.91400000000000003</v>
      </c>
      <c r="W122">
        <v>0.91400000000000003</v>
      </c>
      <c r="X122">
        <v>862.90722355450396</v>
      </c>
      <c r="Y122">
        <v>7.7045287817366601</v>
      </c>
      <c r="Z122" s="16">
        <v>2308.5336406343554</v>
      </c>
      <c r="AA122">
        <v>1805.427911186953</v>
      </c>
      <c r="AB122">
        <v>796.13464077945309</v>
      </c>
    </row>
    <row r="123" spans="1:35" x14ac:dyDescent="0.25">
      <c r="A123">
        <v>2024</v>
      </c>
      <c r="B123">
        <v>3</v>
      </c>
      <c r="C123" t="s">
        <v>27</v>
      </c>
      <c r="D123" t="s">
        <v>25</v>
      </c>
      <c r="E123">
        <v>1</v>
      </c>
      <c r="F123">
        <v>2</v>
      </c>
      <c r="G123" s="12"/>
      <c r="J123" t="s">
        <v>26</v>
      </c>
      <c r="K123">
        <v>37100</v>
      </c>
      <c r="L123">
        <v>0</v>
      </c>
      <c r="M123">
        <v>0</v>
      </c>
      <c r="N123">
        <v>0</v>
      </c>
      <c r="O123">
        <v>0</v>
      </c>
      <c r="P123">
        <v>0</v>
      </c>
      <c r="R123">
        <v>0</v>
      </c>
      <c r="S123">
        <v>0</v>
      </c>
      <c r="U123">
        <v>1</v>
      </c>
      <c r="V123">
        <v>0.91400000000000003</v>
      </c>
      <c r="W123">
        <v>0.91400000000000003</v>
      </c>
      <c r="X123">
        <v>0</v>
      </c>
      <c r="Y123">
        <v>0</v>
      </c>
      <c r="Z123" s="16">
        <v>0</v>
      </c>
      <c r="AA123">
        <v>0</v>
      </c>
      <c r="AB123">
        <v>0</v>
      </c>
    </row>
    <row r="124" spans="1:35" x14ac:dyDescent="0.25">
      <c r="A124">
        <v>2024</v>
      </c>
      <c r="B124">
        <v>3</v>
      </c>
      <c r="C124" t="s">
        <v>28</v>
      </c>
      <c r="D124" t="s">
        <v>25</v>
      </c>
      <c r="E124">
        <v>1</v>
      </c>
      <c r="F124">
        <v>3</v>
      </c>
      <c r="G124" s="12"/>
      <c r="J124" t="s">
        <v>26</v>
      </c>
      <c r="K124">
        <v>37100</v>
      </c>
      <c r="L124">
        <v>0</v>
      </c>
      <c r="M124">
        <v>0</v>
      </c>
      <c r="N124">
        <v>0</v>
      </c>
      <c r="O124">
        <v>0</v>
      </c>
      <c r="P124">
        <v>0</v>
      </c>
      <c r="R124">
        <v>0</v>
      </c>
      <c r="S124">
        <v>0</v>
      </c>
      <c r="U124">
        <v>1</v>
      </c>
      <c r="V124">
        <v>0.91400000000000003</v>
      </c>
      <c r="W124">
        <v>0.91400000000000003</v>
      </c>
      <c r="X124">
        <v>0</v>
      </c>
      <c r="Y124">
        <v>0</v>
      </c>
      <c r="Z124" s="16">
        <v>0</v>
      </c>
      <c r="AA124">
        <v>0</v>
      </c>
      <c r="AB124">
        <v>0</v>
      </c>
    </row>
    <row r="125" spans="1:35" x14ac:dyDescent="0.25">
      <c r="A125">
        <v>2024</v>
      </c>
      <c r="B125">
        <v>3</v>
      </c>
      <c r="C125" t="s">
        <v>29</v>
      </c>
      <c r="D125" t="s">
        <v>25</v>
      </c>
      <c r="E125">
        <v>1</v>
      </c>
      <c r="F125">
        <v>4</v>
      </c>
      <c r="G125" s="12">
        <v>45538</v>
      </c>
      <c r="H125">
        <v>246</v>
      </c>
      <c r="J125" t="s">
        <v>26</v>
      </c>
      <c r="K125">
        <v>37100</v>
      </c>
      <c r="L125">
        <v>12.600000000000001</v>
      </c>
      <c r="M125">
        <v>0.30000000000000071</v>
      </c>
      <c r="N125">
        <v>35.89</v>
      </c>
      <c r="O125">
        <v>32.299999999999997</v>
      </c>
      <c r="P125">
        <v>19.000000000000004</v>
      </c>
      <c r="R125">
        <v>100.09</v>
      </c>
      <c r="S125">
        <v>166.5</v>
      </c>
      <c r="T125">
        <v>2708.8621444201312</v>
      </c>
      <c r="U125">
        <v>1</v>
      </c>
      <c r="V125">
        <v>0.91400000000000003</v>
      </c>
      <c r="W125">
        <v>0.91400000000000003</v>
      </c>
      <c r="X125">
        <v>420.91087704641336</v>
      </c>
      <c r="Y125">
        <v>10.021687548724151</v>
      </c>
      <c r="Z125" s="16">
        <v>1198.9278870790297</v>
      </c>
      <c r="AA125">
        <v>1079.0016927459642</v>
      </c>
      <c r="AB125">
        <v>634.70687808586149</v>
      </c>
      <c r="AH125">
        <v>64.77</v>
      </c>
      <c r="AI125">
        <v>14.6</v>
      </c>
    </row>
    <row r="126" spans="1:35" x14ac:dyDescent="0.25">
      <c r="A126">
        <v>2024</v>
      </c>
      <c r="B126">
        <v>3</v>
      </c>
      <c r="C126" t="s">
        <v>30</v>
      </c>
      <c r="D126" t="s">
        <v>25</v>
      </c>
      <c r="E126">
        <v>1</v>
      </c>
      <c r="F126">
        <v>5</v>
      </c>
      <c r="G126" s="12"/>
      <c r="J126" t="s">
        <v>26</v>
      </c>
      <c r="K126">
        <v>37100</v>
      </c>
      <c r="L126">
        <v>0</v>
      </c>
      <c r="M126">
        <v>0</v>
      </c>
      <c r="N126">
        <v>0</v>
      </c>
      <c r="O126">
        <v>0</v>
      </c>
      <c r="P126">
        <v>0</v>
      </c>
      <c r="R126">
        <v>0</v>
      </c>
      <c r="S126">
        <v>0</v>
      </c>
      <c r="U126">
        <v>1</v>
      </c>
      <c r="V126">
        <v>0.91400000000000003</v>
      </c>
      <c r="W126">
        <v>0.91400000000000003</v>
      </c>
      <c r="X126">
        <v>0</v>
      </c>
      <c r="Y126">
        <v>0</v>
      </c>
      <c r="Z126" s="16">
        <v>0</v>
      </c>
      <c r="AA126">
        <v>0</v>
      </c>
      <c r="AB126">
        <v>0</v>
      </c>
    </row>
    <row r="127" spans="1:35" x14ac:dyDescent="0.25">
      <c r="A127">
        <v>2024</v>
      </c>
      <c r="B127">
        <v>3</v>
      </c>
      <c r="C127" t="s">
        <v>31</v>
      </c>
      <c r="D127" t="s">
        <v>25</v>
      </c>
      <c r="E127">
        <v>1</v>
      </c>
      <c r="F127">
        <v>6</v>
      </c>
      <c r="G127" s="12"/>
      <c r="J127" t="s">
        <v>26</v>
      </c>
      <c r="K127">
        <v>37100</v>
      </c>
      <c r="L127">
        <v>0</v>
      </c>
      <c r="M127">
        <v>0</v>
      </c>
      <c r="N127">
        <v>0</v>
      </c>
      <c r="O127">
        <v>0</v>
      </c>
      <c r="P127">
        <v>0</v>
      </c>
      <c r="R127">
        <v>0</v>
      </c>
      <c r="S127">
        <v>0</v>
      </c>
      <c r="U127">
        <v>1</v>
      </c>
      <c r="V127">
        <v>0.91400000000000003</v>
      </c>
      <c r="W127">
        <v>0.91400000000000003</v>
      </c>
      <c r="X127">
        <v>0</v>
      </c>
      <c r="Y127">
        <v>0</v>
      </c>
      <c r="Z127" s="16">
        <v>0</v>
      </c>
      <c r="AA127">
        <v>0</v>
      </c>
      <c r="AB127">
        <v>0</v>
      </c>
    </row>
    <row r="128" spans="1:35" x14ac:dyDescent="0.25">
      <c r="A128">
        <v>2024</v>
      </c>
      <c r="B128">
        <v>3</v>
      </c>
      <c r="C128" t="s">
        <v>32</v>
      </c>
      <c r="D128" t="s">
        <v>25</v>
      </c>
      <c r="E128">
        <v>1</v>
      </c>
      <c r="F128">
        <v>7</v>
      </c>
      <c r="G128" s="12"/>
      <c r="J128" t="s">
        <v>26</v>
      </c>
      <c r="K128">
        <v>37100</v>
      </c>
      <c r="L128">
        <v>0</v>
      </c>
      <c r="M128">
        <v>0</v>
      </c>
      <c r="N128">
        <v>0</v>
      </c>
      <c r="O128">
        <v>0</v>
      </c>
      <c r="P128">
        <v>0</v>
      </c>
      <c r="R128">
        <v>0</v>
      </c>
      <c r="S128">
        <v>0</v>
      </c>
      <c r="U128">
        <v>1</v>
      </c>
      <c r="V128">
        <v>0.91400000000000003</v>
      </c>
      <c r="W128">
        <v>0.91400000000000003</v>
      </c>
      <c r="X128">
        <v>0</v>
      </c>
      <c r="Y128">
        <v>0</v>
      </c>
      <c r="Z128" s="16">
        <v>0</v>
      </c>
      <c r="AA128">
        <v>0</v>
      </c>
      <c r="AB128">
        <v>0</v>
      </c>
    </row>
    <row r="129" spans="1:35" x14ac:dyDescent="0.25">
      <c r="A129">
        <v>2024</v>
      </c>
      <c r="B129">
        <v>3</v>
      </c>
      <c r="C129" t="s">
        <v>33</v>
      </c>
      <c r="D129" t="s">
        <v>25</v>
      </c>
      <c r="E129">
        <v>1</v>
      </c>
      <c r="F129">
        <v>8</v>
      </c>
      <c r="G129" s="12"/>
      <c r="J129" t="s">
        <v>26</v>
      </c>
      <c r="K129">
        <v>37100</v>
      </c>
      <c r="L129">
        <v>0</v>
      </c>
      <c r="M129">
        <v>0</v>
      </c>
      <c r="N129">
        <v>0</v>
      </c>
      <c r="O129">
        <v>0</v>
      </c>
      <c r="P129">
        <v>0</v>
      </c>
      <c r="R129">
        <v>0</v>
      </c>
      <c r="S129">
        <v>0</v>
      </c>
      <c r="U129">
        <v>1</v>
      </c>
      <c r="V129">
        <v>0.91400000000000003</v>
      </c>
      <c r="W129">
        <v>0.91400000000000003</v>
      </c>
      <c r="X129">
        <v>0</v>
      </c>
      <c r="Y129">
        <v>0</v>
      </c>
      <c r="Z129" s="16">
        <v>0</v>
      </c>
      <c r="AA129">
        <v>0</v>
      </c>
      <c r="AB129">
        <v>0</v>
      </c>
    </row>
    <row r="130" spans="1:35" x14ac:dyDescent="0.25">
      <c r="A130">
        <v>2024</v>
      </c>
      <c r="B130">
        <v>3</v>
      </c>
      <c r="C130" t="s">
        <v>34</v>
      </c>
      <c r="D130" t="s">
        <v>25</v>
      </c>
      <c r="E130">
        <v>1</v>
      </c>
      <c r="F130">
        <v>9</v>
      </c>
      <c r="G130" s="12">
        <v>45538</v>
      </c>
      <c r="H130">
        <v>246</v>
      </c>
      <c r="J130" t="s">
        <v>26</v>
      </c>
      <c r="K130">
        <v>37100</v>
      </c>
      <c r="L130">
        <v>29.6</v>
      </c>
      <c r="M130">
        <v>1.3000000000000007</v>
      </c>
      <c r="N130">
        <v>48.89</v>
      </c>
      <c r="O130">
        <v>95.3</v>
      </c>
      <c r="P130">
        <v>41.8</v>
      </c>
      <c r="R130">
        <v>216.89</v>
      </c>
      <c r="S130">
        <v>143.5</v>
      </c>
      <c r="T130">
        <v>3485.6673960612684</v>
      </c>
      <c r="U130">
        <v>1</v>
      </c>
      <c r="V130">
        <v>0.91400000000000003</v>
      </c>
      <c r="W130">
        <v>0.91400000000000003</v>
      </c>
      <c r="X130">
        <v>589.2726878943032</v>
      </c>
      <c r="Y130">
        <v>25.88021940076333</v>
      </c>
      <c r="Z130" s="16">
        <v>973.29532807947578</v>
      </c>
      <c r="AA130">
        <v>1897.2191606867259</v>
      </c>
      <c r="AB130">
        <v>832.14859303992807</v>
      </c>
      <c r="AH130">
        <v>30.988</v>
      </c>
      <c r="AI130">
        <v>10.4</v>
      </c>
    </row>
    <row r="131" spans="1:35" x14ac:dyDescent="0.25">
      <c r="A131">
        <v>2024</v>
      </c>
      <c r="B131">
        <v>3</v>
      </c>
      <c r="C131" t="s">
        <v>35</v>
      </c>
      <c r="D131" t="s">
        <v>25</v>
      </c>
      <c r="E131">
        <v>1</v>
      </c>
      <c r="F131">
        <v>10</v>
      </c>
      <c r="G131" s="12">
        <v>45538</v>
      </c>
      <c r="H131">
        <v>246</v>
      </c>
      <c r="J131" t="s">
        <v>26</v>
      </c>
      <c r="K131">
        <v>37100</v>
      </c>
      <c r="L131">
        <v>12.600000000000001</v>
      </c>
      <c r="M131">
        <v>3.3000000000000007</v>
      </c>
      <c r="N131">
        <v>35.89</v>
      </c>
      <c r="O131">
        <v>72.3</v>
      </c>
      <c r="P131">
        <v>37.900000000000006</v>
      </c>
      <c r="R131">
        <v>161.99</v>
      </c>
      <c r="S131">
        <v>175.5</v>
      </c>
      <c r="T131">
        <v>3277.7899343544859</v>
      </c>
      <c r="U131">
        <v>1</v>
      </c>
      <c r="V131">
        <v>0.91400000000000003</v>
      </c>
      <c r="W131">
        <v>0.91400000000000003</v>
      </c>
      <c r="X131">
        <v>332.82418545303028</v>
      </c>
      <c r="Y131">
        <v>87.168239047222215</v>
      </c>
      <c r="Z131" s="16">
        <v>948.02063618327406</v>
      </c>
      <c r="AA131">
        <v>1909.776873670959</v>
      </c>
      <c r="AB131">
        <v>1001.1140181484005</v>
      </c>
      <c r="AH131">
        <v>52.07</v>
      </c>
      <c r="AI131">
        <v>15</v>
      </c>
    </row>
    <row r="132" spans="1:35" x14ac:dyDescent="0.25">
      <c r="A132">
        <v>2024</v>
      </c>
      <c r="B132">
        <v>3</v>
      </c>
      <c r="C132" t="s">
        <v>36</v>
      </c>
      <c r="D132" t="s">
        <v>25</v>
      </c>
      <c r="E132">
        <v>1</v>
      </c>
      <c r="F132">
        <v>11</v>
      </c>
      <c r="G132" s="12"/>
      <c r="J132" t="s">
        <v>26</v>
      </c>
      <c r="K132">
        <v>37100</v>
      </c>
      <c r="L132">
        <v>0</v>
      </c>
      <c r="M132">
        <v>0</v>
      </c>
      <c r="N132">
        <v>0</v>
      </c>
      <c r="O132">
        <v>0</v>
      </c>
      <c r="P132">
        <v>0</v>
      </c>
      <c r="R132">
        <v>0</v>
      </c>
      <c r="S132">
        <v>0</v>
      </c>
      <c r="U132">
        <v>1</v>
      </c>
      <c r="V132">
        <v>0.91400000000000003</v>
      </c>
      <c r="W132">
        <v>0.91400000000000003</v>
      </c>
      <c r="X132">
        <v>0</v>
      </c>
      <c r="Y132">
        <v>0</v>
      </c>
      <c r="Z132" s="16">
        <v>0</v>
      </c>
      <c r="AA132">
        <v>0</v>
      </c>
      <c r="AB132">
        <v>0</v>
      </c>
    </row>
    <row r="133" spans="1:35" x14ac:dyDescent="0.25">
      <c r="A133">
        <v>2024</v>
      </c>
      <c r="B133">
        <v>3</v>
      </c>
      <c r="C133" t="s">
        <v>37</v>
      </c>
      <c r="D133" t="s">
        <v>25</v>
      </c>
      <c r="E133">
        <v>1</v>
      </c>
      <c r="F133">
        <v>12</v>
      </c>
      <c r="G133" s="12"/>
      <c r="J133" t="s">
        <v>26</v>
      </c>
      <c r="K133">
        <v>37100</v>
      </c>
      <c r="L133">
        <v>0</v>
      </c>
      <c r="M133">
        <v>0</v>
      </c>
      <c r="N133">
        <v>0</v>
      </c>
      <c r="O133">
        <v>0</v>
      </c>
      <c r="P133">
        <v>0</v>
      </c>
      <c r="R133">
        <v>0</v>
      </c>
      <c r="S133">
        <v>0</v>
      </c>
      <c r="U133">
        <v>1</v>
      </c>
      <c r="V133">
        <v>0.91400000000000003</v>
      </c>
      <c r="W133">
        <v>0.91400000000000003</v>
      </c>
      <c r="X133">
        <v>0</v>
      </c>
      <c r="Y133">
        <v>0</v>
      </c>
      <c r="Z133" s="16">
        <v>0</v>
      </c>
      <c r="AA133">
        <v>0</v>
      </c>
      <c r="AB133">
        <v>0</v>
      </c>
    </row>
    <row r="134" spans="1:35" x14ac:dyDescent="0.25">
      <c r="A134">
        <v>2024</v>
      </c>
      <c r="B134">
        <v>3</v>
      </c>
      <c r="C134" t="s">
        <v>35</v>
      </c>
      <c r="D134" t="s">
        <v>25</v>
      </c>
      <c r="E134">
        <v>2</v>
      </c>
      <c r="F134">
        <v>13</v>
      </c>
      <c r="G134" s="12">
        <v>45538</v>
      </c>
      <c r="H134">
        <v>246</v>
      </c>
      <c r="J134" t="s">
        <v>26</v>
      </c>
      <c r="K134">
        <v>37100</v>
      </c>
      <c r="L134">
        <v>8.6000000000000014</v>
      </c>
      <c r="M134">
        <v>3.3000000000000007</v>
      </c>
      <c r="N134">
        <v>33.89</v>
      </c>
      <c r="O134">
        <v>75.3</v>
      </c>
      <c r="P134">
        <v>41.5</v>
      </c>
      <c r="R134">
        <v>162.59</v>
      </c>
      <c r="S134">
        <v>180.5</v>
      </c>
      <c r="T134">
        <v>3299.6717724288842</v>
      </c>
      <c r="U134">
        <v>1</v>
      </c>
      <c r="V134">
        <v>0.91400000000000003</v>
      </c>
      <c r="W134">
        <v>0.91400000000000003</v>
      </c>
      <c r="X134">
        <v>234.3478176801421</v>
      </c>
      <c r="Y134">
        <v>89.924162598194073</v>
      </c>
      <c r="Z134" s="16">
        <v>923.4939001372112</v>
      </c>
      <c r="AA134">
        <v>2051.9058920133366</v>
      </c>
      <c r="AB134">
        <v>1130.8644690378949</v>
      </c>
      <c r="AH134">
        <v>50.8</v>
      </c>
      <c r="AI134">
        <v>12.4</v>
      </c>
    </row>
    <row r="135" spans="1:35" x14ac:dyDescent="0.25">
      <c r="A135">
        <v>2024</v>
      </c>
      <c r="B135">
        <v>3</v>
      </c>
      <c r="C135" t="s">
        <v>33</v>
      </c>
      <c r="D135" t="s">
        <v>25</v>
      </c>
      <c r="E135">
        <v>2</v>
      </c>
      <c r="F135">
        <v>14</v>
      </c>
      <c r="G135" s="12"/>
      <c r="J135" t="s">
        <v>26</v>
      </c>
      <c r="K135">
        <v>37100</v>
      </c>
      <c r="L135">
        <v>0</v>
      </c>
      <c r="M135">
        <v>0</v>
      </c>
      <c r="N135">
        <v>0</v>
      </c>
      <c r="O135">
        <v>0</v>
      </c>
      <c r="P135">
        <v>0</v>
      </c>
      <c r="R135">
        <v>0</v>
      </c>
      <c r="S135">
        <v>0</v>
      </c>
      <c r="U135">
        <v>1</v>
      </c>
      <c r="V135">
        <v>0.91400000000000003</v>
      </c>
      <c r="W135">
        <v>0.91400000000000003</v>
      </c>
      <c r="X135">
        <v>0</v>
      </c>
      <c r="Y135">
        <v>0</v>
      </c>
      <c r="Z135" s="16">
        <v>0</v>
      </c>
      <c r="AA135">
        <v>0</v>
      </c>
      <c r="AB135">
        <v>0</v>
      </c>
    </row>
    <row r="136" spans="1:35" x14ac:dyDescent="0.25">
      <c r="A136">
        <v>2024</v>
      </c>
      <c r="B136">
        <v>3</v>
      </c>
      <c r="C136" t="s">
        <v>34</v>
      </c>
      <c r="D136" t="s">
        <v>25</v>
      </c>
      <c r="E136">
        <v>2</v>
      </c>
      <c r="F136">
        <v>15</v>
      </c>
      <c r="G136" s="12">
        <v>45538</v>
      </c>
      <c r="H136">
        <v>246</v>
      </c>
      <c r="J136" t="s">
        <v>26</v>
      </c>
      <c r="K136">
        <v>37100</v>
      </c>
      <c r="L136">
        <v>36.6</v>
      </c>
      <c r="M136">
        <v>3.3000000000000007</v>
      </c>
      <c r="N136">
        <v>53.89</v>
      </c>
      <c r="O136">
        <v>104.3</v>
      </c>
      <c r="P136">
        <v>45.2</v>
      </c>
      <c r="R136">
        <v>243.29000000000002</v>
      </c>
      <c r="S136">
        <v>86.5</v>
      </c>
      <c r="T136">
        <v>3113.6761487964991</v>
      </c>
      <c r="U136">
        <v>1</v>
      </c>
      <c r="V136">
        <v>0.91400000000000003</v>
      </c>
      <c r="W136">
        <v>0.91400000000000003</v>
      </c>
      <c r="X136">
        <v>575.29681985941681</v>
      </c>
      <c r="Y136">
        <v>51.871024741422829</v>
      </c>
      <c r="Z136" s="16">
        <v>847.06955251978059</v>
      </c>
      <c r="AA136">
        <v>1639.4387516758788</v>
      </c>
      <c r="AB136">
        <v>710.47585403403377</v>
      </c>
      <c r="AH136">
        <v>33.527999999999999</v>
      </c>
      <c r="AI136">
        <v>11.4</v>
      </c>
    </row>
    <row r="137" spans="1:35" x14ac:dyDescent="0.25">
      <c r="A137">
        <v>2024</v>
      </c>
      <c r="B137">
        <v>3</v>
      </c>
      <c r="C137" t="s">
        <v>27</v>
      </c>
      <c r="D137" t="s">
        <v>25</v>
      </c>
      <c r="E137">
        <v>2</v>
      </c>
      <c r="F137">
        <v>16</v>
      </c>
      <c r="G137" s="12"/>
      <c r="J137" t="s">
        <v>26</v>
      </c>
      <c r="K137">
        <v>37100</v>
      </c>
      <c r="L137">
        <v>0</v>
      </c>
      <c r="M137">
        <v>0</v>
      </c>
      <c r="N137">
        <v>0</v>
      </c>
      <c r="O137">
        <v>0</v>
      </c>
      <c r="P137">
        <v>0</v>
      </c>
      <c r="R137">
        <v>0</v>
      </c>
      <c r="S137">
        <v>0</v>
      </c>
      <c r="U137">
        <v>1</v>
      </c>
      <c r="V137">
        <v>0.91400000000000003</v>
      </c>
      <c r="W137">
        <v>0.91400000000000003</v>
      </c>
      <c r="X137">
        <v>0</v>
      </c>
      <c r="Y137">
        <v>0</v>
      </c>
      <c r="Z137" s="16">
        <v>0</v>
      </c>
      <c r="AA137">
        <v>0</v>
      </c>
      <c r="AB137">
        <v>0</v>
      </c>
    </row>
    <row r="138" spans="1:35" x14ac:dyDescent="0.25">
      <c r="A138">
        <v>2024</v>
      </c>
      <c r="B138">
        <v>3</v>
      </c>
      <c r="C138" t="s">
        <v>32</v>
      </c>
      <c r="D138" t="s">
        <v>25</v>
      </c>
      <c r="E138">
        <v>2</v>
      </c>
      <c r="F138">
        <v>17</v>
      </c>
      <c r="G138" s="12"/>
      <c r="J138" t="s">
        <v>26</v>
      </c>
      <c r="K138">
        <v>37100</v>
      </c>
      <c r="L138">
        <v>0</v>
      </c>
      <c r="M138">
        <v>0</v>
      </c>
      <c r="N138">
        <v>0</v>
      </c>
      <c r="O138">
        <v>0</v>
      </c>
      <c r="P138">
        <v>0</v>
      </c>
      <c r="R138">
        <v>0</v>
      </c>
      <c r="S138">
        <v>0</v>
      </c>
      <c r="U138">
        <v>1</v>
      </c>
      <c r="V138">
        <v>0.91400000000000003</v>
      </c>
      <c r="W138">
        <v>0.91400000000000003</v>
      </c>
      <c r="X138">
        <v>0</v>
      </c>
      <c r="Y138">
        <v>0</v>
      </c>
      <c r="Z138" s="16">
        <v>0</v>
      </c>
      <c r="AA138">
        <v>0</v>
      </c>
      <c r="AB138">
        <v>0</v>
      </c>
    </row>
    <row r="139" spans="1:35" x14ac:dyDescent="0.25">
      <c r="A139">
        <v>2024</v>
      </c>
      <c r="B139">
        <v>3</v>
      </c>
      <c r="C139" t="s">
        <v>29</v>
      </c>
      <c r="D139" t="s">
        <v>25</v>
      </c>
      <c r="E139">
        <v>2</v>
      </c>
      <c r="F139">
        <v>18</v>
      </c>
      <c r="G139" s="12">
        <v>45538</v>
      </c>
      <c r="H139">
        <v>246</v>
      </c>
      <c r="J139" t="s">
        <v>26</v>
      </c>
      <c r="K139">
        <v>37100</v>
      </c>
      <c r="L139">
        <v>34.6</v>
      </c>
      <c r="M139">
        <v>0</v>
      </c>
      <c r="N139">
        <v>53.89</v>
      </c>
      <c r="O139">
        <v>62.3</v>
      </c>
      <c r="P139">
        <v>32.799999999999997</v>
      </c>
      <c r="R139">
        <v>183.58999999999997</v>
      </c>
      <c r="S139">
        <v>355.5</v>
      </c>
      <c r="T139">
        <v>5539.2778993435431</v>
      </c>
      <c r="U139">
        <v>1</v>
      </c>
      <c r="V139">
        <v>0.91400000000000003</v>
      </c>
      <c r="W139">
        <v>0.91400000000000003</v>
      </c>
      <c r="X139">
        <v>1271.0326634212256</v>
      </c>
      <c r="Y139">
        <v>0</v>
      </c>
      <c r="Z139" s="16">
        <v>1979.6517408025968</v>
      </c>
      <c r="AA139">
        <v>2288.593495119721</v>
      </c>
      <c r="AB139">
        <v>1204.9095768848611</v>
      </c>
      <c r="AH139">
        <v>66.802000000000007</v>
      </c>
      <c r="AI139">
        <v>18.2</v>
      </c>
    </row>
    <row r="140" spans="1:35" x14ac:dyDescent="0.25">
      <c r="A140">
        <v>2024</v>
      </c>
      <c r="B140">
        <v>3</v>
      </c>
      <c r="C140" t="s">
        <v>30</v>
      </c>
      <c r="D140" t="s">
        <v>25</v>
      </c>
      <c r="E140">
        <v>2</v>
      </c>
      <c r="F140">
        <v>19</v>
      </c>
      <c r="G140" s="12"/>
      <c r="J140" t="s">
        <v>26</v>
      </c>
      <c r="K140">
        <v>37100</v>
      </c>
      <c r="L140">
        <v>0</v>
      </c>
      <c r="M140">
        <v>0</v>
      </c>
      <c r="N140">
        <v>0</v>
      </c>
      <c r="O140">
        <v>0</v>
      </c>
      <c r="P140">
        <v>0</v>
      </c>
      <c r="R140">
        <v>0</v>
      </c>
      <c r="S140">
        <v>0</v>
      </c>
      <c r="U140">
        <v>1</v>
      </c>
      <c r="V140">
        <v>0.91400000000000003</v>
      </c>
      <c r="W140">
        <v>0.91400000000000003</v>
      </c>
      <c r="X140">
        <v>0</v>
      </c>
      <c r="Y140">
        <v>0</v>
      </c>
      <c r="Z140" s="16">
        <v>0</v>
      </c>
      <c r="AA140">
        <v>0</v>
      </c>
      <c r="AB140">
        <v>0</v>
      </c>
    </row>
    <row r="141" spans="1:35" x14ac:dyDescent="0.25">
      <c r="A141">
        <v>2024</v>
      </c>
      <c r="B141">
        <v>3</v>
      </c>
      <c r="C141" t="s">
        <v>36</v>
      </c>
      <c r="D141" t="s">
        <v>25</v>
      </c>
      <c r="E141">
        <v>2</v>
      </c>
      <c r="F141">
        <v>20</v>
      </c>
      <c r="G141" s="12"/>
      <c r="J141" t="s">
        <v>26</v>
      </c>
      <c r="K141">
        <v>37100</v>
      </c>
      <c r="L141">
        <v>0</v>
      </c>
      <c r="M141">
        <v>0</v>
      </c>
      <c r="N141">
        <v>0</v>
      </c>
      <c r="O141">
        <v>0</v>
      </c>
      <c r="P141">
        <v>0</v>
      </c>
      <c r="R141">
        <v>0</v>
      </c>
      <c r="S141">
        <v>0</v>
      </c>
      <c r="U141">
        <v>1</v>
      </c>
      <c r="V141">
        <v>0.91400000000000003</v>
      </c>
      <c r="W141">
        <v>0.91400000000000003</v>
      </c>
      <c r="X141">
        <v>0</v>
      </c>
      <c r="Y141">
        <v>0</v>
      </c>
      <c r="Z141" s="16">
        <v>0</v>
      </c>
      <c r="AA141">
        <v>0</v>
      </c>
      <c r="AB141">
        <v>0</v>
      </c>
    </row>
    <row r="142" spans="1:35" x14ac:dyDescent="0.25">
      <c r="A142">
        <v>2024</v>
      </c>
      <c r="B142">
        <v>3</v>
      </c>
      <c r="C142" t="s">
        <v>24</v>
      </c>
      <c r="D142" t="s">
        <v>25</v>
      </c>
      <c r="E142">
        <v>2</v>
      </c>
      <c r="F142">
        <v>21</v>
      </c>
      <c r="G142" s="12">
        <v>45538</v>
      </c>
      <c r="H142">
        <v>246</v>
      </c>
      <c r="J142" t="s">
        <v>26</v>
      </c>
      <c r="K142">
        <v>37100</v>
      </c>
      <c r="L142">
        <v>16.600000000000001</v>
      </c>
      <c r="M142">
        <v>0.30000000000000071</v>
      </c>
      <c r="N142">
        <v>32.89</v>
      </c>
      <c r="O142">
        <v>61.3</v>
      </c>
      <c r="P142">
        <v>34.599999999999994</v>
      </c>
      <c r="R142">
        <v>145.69</v>
      </c>
      <c r="S142">
        <v>319.5</v>
      </c>
      <c r="T142">
        <v>4711.0503282275713</v>
      </c>
      <c r="U142">
        <v>1</v>
      </c>
      <c r="V142">
        <v>0.91400000000000003</v>
      </c>
      <c r="W142">
        <v>0.91400000000000003</v>
      </c>
      <c r="X142">
        <v>703.96467232494103</v>
      </c>
      <c r="Y142">
        <v>12.722253114306193</v>
      </c>
      <c r="Z142" s="16">
        <v>1394.7830164317654</v>
      </c>
      <c r="AA142">
        <v>2599.5803863565588</v>
      </c>
      <c r="AB142">
        <v>1467.2998591833102</v>
      </c>
      <c r="AH142">
        <v>45.212000000000003</v>
      </c>
      <c r="AI142">
        <v>14.4</v>
      </c>
    </row>
    <row r="143" spans="1:35" x14ac:dyDescent="0.25">
      <c r="A143">
        <v>2024</v>
      </c>
      <c r="B143">
        <v>3</v>
      </c>
      <c r="C143" t="s">
        <v>37</v>
      </c>
      <c r="D143" t="s">
        <v>25</v>
      </c>
      <c r="E143">
        <v>2</v>
      </c>
      <c r="F143">
        <v>22</v>
      </c>
      <c r="G143" s="12"/>
      <c r="J143" t="s">
        <v>26</v>
      </c>
      <c r="K143">
        <v>37100</v>
      </c>
      <c r="L143">
        <v>0</v>
      </c>
      <c r="M143">
        <v>0</v>
      </c>
      <c r="N143">
        <v>0</v>
      </c>
      <c r="O143">
        <v>0</v>
      </c>
      <c r="P143">
        <v>0</v>
      </c>
      <c r="R143">
        <v>0</v>
      </c>
      <c r="S143">
        <v>0</v>
      </c>
      <c r="U143">
        <v>1</v>
      </c>
      <c r="V143">
        <v>0.91400000000000003</v>
      </c>
      <c r="W143">
        <v>0.91400000000000003</v>
      </c>
      <c r="X143">
        <v>0</v>
      </c>
      <c r="Y143">
        <v>0</v>
      </c>
      <c r="Z143" s="16">
        <v>0</v>
      </c>
      <c r="AA143">
        <v>0</v>
      </c>
      <c r="AB143">
        <v>0</v>
      </c>
    </row>
    <row r="144" spans="1:35" x14ac:dyDescent="0.25">
      <c r="A144">
        <v>2024</v>
      </c>
      <c r="B144">
        <v>3</v>
      </c>
      <c r="C144" t="s">
        <v>31</v>
      </c>
      <c r="D144" t="s">
        <v>25</v>
      </c>
      <c r="E144">
        <v>2</v>
      </c>
      <c r="F144">
        <v>23</v>
      </c>
      <c r="G144" s="12"/>
      <c r="J144" t="s">
        <v>26</v>
      </c>
      <c r="K144">
        <v>37100</v>
      </c>
      <c r="L144">
        <v>0</v>
      </c>
      <c r="M144">
        <v>0</v>
      </c>
      <c r="N144">
        <v>0</v>
      </c>
      <c r="O144">
        <v>0</v>
      </c>
      <c r="P144">
        <v>0</v>
      </c>
      <c r="R144">
        <v>0</v>
      </c>
      <c r="S144">
        <v>0</v>
      </c>
      <c r="U144">
        <v>1</v>
      </c>
      <c r="V144">
        <v>0.91400000000000003</v>
      </c>
      <c r="W144">
        <v>0.91400000000000003</v>
      </c>
      <c r="X144">
        <v>0</v>
      </c>
      <c r="Y144">
        <v>0</v>
      </c>
      <c r="Z144" s="16">
        <v>0</v>
      </c>
      <c r="AA144">
        <v>0</v>
      </c>
      <c r="AB144">
        <v>0</v>
      </c>
    </row>
    <row r="145" spans="1:35" x14ac:dyDescent="0.25">
      <c r="A145">
        <v>2024</v>
      </c>
      <c r="B145">
        <v>3</v>
      </c>
      <c r="C145" t="s">
        <v>28</v>
      </c>
      <c r="D145" t="s">
        <v>25</v>
      </c>
      <c r="E145">
        <v>2</v>
      </c>
      <c r="F145">
        <v>24</v>
      </c>
      <c r="G145" s="12"/>
      <c r="J145" t="s">
        <v>26</v>
      </c>
      <c r="K145">
        <v>37100</v>
      </c>
      <c r="L145">
        <v>0</v>
      </c>
      <c r="M145">
        <v>0</v>
      </c>
      <c r="N145">
        <v>0</v>
      </c>
      <c r="O145">
        <v>0</v>
      </c>
      <c r="P145">
        <v>0</v>
      </c>
      <c r="R145">
        <v>0</v>
      </c>
      <c r="S145">
        <v>0</v>
      </c>
      <c r="U145">
        <v>1</v>
      </c>
      <c r="V145">
        <v>0.91400000000000003</v>
      </c>
      <c r="W145">
        <v>0.91400000000000003</v>
      </c>
      <c r="X145">
        <v>0</v>
      </c>
      <c r="Y145">
        <v>0</v>
      </c>
      <c r="Z145" s="16">
        <v>0</v>
      </c>
      <c r="AA145">
        <v>0</v>
      </c>
      <c r="AB145">
        <v>0</v>
      </c>
    </row>
    <row r="146" spans="1:35" x14ac:dyDescent="0.25">
      <c r="A146">
        <v>2024</v>
      </c>
      <c r="B146">
        <v>3</v>
      </c>
      <c r="C146" t="s">
        <v>27</v>
      </c>
      <c r="D146" t="s">
        <v>25</v>
      </c>
      <c r="E146">
        <v>3</v>
      </c>
      <c r="F146">
        <v>25</v>
      </c>
      <c r="G146" s="12"/>
      <c r="J146" t="s">
        <v>26</v>
      </c>
      <c r="K146">
        <v>37100</v>
      </c>
      <c r="L146">
        <v>0</v>
      </c>
      <c r="M146">
        <v>0</v>
      </c>
      <c r="N146">
        <v>0</v>
      </c>
      <c r="O146">
        <v>0</v>
      </c>
      <c r="P146">
        <v>0</v>
      </c>
      <c r="R146">
        <v>0</v>
      </c>
      <c r="S146">
        <v>0</v>
      </c>
      <c r="U146">
        <v>1</v>
      </c>
      <c r="V146">
        <v>0.91400000000000003</v>
      </c>
      <c r="W146">
        <v>0.91400000000000003</v>
      </c>
      <c r="X146">
        <v>0</v>
      </c>
      <c r="Y146">
        <v>0</v>
      </c>
      <c r="Z146" s="16">
        <v>0</v>
      </c>
      <c r="AA146">
        <v>0</v>
      </c>
      <c r="AB146">
        <v>0</v>
      </c>
    </row>
    <row r="147" spans="1:35" x14ac:dyDescent="0.25">
      <c r="A147">
        <v>2024</v>
      </c>
      <c r="B147">
        <v>3</v>
      </c>
      <c r="C147" t="s">
        <v>24</v>
      </c>
      <c r="D147" t="s">
        <v>25</v>
      </c>
      <c r="E147">
        <v>3</v>
      </c>
      <c r="F147">
        <v>26</v>
      </c>
      <c r="G147" s="12">
        <v>45538</v>
      </c>
      <c r="H147">
        <v>246</v>
      </c>
      <c r="J147" t="s">
        <v>26</v>
      </c>
      <c r="K147">
        <v>37100</v>
      </c>
      <c r="L147">
        <v>33.6</v>
      </c>
      <c r="M147">
        <v>1.3000000000000007</v>
      </c>
      <c r="N147">
        <v>43.89</v>
      </c>
      <c r="O147">
        <v>86.3</v>
      </c>
      <c r="P147">
        <v>47.3</v>
      </c>
      <c r="R147">
        <v>212.39000000000001</v>
      </c>
      <c r="S147">
        <v>255.5</v>
      </c>
      <c r="T147">
        <v>4601.6411378555804</v>
      </c>
      <c r="U147">
        <v>1</v>
      </c>
      <c r="V147">
        <v>0.91400000000000003</v>
      </c>
      <c r="W147">
        <v>0.91400000000000003</v>
      </c>
      <c r="X147">
        <v>936.55062227843905</v>
      </c>
      <c r="Y147">
        <v>36.235589552439627</v>
      </c>
      <c r="Z147" s="16">
        <v>1223.3692503512109</v>
      </c>
      <c r="AA147">
        <v>2405.4856756734903</v>
      </c>
      <c r="AB147">
        <v>1318.4179891003023</v>
      </c>
      <c r="AH147">
        <v>49.022000000000006</v>
      </c>
      <c r="AI147">
        <v>16.600000000000001</v>
      </c>
    </row>
    <row r="148" spans="1:35" x14ac:dyDescent="0.25">
      <c r="A148">
        <v>2024</v>
      </c>
      <c r="B148">
        <v>3</v>
      </c>
      <c r="C148" t="s">
        <v>33</v>
      </c>
      <c r="D148" t="s">
        <v>25</v>
      </c>
      <c r="E148">
        <v>3</v>
      </c>
      <c r="F148">
        <v>27</v>
      </c>
      <c r="G148" s="12"/>
      <c r="J148" t="s">
        <v>26</v>
      </c>
      <c r="K148">
        <v>37100</v>
      </c>
      <c r="L148">
        <v>0</v>
      </c>
      <c r="M148">
        <v>0</v>
      </c>
      <c r="N148">
        <v>0</v>
      </c>
      <c r="O148">
        <v>0</v>
      </c>
      <c r="P148">
        <v>0</v>
      </c>
      <c r="R148">
        <v>0</v>
      </c>
      <c r="S148">
        <v>0</v>
      </c>
      <c r="U148">
        <v>1</v>
      </c>
      <c r="V148">
        <v>0.91400000000000003</v>
      </c>
      <c r="W148">
        <v>0.91400000000000003</v>
      </c>
      <c r="X148">
        <v>0</v>
      </c>
      <c r="Y148">
        <v>0</v>
      </c>
      <c r="Z148" s="16">
        <v>0</v>
      </c>
      <c r="AA148">
        <v>0</v>
      </c>
      <c r="AB148">
        <v>0</v>
      </c>
    </row>
    <row r="149" spans="1:35" x14ac:dyDescent="0.25">
      <c r="A149">
        <v>2024</v>
      </c>
      <c r="B149">
        <v>3</v>
      </c>
      <c r="C149" t="s">
        <v>34</v>
      </c>
      <c r="D149" t="s">
        <v>25</v>
      </c>
      <c r="E149">
        <v>3</v>
      </c>
      <c r="F149">
        <v>28</v>
      </c>
      <c r="G149" s="12">
        <v>45538</v>
      </c>
      <c r="H149">
        <v>246</v>
      </c>
      <c r="J149" t="s">
        <v>26</v>
      </c>
      <c r="K149">
        <v>37100</v>
      </c>
      <c r="L149">
        <v>21.6</v>
      </c>
      <c r="M149">
        <v>0.30000000000000071</v>
      </c>
      <c r="N149">
        <v>43.89</v>
      </c>
      <c r="O149">
        <v>85.3</v>
      </c>
      <c r="P149">
        <v>40.400000000000006</v>
      </c>
      <c r="R149">
        <v>191.48999999999998</v>
      </c>
      <c r="S149">
        <v>234.5</v>
      </c>
      <c r="T149">
        <v>4218.7089715536104</v>
      </c>
      <c r="U149">
        <v>1</v>
      </c>
      <c r="V149">
        <v>0.91400000000000003</v>
      </c>
      <c r="W149">
        <v>0.91400000000000003</v>
      </c>
      <c r="X149">
        <v>603.1114818026208</v>
      </c>
      <c r="Y149">
        <v>8.3765483583697549</v>
      </c>
      <c r="Z149" s="16">
        <v>1225.4890248294919</v>
      </c>
      <c r="AA149">
        <v>2381.7319165631279</v>
      </c>
      <c r="AB149">
        <v>1128.0418455937911</v>
      </c>
      <c r="AH149">
        <v>38.607999999999997</v>
      </c>
      <c r="AI149">
        <v>13.4</v>
      </c>
    </row>
    <row r="150" spans="1:35" x14ac:dyDescent="0.25">
      <c r="A150">
        <v>2024</v>
      </c>
      <c r="B150">
        <v>3</v>
      </c>
      <c r="C150" t="s">
        <v>37</v>
      </c>
      <c r="D150" t="s">
        <v>25</v>
      </c>
      <c r="E150">
        <v>3</v>
      </c>
      <c r="F150">
        <v>29</v>
      </c>
      <c r="G150" s="12"/>
      <c r="J150" t="s">
        <v>26</v>
      </c>
      <c r="K150">
        <v>37100</v>
      </c>
      <c r="L150">
        <v>0</v>
      </c>
      <c r="M150">
        <v>0</v>
      </c>
      <c r="N150">
        <v>0</v>
      </c>
      <c r="O150">
        <v>0</v>
      </c>
      <c r="P150">
        <v>0</v>
      </c>
      <c r="R150">
        <v>0</v>
      </c>
      <c r="S150">
        <v>0</v>
      </c>
      <c r="U150">
        <v>1</v>
      </c>
      <c r="V150">
        <v>0.91400000000000003</v>
      </c>
      <c r="W150">
        <v>0.91400000000000003</v>
      </c>
      <c r="X150">
        <v>0</v>
      </c>
      <c r="Y150">
        <v>0</v>
      </c>
      <c r="Z150" s="16">
        <v>0</v>
      </c>
      <c r="AA150">
        <v>0</v>
      </c>
      <c r="AB150">
        <v>0</v>
      </c>
    </row>
    <row r="151" spans="1:35" x14ac:dyDescent="0.25">
      <c r="A151">
        <v>2024</v>
      </c>
      <c r="B151">
        <v>3</v>
      </c>
      <c r="C151" t="s">
        <v>36</v>
      </c>
      <c r="D151" t="s">
        <v>25</v>
      </c>
      <c r="E151">
        <v>3</v>
      </c>
      <c r="F151">
        <v>30</v>
      </c>
      <c r="G151" s="12"/>
      <c r="J151" t="s">
        <v>26</v>
      </c>
      <c r="K151">
        <v>37100</v>
      </c>
      <c r="L151">
        <v>0</v>
      </c>
      <c r="M151">
        <v>0</v>
      </c>
      <c r="N151">
        <v>0</v>
      </c>
      <c r="O151">
        <v>0</v>
      </c>
      <c r="P151">
        <v>0</v>
      </c>
      <c r="R151">
        <v>0</v>
      </c>
      <c r="S151">
        <v>0</v>
      </c>
      <c r="U151">
        <v>1</v>
      </c>
      <c r="V151">
        <v>0.91400000000000003</v>
      </c>
      <c r="W151">
        <v>0.91400000000000003</v>
      </c>
      <c r="X151">
        <v>0</v>
      </c>
      <c r="Y151">
        <v>0</v>
      </c>
      <c r="Z151" s="16">
        <v>0</v>
      </c>
      <c r="AA151">
        <v>0</v>
      </c>
      <c r="AB151">
        <v>0</v>
      </c>
    </row>
    <row r="152" spans="1:35" x14ac:dyDescent="0.25">
      <c r="A152">
        <v>2024</v>
      </c>
      <c r="B152">
        <v>3</v>
      </c>
      <c r="C152" t="s">
        <v>35</v>
      </c>
      <c r="D152" t="s">
        <v>25</v>
      </c>
      <c r="E152">
        <v>3</v>
      </c>
      <c r="F152">
        <v>31</v>
      </c>
      <c r="G152" s="12">
        <v>45538</v>
      </c>
      <c r="H152">
        <v>246</v>
      </c>
      <c r="J152" t="s">
        <v>26</v>
      </c>
      <c r="K152">
        <v>37100</v>
      </c>
      <c r="L152">
        <v>9.6000000000000014</v>
      </c>
      <c r="M152">
        <v>1.3000000000000007</v>
      </c>
      <c r="N152">
        <v>30.89</v>
      </c>
      <c r="O152">
        <v>23.3</v>
      </c>
      <c r="P152">
        <v>10.3</v>
      </c>
      <c r="R152">
        <v>75.390000000000015</v>
      </c>
      <c r="S152">
        <v>212.5</v>
      </c>
      <c r="T152">
        <v>3037.0897155361049</v>
      </c>
      <c r="U152">
        <v>1</v>
      </c>
      <c r="V152">
        <v>0.91400000000000003</v>
      </c>
      <c r="W152">
        <v>0.91400000000000003</v>
      </c>
      <c r="X152">
        <v>447.93457165688443</v>
      </c>
      <c r="Y152">
        <v>60.657806578536466</v>
      </c>
      <c r="Z152" s="16">
        <v>1441.3228040084539</v>
      </c>
      <c r="AA152">
        <v>1087.1745332922299</v>
      </c>
      <c r="AB152">
        <v>480.59646750686551</v>
      </c>
      <c r="AH152">
        <v>69.596000000000004</v>
      </c>
      <c r="AI152">
        <v>17.8</v>
      </c>
    </row>
    <row r="153" spans="1:35" x14ac:dyDescent="0.25">
      <c r="A153">
        <v>2024</v>
      </c>
      <c r="B153">
        <v>3</v>
      </c>
      <c r="C153" t="s">
        <v>28</v>
      </c>
      <c r="D153" t="s">
        <v>25</v>
      </c>
      <c r="E153">
        <v>3</v>
      </c>
      <c r="F153">
        <v>32</v>
      </c>
      <c r="G153" s="12"/>
      <c r="J153" t="s">
        <v>26</v>
      </c>
      <c r="K153">
        <v>37100</v>
      </c>
      <c r="L153">
        <v>0</v>
      </c>
      <c r="M153">
        <v>0</v>
      </c>
      <c r="N153">
        <v>0</v>
      </c>
      <c r="O153">
        <v>0</v>
      </c>
      <c r="P153">
        <v>0</v>
      </c>
      <c r="R153">
        <v>0</v>
      </c>
      <c r="S153">
        <v>0</v>
      </c>
      <c r="U153">
        <v>1</v>
      </c>
      <c r="V153">
        <v>0.91400000000000003</v>
      </c>
      <c r="W153">
        <v>0.91400000000000003</v>
      </c>
      <c r="X153">
        <v>0</v>
      </c>
      <c r="Y153">
        <v>0</v>
      </c>
      <c r="Z153" s="16">
        <v>0</v>
      </c>
      <c r="AA153">
        <v>0</v>
      </c>
      <c r="AB153">
        <v>0</v>
      </c>
    </row>
    <row r="154" spans="1:35" x14ac:dyDescent="0.25">
      <c r="A154">
        <v>2024</v>
      </c>
      <c r="B154">
        <v>3</v>
      </c>
      <c r="C154" t="s">
        <v>29</v>
      </c>
      <c r="D154" t="s">
        <v>25</v>
      </c>
      <c r="E154">
        <v>3</v>
      </c>
      <c r="F154">
        <v>33</v>
      </c>
      <c r="G154" s="12">
        <v>45538</v>
      </c>
      <c r="H154">
        <v>246</v>
      </c>
      <c r="J154" t="s">
        <v>26</v>
      </c>
      <c r="K154">
        <v>37100</v>
      </c>
      <c r="L154">
        <v>34.6</v>
      </c>
      <c r="M154">
        <v>0</v>
      </c>
      <c r="N154">
        <v>59.89</v>
      </c>
      <c r="O154">
        <v>71.3</v>
      </c>
      <c r="P154">
        <v>36.799999999999997</v>
      </c>
      <c r="R154">
        <v>202.59</v>
      </c>
      <c r="S154">
        <v>126.5</v>
      </c>
      <c r="T154">
        <v>3197.9212253829323</v>
      </c>
      <c r="U154">
        <v>1</v>
      </c>
      <c r="V154">
        <v>0.91400000000000003</v>
      </c>
      <c r="W154">
        <v>0.91400000000000003</v>
      </c>
      <c r="X154">
        <v>667.39896494510799</v>
      </c>
      <c r="Y154">
        <v>0</v>
      </c>
      <c r="Z154" s="16">
        <v>1155.217456952674</v>
      </c>
      <c r="AA154">
        <v>1375.3048034851506</v>
      </c>
      <c r="AB154">
        <v>709.83473728265824</v>
      </c>
      <c r="AH154">
        <v>59.69</v>
      </c>
      <c r="AI154">
        <v>18.2</v>
      </c>
    </row>
    <row r="155" spans="1:35" x14ac:dyDescent="0.25">
      <c r="A155">
        <v>2024</v>
      </c>
      <c r="B155">
        <v>3</v>
      </c>
      <c r="C155" t="s">
        <v>31</v>
      </c>
      <c r="D155" t="s">
        <v>25</v>
      </c>
      <c r="E155">
        <v>3</v>
      </c>
      <c r="F155">
        <v>34</v>
      </c>
      <c r="G155" s="12"/>
      <c r="J155" t="s">
        <v>26</v>
      </c>
      <c r="K155">
        <v>37100</v>
      </c>
      <c r="L155">
        <v>0</v>
      </c>
      <c r="M155">
        <v>0</v>
      </c>
      <c r="N155">
        <v>0</v>
      </c>
      <c r="O155">
        <v>0</v>
      </c>
      <c r="P155">
        <v>0</v>
      </c>
      <c r="R155">
        <v>0</v>
      </c>
      <c r="S155">
        <v>0</v>
      </c>
      <c r="U155">
        <v>1</v>
      </c>
      <c r="V155">
        <v>0.91400000000000003</v>
      </c>
      <c r="W155">
        <v>0.91400000000000003</v>
      </c>
      <c r="X155">
        <v>0</v>
      </c>
      <c r="Y155">
        <v>0</v>
      </c>
      <c r="Z155" s="16">
        <v>0</v>
      </c>
      <c r="AA155">
        <v>0</v>
      </c>
      <c r="AB155">
        <v>0</v>
      </c>
    </row>
    <row r="156" spans="1:35" x14ac:dyDescent="0.25">
      <c r="A156">
        <v>2024</v>
      </c>
      <c r="B156">
        <v>3</v>
      </c>
      <c r="C156" t="s">
        <v>30</v>
      </c>
      <c r="D156" t="s">
        <v>25</v>
      </c>
      <c r="E156">
        <v>3</v>
      </c>
      <c r="F156">
        <v>35</v>
      </c>
      <c r="G156" s="12"/>
      <c r="J156" t="s">
        <v>26</v>
      </c>
      <c r="K156">
        <v>37100</v>
      </c>
      <c r="L156">
        <v>0</v>
      </c>
      <c r="M156">
        <v>0</v>
      </c>
      <c r="N156">
        <v>0</v>
      </c>
      <c r="O156">
        <v>0</v>
      </c>
      <c r="P156">
        <v>0</v>
      </c>
      <c r="R156">
        <v>0</v>
      </c>
      <c r="S156">
        <v>0</v>
      </c>
      <c r="U156">
        <v>1</v>
      </c>
      <c r="V156">
        <v>0.91400000000000003</v>
      </c>
      <c r="W156">
        <v>0.91400000000000003</v>
      </c>
      <c r="X156">
        <v>0</v>
      </c>
      <c r="Y156">
        <v>0</v>
      </c>
      <c r="Z156" s="16">
        <v>0</v>
      </c>
      <c r="AA156">
        <v>0</v>
      </c>
      <c r="AB156">
        <v>0</v>
      </c>
    </row>
    <row r="157" spans="1:35" x14ac:dyDescent="0.25">
      <c r="A157">
        <v>2024</v>
      </c>
      <c r="B157">
        <v>3</v>
      </c>
      <c r="C157" t="s">
        <v>32</v>
      </c>
      <c r="D157" t="s">
        <v>25</v>
      </c>
      <c r="E157">
        <v>3</v>
      </c>
      <c r="F157">
        <v>36</v>
      </c>
      <c r="G157" s="12"/>
      <c r="J157" t="s">
        <v>26</v>
      </c>
      <c r="K157">
        <v>37100</v>
      </c>
      <c r="L157">
        <v>0</v>
      </c>
      <c r="M157">
        <v>0</v>
      </c>
      <c r="N157">
        <v>0</v>
      </c>
      <c r="O157">
        <v>0</v>
      </c>
      <c r="P157">
        <v>0</v>
      </c>
      <c r="R157">
        <v>0</v>
      </c>
      <c r="S157">
        <v>0</v>
      </c>
      <c r="U157">
        <v>1</v>
      </c>
      <c r="V157">
        <v>0.91400000000000003</v>
      </c>
      <c r="W157">
        <v>0.91400000000000003</v>
      </c>
      <c r="X157">
        <v>0</v>
      </c>
      <c r="Y157">
        <v>0</v>
      </c>
      <c r="Z157" s="16">
        <v>0</v>
      </c>
      <c r="AA157">
        <v>0</v>
      </c>
      <c r="AB157">
        <v>0</v>
      </c>
    </row>
    <row r="158" spans="1:35" x14ac:dyDescent="0.25">
      <c r="A158">
        <v>2024</v>
      </c>
      <c r="B158">
        <v>3</v>
      </c>
      <c r="C158" t="s">
        <v>24</v>
      </c>
      <c r="D158" t="s">
        <v>38</v>
      </c>
      <c r="E158">
        <v>1</v>
      </c>
      <c r="F158">
        <v>37</v>
      </c>
      <c r="G158" s="12">
        <v>45538</v>
      </c>
      <c r="H158">
        <v>246</v>
      </c>
      <c r="J158" t="s">
        <v>26</v>
      </c>
      <c r="K158">
        <v>37100</v>
      </c>
      <c r="L158">
        <v>0</v>
      </c>
      <c r="M158">
        <v>0</v>
      </c>
      <c r="N158">
        <v>0</v>
      </c>
      <c r="O158">
        <v>0</v>
      </c>
      <c r="P158">
        <v>0</v>
      </c>
      <c r="R158">
        <v>0</v>
      </c>
      <c r="S158">
        <v>948.5</v>
      </c>
      <c r="T158">
        <v>10377.46170678337</v>
      </c>
      <c r="U158">
        <v>1</v>
      </c>
      <c r="V158">
        <v>0.91400000000000003</v>
      </c>
      <c r="W158">
        <v>0.91400000000000003</v>
      </c>
      <c r="X158">
        <v>0</v>
      </c>
      <c r="Y158">
        <v>0</v>
      </c>
      <c r="Z158" s="16">
        <v>0</v>
      </c>
      <c r="AA158">
        <v>0</v>
      </c>
      <c r="AB158">
        <v>0</v>
      </c>
    </row>
    <row r="159" spans="1:35" x14ac:dyDescent="0.25">
      <c r="A159">
        <v>2024</v>
      </c>
      <c r="B159">
        <v>3</v>
      </c>
      <c r="C159" t="s">
        <v>27</v>
      </c>
      <c r="D159" t="s">
        <v>38</v>
      </c>
      <c r="E159">
        <v>1</v>
      </c>
      <c r="F159">
        <v>38</v>
      </c>
      <c r="G159" s="12"/>
      <c r="J159" t="s">
        <v>26</v>
      </c>
      <c r="K159">
        <v>37100</v>
      </c>
      <c r="L159">
        <v>0</v>
      </c>
      <c r="M159">
        <v>0</v>
      </c>
      <c r="N159">
        <v>0</v>
      </c>
      <c r="O159">
        <v>0</v>
      </c>
      <c r="P159">
        <v>0</v>
      </c>
      <c r="R159">
        <v>0</v>
      </c>
      <c r="S159">
        <v>0</v>
      </c>
      <c r="U159">
        <v>1</v>
      </c>
      <c r="V159">
        <v>0.91400000000000003</v>
      </c>
      <c r="W159">
        <v>0.91400000000000003</v>
      </c>
      <c r="X159">
        <v>0</v>
      </c>
      <c r="Y159">
        <v>0</v>
      </c>
      <c r="Z159" s="16">
        <v>0</v>
      </c>
      <c r="AA159">
        <v>0</v>
      </c>
      <c r="AB159">
        <v>0</v>
      </c>
    </row>
    <row r="160" spans="1:35" x14ac:dyDescent="0.25">
      <c r="A160">
        <v>2024</v>
      </c>
      <c r="B160">
        <v>3</v>
      </c>
      <c r="C160" t="s">
        <v>28</v>
      </c>
      <c r="D160" t="s">
        <v>38</v>
      </c>
      <c r="E160">
        <v>1</v>
      </c>
      <c r="F160">
        <v>39</v>
      </c>
      <c r="G160" s="12"/>
      <c r="J160" t="s">
        <v>26</v>
      </c>
      <c r="K160">
        <v>37100</v>
      </c>
      <c r="L160">
        <v>0</v>
      </c>
      <c r="M160">
        <v>0</v>
      </c>
      <c r="N160">
        <v>0</v>
      </c>
      <c r="O160">
        <v>0</v>
      </c>
      <c r="P160">
        <v>0</v>
      </c>
      <c r="R160">
        <v>0</v>
      </c>
      <c r="S160">
        <v>0</v>
      </c>
      <c r="U160">
        <v>1</v>
      </c>
      <c r="V160">
        <v>0.91400000000000003</v>
      </c>
      <c r="W160">
        <v>0.91400000000000003</v>
      </c>
      <c r="X160">
        <v>0</v>
      </c>
      <c r="Y160">
        <v>0</v>
      </c>
      <c r="Z160" s="16">
        <v>0</v>
      </c>
      <c r="AA160">
        <v>0</v>
      </c>
      <c r="AB160">
        <v>0</v>
      </c>
    </row>
    <row r="161" spans="1:35" x14ac:dyDescent="0.25">
      <c r="A161">
        <v>2024</v>
      </c>
      <c r="B161">
        <v>3</v>
      </c>
      <c r="C161" t="s">
        <v>29</v>
      </c>
      <c r="D161" t="s">
        <v>38</v>
      </c>
      <c r="E161">
        <v>1</v>
      </c>
      <c r="F161">
        <v>40</v>
      </c>
      <c r="G161" s="12">
        <v>45538</v>
      </c>
      <c r="H161">
        <v>246</v>
      </c>
      <c r="J161" t="s">
        <v>26</v>
      </c>
      <c r="K161">
        <v>37100</v>
      </c>
      <c r="L161">
        <v>48.599999999999994</v>
      </c>
      <c r="M161">
        <v>0.30000000000000071</v>
      </c>
      <c r="N161">
        <v>121.89</v>
      </c>
      <c r="O161">
        <v>94.3</v>
      </c>
      <c r="P161">
        <v>56.899999999999991</v>
      </c>
      <c r="R161">
        <v>321.99</v>
      </c>
      <c r="S161">
        <v>573.5</v>
      </c>
      <c r="T161">
        <v>2906602.8446389502</v>
      </c>
      <c r="U161">
        <v>1</v>
      </c>
      <c r="V161">
        <v>0.91400000000000003</v>
      </c>
      <c r="W161">
        <v>0.91400000000000003</v>
      </c>
      <c r="X161">
        <v>532.87901561527394</v>
      </c>
      <c r="Y161">
        <v>3.289376639600464</v>
      </c>
      <c r="Z161" s="16">
        <v>1336.4737286696654</v>
      </c>
      <c r="AA161">
        <v>1033.9607237144101</v>
      </c>
      <c r="AB161">
        <v>623.88510264421984</v>
      </c>
      <c r="AH161">
        <v>90.424000000000007</v>
      </c>
      <c r="AI161">
        <v>19.600000000000001</v>
      </c>
    </row>
    <row r="162" spans="1:35" x14ac:dyDescent="0.25">
      <c r="A162">
        <v>2024</v>
      </c>
      <c r="B162">
        <v>3</v>
      </c>
      <c r="C162" t="s">
        <v>30</v>
      </c>
      <c r="D162" t="s">
        <v>38</v>
      </c>
      <c r="E162">
        <v>1</v>
      </c>
      <c r="F162">
        <v>41</v>
      </c>
      <c r="G162" s="12"/>
      <c r="J162" t="s">
        <v>26</v>
      </c>
      <c r="K162">
        <v>37100</v>
      </c>
      <c r="L162">
        <v>0</v>
      </c>
      <c r="M162">
        <v>0</v>
      </c>
      <c r="N162">
        <v>0</v>
      </c>
      <c r="O162">
        <v>0</v>
      </c>
      <c r="P162">
        <v>0</v>
      </c>
      <c r="R162">
        <v>0</v>
      </c>
      <c r="S162">
        <v>0</v>
      </c>
      <c r="U162">
        <v>1</v>
      </c>
      <c r="V162">
        <v>0.91400000000000003</v>
      </c>
      <c r="W162">
        <v>0.91400000000000003</v>
      </c>
      <c r="X162">
        <v>0</v>
      </c>
      <c r="Y162">
        <v>0</v>
      </c>
      <c r="Z162" s="16">
        <v>0</v>
      </c>
      <c r="AA162">
        <v>0</v>
      </c>
      <c r="AB162">
        <v>0</v>
      </c>
    </row>
    <row r="163" spans="1:35" x14ac:dyDescent="0.25">
      <c r="A163">
        <v>2024</v>
      </c>
      <c r="B163">
        <v>3</v>
      </c>
      <c r="C163" t="s">
        <v>31</v>
      </c>
      <c r="D163" t="s">
        <v>38</v>
      </c>
      <c r="E163">
        <v>1</v>
      </c>
      <c r="F163">
        <v>42</v>
      </c>
      <c r="G163" s="12"/>
      <c r="J163" t="s">
        <v>26</v>
      </c>
      <c r="K163">
        <v>37100</v>
      </c>
      <c r="L163">
        <v>0</v>
      </c>
      <c r="M163">
        <v>0</v>
      </c>
      <c r="N163">
        <v>0</v>
      </c>
      <c r="O163">
        <v>0</v>
      </c>
      <c r="P163">
        <v>0</v>
      </c>
      <c r="R163">
        <v>0</v>
      </c>
      <c r="S163">
        <v>0</v>
      </c>
      <c r="U163">
        <v>1</v>
      </c>
      <c r="V163">
        <v>0.91400000000000003</v>
      </c>
      <c r="W163">
        <v>0.91400000000000003</v>
      </c>
      <c r="X163">
        <v>0</v>
      </c>
      <c r="Y163">
        <v>0</v>
      </c>
      <c r="Z163" s="16">
        <v>0</v>
      </c>
      <c r="AA163">
        <v>0</v>
      </c>
      <c r="AB163">
        <v>0</v>
      </c>
    </row>
    <row r="164" spans="1:35" x14ac:dyDescent="0.25">
      <c r="A164">
        <v>2024</v>
      </c>
      <c r="B164">
        <v>3</v>
      </c>
      <c r="C164" t="s">
        <v>32</v>
      </c>
      <c r="D164" t="s">
        <v>38</v>
      </c>
      <c r="E164">
        <v>1</v>
      </c>
      <c r="F164">
        <v>43</v>
      </c>
      <c r="G164" s="12"/>
      <c r="J164" t="s">
        <v>26</v>
      </c>
      <c r="K164">
        <v>37100</v>
      </c>
      <c r="L164">
        <v>0</v>
      </c>
      <c r="M164">
        <v>0</v>
      </c>
      <c r="N164">
        <v>0</v>
      </c>
      <c r="O164">
        <v>0</v>
      </c>
      <c r="P164">
        <v>0</v>
      </c>
      <c r="R164">
        <v>0</v>
      </c>
      <c r="S164">
        <v>0</v>
      </c>
      <c r="U164">
        <v>1</v>
      </c>
      <c r="V164">
        <v>0.91400000000000003</v>
      </c>
      <c r="W164">
        <v>0.91400000000000003</v>
      </c>
      <c r="X164">
        <v>0</v>
      </c>
      <c r="Y164">
        <v>0</v>
      </c>
      <c r="Z164" s="16">
        <v>0</v>
      </c>
      <c r="AA164">
        <v>0</v>
      </c>
      <c r="AB164">
        <v>0</v>
      </c>
    </row>
    <row r="165" spans="1:35" x14ac:dyDescent="0.25">
      <c r="A165">
        <v>2024</v>
      </c>
      <c r="B165">
        <v>3</v>
      </c>
      <c r="C165" t="s">
        <v>33</v>
      </c>
      <c r="D165" t="s">
        <v>38</v>
      </c>
      <c r="E165">
        <v>1</v>
      </c>
      <c r="F165">
        <v>44</v>
      </c>
      <c r="G165" s="12"/>
      <c r="J165" t="s">
        <v>26</v>
      </c>
      <c r="K165">
        <v>37100</v>
      </c>
      <c r="L165">
        <v>0</v>
      </c>
      <c r="M165">
        <v>0</v>
      </c>
      <c r="N165">
        <v>0</v>
      </c>
      <c r="O165">
        <v>0</v>
      </c>
      <c r="P165">
        <v>0</v>
      </c>
      <c r="R165">
        <v>0</v>
      </c>
      <c r="S165">
        <v>0</v>
      </c>
      <c r="U165">
        <v>1</v>
      </c>
      <c r="V165">
        <v>0.91400000000000003</v>
      </c>
      <c r="W165">
        <v>0.91400000000000003</v>
      </c>
      <c r="X165">
        <v>0</v>
      </c>
      <c r="Y165">
        <v>0</v>
      </c>
      <c r="Z165" s="16">
        <v>0</v>
      </c>
      <c r="AA165">
        <v>0</v>
      </c>
      <c r="AB165">
        <v>0</v>
      </c>
    </row>
    <row r="166" spans="1:35" x14ac:dyDescent="0.25">
      <c r="A166">
        <v>2024</v>
      </c>
      <c r="B166">
        <v>3</v>
      </c>
      <c r="C166" t="s">
        <v>34</v>
      </c>
      <c r="D166" t="s">
        <v>38</v>
      </c>
      <c r="E166">
        <v>1</v>
      </c>
      <c r="F166">
        <v>45</v>
      </c>
      <c r="G166" s="12">
        <v>45538</v>
      </c>
      <c r="H166">
        <v>246</v>
      </c>
      <c r="J166" t="s">
        <v>26</v>
      </c>
      <c r="K166">
        <v>37100</v>
      </c>
      <c r="L166">
        <v>60.6</v>
      </c>
      <c r="M166">
        <v>1.3000000000000007</v>
      </c>
      <c r="N166">
        <v>85.89</v>
      </c>
      <c r="O166">
        <v>211.3</v>
      </c>
      <c r="P166">
        <v>66.8</v>
      </c>
      <c r="R166">
        <v>425.89</v>
      </c>
      <c r="S166">
        <v>142.5</v>
      </c>
      <c r="T166">
        <v>3930333.6980306343</v>
      </c>
      <c r="U166">
        <v>1</v>
      </c>
      <c r="V166">
        <v>0.91400000000000003</v>
      </c>
      <c r="W166">
        <v>0.91400000000000003</v>
      </c>
      <c r="X166">
        <v>663.28280403424333</v>
      </c>
      <c r="Y166">
        <v>14.228839030437571</v>
      </c>
      <c r="Z166" s="16">
        <v>940.08844948021704</v>
      </c>
      <c r="AA166">
        <v>2312.7336054857365</v>
      </c>
      <c r="AB166">
        <v>731.14342094863775</v>
      </c>
      <c r="AH166">
        <v>41.147999999999996</v>
      </c>
      <c r="AI166">
        <v>11.2</v>
      </c>
    </row>
    <row r="167" spans="1:35" x14ac:dyDescent="0.25">
      <c r="A167">
        <v>2024</v>
      </c>
      <c r="B167">
        <v>3</v>
      </c>
      <c r="C167" t="s">
        <v>35</v>
      </c>
      <c r="D167" t="s">
        <v>38</v>
      </c>
      <c r="E167">
        <v>1</v>
      </c>
      <c r="F167">
        <v>46</v>
      </c>
      <c r="G167" s="12">
        <v>45538</v>
      </c>
      <c r="H167">
        <v>246</v>
      </c>
      <c r="J167" t="s">
        <v>26</v>
      </c>
      <c r="K167">
        <v>37100</v>
      </c>
      <c r="L167">
        <v>0</v>
      </c>
      <c r="M167">
        <v>0</v>
      </c>
      <c r="N167">
        <v>0</v>
      </c>
      <c r="O167">
        <v>0</v>
      </c>
      <c r="P167">
        <v>0</v>
      </c>
      <c r="R167">
        <v>0</v>
      </c>
      <c r="S167">
        <v>346.5</v>
      </c>
      <c r="T167">
        <v>3791.0284463894959</v>
      </c>
      <c r="U167">
        <v>1</v>
      </c>
      <c r="V167">
        <v>0.91400000000000003</v>
      </c>
      <c r="W167">
        <v>0.91400000000000003</v>
      </c>
      <c r="X167">
        <v>0</v>
      </c>
      <c r="Y167">
        <v>0</v>
      </c>
      <c r="Z167" s="16">
        <v>0</v>
      </c>
      <c r="AA167">
        <v>0</v>
      </c>
      <c r="AB167">
        <v>0</v>
      </c>
      <c r="AH167">
        <v>92.456000000000003</v>
      </c>
      <c r="AI167">
        <v>17</v>
      </c>
    </row>
    <row r="168" spans="1:35" x14ac:dyDescent="0.25">
      <c r="A168">
        <v>2024</v>
      </c>
      <c r="B168">
        <v>3</v>
      </c>
      <c r="C168" t="s">
        <v>36</v>
      </c>
      <c r="D168" t="s">
        <v>38</v>
      </c>
      <c r="E168">
        <v>1</v>
      </c>
      <c r="F168">
        <v>47</v>
      </c>
      <c r="G168" s="12"/>
      <c r="J168" t="s">
        <v>26</v>
      </c>
      <c r="K168">
        <v>37100</v>
      </c>
      <c r="L168">
        <v>0</v>
      </c>
      <c r="M168">
        <v>0</v>
      </c>
      <c r="N168">
        <v>0</v>
      </c>
      <c r="O168">
        <v>0</v>
      </c>
      <c r="P168">
        <v>0</v>
      </c>
      <c r="R168">
        <v>0</v>
      </c>
      <c r="S168">
        <v>0</v>
      </c>
      <c r="U168">
        <v>1</v>
      </c>
      <c r="V168">
        <v>0.91400000000000003</v>
      </c>
      <c r="W168">
        <v>0.91400000000000003</v>
      </c>
      <c r="X168">
        <v>0</v>
      </c>
      <c r="Y168">
        <v>0</v>
      </c>
      <c r="Z168" s="16">
        <v>0</v>
      </c>
      <c r="AA168">
        <v>0</v>
      </c>
      <c r="AB168">
        <v>0</v>
      </c>
    </row>
    <row r="169" spans="1:35" x14ac:dyDescent="0.25">
      <c r="A169">
        <v>2024</v>
      </c>
      <c r="B169">
        <v>3</v>
      </c>
      <c r="C169" t="s">
        <v>37</v>
      </c>
      <c r="D169" t="s">
        <v>38</v>
      </c>
      <c r="E169">
        <v>1</v>
      </c>
      <c r="F169">
        <v>48</v>
      </c>
      <c r="G169" s="12"/>
      <c r="J169" t="s">
        <v>26</v>
      </c>
      <c r="K169">
        <v>37100</v>
      </c>
      <c r="L169">
        <v>0</v>
      </c>
      <c r="M169">
        <v>0</v>
      </c>
      <c r="N169">
        <v>198.89</v>
      </c>
      <c r="O169">
        <v>0</v>
      </c>
      <c r="P169">
        <v>0</v>
      </c>
      <c r="R169">
        <v>198.89</v>
      </c>
      <c r="S169">
        <v>0</v>
      </c>
      <c r="U169">
        <v>1</v>
      </c>
      <c r="V169">
        <v>0.91400000000000003</v>
      </c>
      <c r="W169">
        <v>0.91400000000000003</v>
      </c>
      <c r="X169">
        <v>0</v>
      </c>
      <c r="Y169">
        <v>0</v>
      </c>
      <c r="Z169" s="16">
        <v>0</v>
      </c>
      <c r="AA169">
        <v>0</v>
      </c>
      <c r="AB169">
        <v>0</v>
      </c>
    </row>
    <row r="170" spans="1:35" x14ac:dyDescent="0.25">
      <c r="A170">
        <v>2024</v>
      </c>
      <c r="B170">
        <v>3</v>
      </c>
      <c r="C170" t="s">
        <v>35</v>
      </c>
      <c r="D170" t="s">
        <v>38</v>
      </c>
      <c r="E170">
        <v>2</v>
      </c>
      <c r="F170">
        <v>49</v>
      </c>
      <c r="G170" s="12">
        <v>45538</v>
      </c>
      <c r="H170">
        <v>246</v>
      </c>
      <c r="J170" t="s">
        <v>26</v>
      </c>
      <c r="K170">
        <v>37100</v>
      </c>
      <c r="L170">
        <v>88.6</v>
      </c>
      <c r="M170">
        <v>0.30000000000000071</v>
      </c>
      <c r="N170">
        <v>0</v>
      </c>
      <c r="O170">
        <v>116.3</v>
      </c>
      <c r="P170">
        <v>32.5</v>
      </c>
      <c r="R170">
        <v>237.7</v>
      </c>
      <c r="S170">
        <v>315.5</v>
      </c>
      <c r="T170">
        <v>7872.9759299781172</v>
      </c>
      <c r="U170">
        <v>1</v>
      </c>
      <c r="V170">
        <v>0.91400000000000003</v>
      </c>
      <c r="W170">
        <v>0.91400000000000003</v>
      </c>
      <c r="X170">
        <v>1726.2136340816678</v>
      </c>
      <c r="Y170">
        <v>5.8449671582900855</v>
      </c>
      <c r="Z170" s="16">
        <v>0</v>
      </c>
      <c r="AA170">
        <v>2265.8989350304514</v>
      </c>
      <c r="AB170">
        <v>633.20477548142446</v>
      </c>
      <c r="AH170">
        <v>113.53800000000001</v>
      </c>
      <c r="AI170">
        <v>21.4</v>
      </c>
    </row>
    <row r="171" spans="1:35" x14ac:dyDescent="0.25">
      <c r="A171">
        <v>2024</v>
      </c>
      <c r="B171">
        <v>3</v>
      </c>
      <c r="C171" t="s">
        <v>33</v>
      </c>
      <c r="D171" t="s">
        <v>38</v>
      </c>
      <c r="E171">
        <v>2</v>
      </c>
      <c r="F171">
        <v>50</v>
      </c>
      <c r="G171" s="12"/>
      <c r="J171" t="s">
        <v>26</v>
      </c>
      <c r="K171">
        <v>37100</v>
      </c>
      <c r="L171">
        <v>0</v>
      </c>
      <c r="M171">
        <v>0</v>
      </c>
      <c r="N171">
        <v>64.89</v>
      </c>
      <c r="O171">
        <v>0</v>
      </c>
      <c r="P171">
        <v>0</v>
      </c>
      <c r="R171">
        <v>64.89</v>
      </c>
      <c r="S171">
        <v>0</v>
      </c>
      <c r="U171">
        <v>1</v>
      </c>
      <c r="V171">
        <v>0.91400000000000003</v>
      </c>
      <c r="W171">
        <v>0.91400000000000003</v>
      </c>
      <c r="X171">
        <v>0</v>
      </c>
      <c r="Y171">
        <v>0</v>
      </c>
      <c r="Z171" s="16">
        <v>0</v>
      </c>
      <c r="AA171">
        <v>0</v>
      </c>
      <c r="AB171">
        <v>0</v>
      </c>
    </row>
    <row r="172" spans="1:35" x14ac:dyDescent="0.25">
      <c r="A172">
        <v>2024</v>
      </c>
      <c r="B172">
        <v>3</v>
      </c>
      <c r="C172" t="s">
        <v>34</v>
      </c>
      <c r="D172" t="s">
        <v>38</v>
      </c>
      <c r="E172">
        <v>2</v>
      </c>
      <c r="F172">
        <v>51</v>
      </c>
      <c r="G172" s="12">
        <v>45538</v>
      </c>
      <c r="H172">
        <v>246</v>
      </c>
      <c r="J172" t="s">
        <v>26</v>
      </c>
      <c r="K172">
        <v>37100</v>
      </c>
      <c r="L172">
        <v>46.6</v>
      </c>
      <c r="M172">
        <v>3.3000000000000007</v>
      </c>
      <c r="N172">
        <v>0</v>
      </c>
      <c r="O172">
        <v>121.3</v>
      </c>
      <c r="P172">
        <v>61.8</v>
      </c>
      <c r="R172">
        <v>232.99999999999997</v>
      </c>
      <c r="S172">
        <v>440.5</v>
      </c>
      <c r="T172">
        <v>7402.5164113785559</v>
      </c>
      <c r="U172">
        <v>1</v>
      </c>
      <c r="V172">
        <v>0.91400000000000003</v>
      </c>
      <c r="W172">
        <v>0.91400000000000003</v>
      </c>
      <c r="X172">
        <v>1461.1261161855257</v>
      </c>
      <c r="Y172">
        <v>103.47030436506942</v>
      </c>
      <c r="Z172" s="16">
        <v>0</v>
      </c>
      <c r="AA172">
        <v>3803.3175513584597</v>
      </c>
      <c r="AB172">
        <v>1937.7166090185722</v>
      </c>
      <c r="AH172">
        <v>42.925999999999995</v>
      </c>
      <c r="AI172">
        <v>11.8</v>
      </c>
    </row>
    <row r="173" spans="1:35" x14ac:dyDescent="0.25">
      <c r="A173">
        <v>2024</v>
      </c>
      <c r="B173">
        <v>3</v>
      </c>
      <c r="C173" t="s">
        <v>27</v>
      </c>
      <c r="D173" t="s">
        <v>38</v>
      </c>
      <c r="E173">
        <v>2</v>
      </c>
      <c r="F173">
        <v>52</v>
      </c>
      <c r="G173" s="12"/>
      <c r="J173" t="s">
        <v>26</v>
      </c>
      <c r="K173">
        <v>37100</v>
      </c>
      <c r="L173">
        <v>0</v>
      </c>
      <c r="M173">
        <v>0</v>
      </c>
      <c r="N173">
        <v>0</v>
      </c>
      <c r="O173">
        <v>0</v>
      </c>
      <c r="P173">
        <v>0</v>
      </c>
      <c r="R173">
        <v>0</v>
      </c>
      <c r="S173">
        <v>0</v>
      </c>
      <c r="U173">
        <v>1</v>
      </c>
      <c r="V173">
        <v>0.91400000000000003</v>
      </c>
      <c r="W173">
        <v>0.91400000000000003</v>
      </c>
      <c r="X173">
        <v>0</v>
      </c>
      <c r="Y173">
        <v>0</v>
      </c>
      <c r="Z173" s="16">
        <v>0</v>
      </c>
      <c r="AA173">
        <v>0</v>
      </c>
      <c r="AB173">
        <v>0</v>
      </c>
    </row>
    <row r="174" spans="1:35" x14ac:dyDescent="0.25">
      <c r="A174">
        <v>2024</v>
      </c>
      <c r="B174">
        <v>3</v>
      </c>
      <c r="C174" t="s">
        <v>32</v>
      </c>
      <c r="D174" t="s">
        <v>38</v>
      </c>
      <c r="E174">
        <v>2</v>
      </c>
      <c r="F174">
        <v>53</v>
      </c>
      <c r="G174" s="12"/>
      <c r="J174" t="s">
        <v>26</v>
      </c>
      <c r="K174">
        <v>37100</v>
      </c>
      <c r="L174">
        <v>0</v>
      </c>
      <c r="M174">
        <v>0</v>
      </c>
      <c r="N174">
        <v>94.89</v>
      </c>
      <c r="O174">
        <v>0</v>
      </c>
      <c r="P174">
        <v>0</v>
      </c>
      <c r="R174">
        <v>94.89</v>
      </c>
      <c r="S174">
        <v>0</v>
      </c>
      <c r="U174">
        <v>1</v>
      </c>
      <c r="V174">
        <v>0.91400000000000003</v>
      </c>
      <c r="W174">
        <v>0.91400000000000003</v>
      </c>
      <c r="X174">
        <v>0</v>
      </c>
      <c r="Y174">
        <v>0</v>
      </c>
      <c r="Z174" s="16">
        <v>0</v>
      </c>
      <c r="AA174">
        <v>0</v>
      </c>
      <c r="AB174">
        <v>0</v>
      </c>
    </row>
    <row r="175" spans="1:35" x14ac:dyDescent="0.25">
      <c r="A175">
        <v>2024</v>
      </c>
      <c r="B175">
        <v>3</v>
      </c>
      <c r="C175" t="s">
        <v>29</v>
      </c>
      <c r="D175" t="s">
        <v>38</v>
      </c>
      <c r="E175">
        <v>2</v>
      </c>
      <c r="F175">
        <v>54</v>
      </c>
      <c r="G175" s="12">
        <v>45538</v>
      </c>
      <c r="H175">
        <v>246</v>
      </c>
      <c r="J175" t="s">
        <v>26</v>
      </c>
      <c r="K175">
        <v>37100</v>
      </c>
      <c r="L175">
        <v>41.6</v>
      </c>
      <c r="M175">
        <v>0.30000000000000071</v>
      </c>
      <c r="N175">
        <v>0</v>
      </c>
      <c r="O175">
        <v>80.3</v>
      </c>
      <c r="P175">
        <v>48.5</v>
      </c>
      <c r="R175">
        <v>170.70000000000002</v>
      </c>
      <c r="S175">
        <v>641.5</v>
      </c>
      <c r="T175">
        <v>9393.7636761487956</v>
      </c>
      <c r="U175">
        <v>1</v>
      </c>
      <c r="V175">
        <v>0.91400000000000003</v>
      </c>
      <c r="W175">
        <v>0.91400000000000003</v>
      </c>
      <c r="X175">
        <v>1800.085535620203</v>
      </c>
      <c r="Y175">
        <v>12.981386074184188</v>
      </c>
      <c r="Z175" s="16">
        <v>0</v>
      </c>
      <c r="AA175">
        <v>3474.6843391899592</v>
      </c>
      <c r="AB175">
        <v>2098.6574153264387</v>
      </c>
      <c r="AH175">
        <v>103.37800000000001</v>
      </c>
      <c r="AI175">
        <v>20.8</v>
      </c>
    </row>
    <row r="176" spans="1:35" x14ac:dyDescent="0.25">
      <c r="A176">
        <v>2024</v>
      </c>
      <c r="B176">
        <v>3</v>
      </c>
      <c r="C176" t="s">
        <v>30</v>
      </c>
      <c r="D176" t="s">
        <v>38</v>
      </c>
      <c r="E176">
        <v>2</v>
      </c>
      <c r="F176">
        <v>55</v>
      </c>
      <c r="G176" s="12"/>
      <c r="J176" t="s">
        <v>26</v>
      </c>
      <c r="K176">
        <v>37100</v>
      </c>
      <c r="L176">
        <v>0</v>
      </c>
      <c r="M176">
        <v>0</v>
      </c>
      <c r="N176">
        <v>0</v>
      </c>
      <c r="O176">
        <v>0</v>
      </c>
      <c r="P176">
        <v>0</v>
      </c>
      <c r="R176">
        <v>0</v>
      </c>
      <c r="S176">
        <v>0</v>
      </c>
      <c r="U176">
        <v>1</v>
      </c>
      <c r="V176">
        <v>0.91400000000000003</v>
      </c>
      <c r="W176">
        <v>0.91400000000000003</v>
      </c>
      <c r="X176">
        <v>0</v>
      </c>
      <c r="Y176">
        <v>0</v>
      </c>
      <c r="Z176" s="16">
        <v>0</v>
      </c>
      <c r="AA176">
        <v>0</v>
      </c>
      <c r="AB176">
        <v>0</v>
      </c>
    </row>
    <row r="177" spans="1:35" x14ac:dyDescent="0.25">
      <c r="A177">
        <v>2024</v>
      </c>
      <c r="B177">
        <v>3</v>
      </c>
      <c r="C177" t="s">
        <v>36</v>
      </c>
      <c r="D177" t="s">
        <v>38</v>
      </c>
      <c r="E177">
        <v>2</v>
      </c>
      <c r="F177">
        <v>56</v>
      </c>
      <c r="G177" s="12"/>
      <c r="J177" t="s">
        <v>26</v>
      </c>
      <c r="K177">
        <v>37100</v>
      </c>
      <c r="L177">
        <v>0</v>
      </c>
      <c r="M177">
        <v>0</v>
      </c>
      <c r="N177">
        <v>59.89</v>
      </c>
      <c r="O177">
        <v>0</v>
      </c>
      <c r="P177">
        <v>0</v>
      </c>
      <c r="R177">
        <v>59.89</v>
      </c>
      <c r="S177">
        <v>0</v>
      </c>
      <c r="U177">
        <v>1</v>
      </c>
      <c r="V177">
        <v>0.91400000000000003</v>
      </c>
      <c r="W177">
        <v>0.91400000000000003</v>
      </c>
      <c r="X177">
        <v>0</v>
      </c>
      <c r="Y177">
        <v>0</v>
      </c>
      <c r="Z177" s="16">
        <v>0</v>
      </c>
      <c r="AA177">
        <v>0</v>
      </c>
      <c r="AB177">
        <v>0</v>
      </c>
    </row>
    <row r="178" spans="1:35" x14ac:dyDescent="0.25">
      <c r="A178">
        <v>2024</v>
      </c>
      <c r="B178">
        <v>3</v>
      </c>
      <c r="C178" t="s">
        <v>24</v>
      </c>
      <c r="D178" t="s">
        <v>38</v>
      </c>
      <c r="E178">
        <v>2</v>
      </c>
      <c r="F178">
        <v>57</v>
      </c>
      <c r="G178" s="12">
        <v>45538</v>
      </c>
      <c r="H178">
        <v>246</v>
      </c>
      <c r="J178" t="s">
        <v>26</v>
      </c>
      <c r="K178">
        <v>37100</v>
      </c>
      <c r="L178">
        <v>31.6</v>
      </c>
      <c r="M178">
        <v>0</v>
      </c>
      <c r="N178">
        <v>0</v>
      </c>
      <c r="O178">
        <v>126.3</v>
      </c>
      <c r="P178">
        <v>68</v>
      </c>
      <c r="R178">
        <v>225.89999999999998</v>
      </c>
      <c r="S178">
        <v>763.5</v>
      </c>
      <c r="T178">
        <v>10736.214442013128</v>
      </c>
      <c r="U178">
        <v>1</v>
      </c>
      <c r="V178">
        <v>0.91400000000000003</v>
      </c>
      <c r="W178">
        <v>0.91400000000000003</v>
      </c>
      <c r="X178">
        <v>1557.7592009165478</v>
      </c>
      <c r="Y178">
        <v>0</v>
      </c>
      <c r="Z178" s="16">
        <v>0</v>
      </c>
      <c r="AA178">
        <v>6226.1071859417707</v>
      </c>
      <c r="AB178">
        <v>3352.1400526052289</v>
      </c>
      <c r="AH178">
        <v>77.977999999999994</v>
      </c>
      <c r="AI178">
        <v>17.600000000000001</v>
      </c>
    </row>
    <row r="179" spans="1:35" x14ac:dyDescent="0.25">
      <c r="A179">
        <v>2024</v>
      </c>
      <c r="B179">
        <v>3</v>
      </c>
      <c r="C179" t="s">
        <v>37</v>
      </c>
      <c r="D179" t="s">
        <v>38</v>
      </c>
      <c r="E179">
        <v>2</v>
      </c>
      <c r="F179">
        <v>58</v>
      </c>
      <c r="G179" s="12"/>
      <c r="J179" t="s">
        <v>26</v>
      </c>
      <c r="K179">
        <v>37100</v>
      </c>
      <c r="L179">
        <v>0</v>
      </c>
      <c r="M179">
        <v>0</v>
      </c>
      <c r="N179">
        <v>0</v>
      </c>
      <c r="O179">
        <v>0</v>
      </c>
      <c r="P179">
        <v>0</v>
      </c>
      <c r="R179">
        <v>0</v>
      </c>
      <c r="S179">
        <v>0</v>
      </c>
      <c r="U179">
        <v>1</v>
      </c>
      <c r="V179">
        <v>0.91400000000000003</v>
      </c>
      <c r="W179">
        <v>0.91400000000000003</v>
      </c>
      <c r="X179">
        <v>0</v>
      </c>
      <c r="Y179">
        <v>0</v>
      </c>
      <c r="Z179" s="16">
        <v>0</v>
      </c>
      <c r="AA179">
        <v>0</v>
      </c>
      <c r="AB179">
        <v>0</v>
      </c>
    </row>
    <row r="180" spans="1:35" x14ac:dyDescent="0.25">
      <c r="A180">
        <v>2024</v>
      </c>
      <c r="B180">
        <v>3</v>
      </c>
      <c r="C180" t="s">
        <v>31</v>
      </c>
      <c r="D180" t="s">
        <v>38</v>
      </c>
      <c r="E180">
        <v>2</v>
      </c>
      <c r="F180">
        <v>59</v>
      </c>
      <c r="G180" s="12"/>
      <c r="J180" t="s">
        <v>26</v>
      </c>
      <c r="K180">
        <v>37100</v>
      </c>
      <c r="L180">
        <v>0</v>
      </c>
      <c r="M180">
        <v>0</v>
      </c>
      <c r="N180">
        <v>0</v>
      </c>
      <c r="O180">
        <v>0</v>
      </c>
      <c r="P180">
        <v>0</v>
      </c>
      <c r="R180">
        <v>0</v>
      </c>
      <c r="S180">
        <v>0</v>
      </c>
      <c r="U180">
        <v>1</v>
      </c>
      <c r="V180">
        <v>0.91400000000000003</v>
      </c>
      <c r="W180">
        <v>0.91400000000000003</v>
      </c>
      <c r="X180">
        <v>0</v>
      </c>
      <c r="Y180">
        <v>0</v>
      </c>
      <c r="Z180" s="16">
        <v>0</v>
      </c>
      <c r="AA180">
        <v>0</v>
      </c>
      <c r="AB180">
        <v>0</v>
      </c>
    </row>
    <row r="181" spans="1:35" x14ac:dyDescent="0.25">
      <c r="A181">
        <v>2024</v>
      </c>
      <c r="B181">
        <v>3</v>
      </c>
      <c r="C181" t="s">
        <v>28</v>
      </c>
      <c r="D181" t="s">
        <v>38</v>
      </c>
      <c r="E181">
        <v>2</v>
      </c>
      <c r="F181">
        <v>60</v>
      </c>
      <c r="G181" s="12"/>
      <c r="J181" t="s">
        <v>26</v>
      </c>
      <c r="K181">
        <v>37100</v>
      </c>
      <c r="L181">
        <v>0</v>
      </c>
      <c r="M181">
        <v>0</v>
      </c>
      <c r="N181">
        <v>0</v>
      </c>
      <c r="O181">
        <v>0</v>
      </c>
      <c r="P181">
        <v>0</v>
      </c>
      <c r="R181">
        <v>0</v>
      </c>
      <c r="S181">
        <v>0</v>
      </c>
      <c r="U181">
        <v>1</v>
      </c>
      <c r="V181">
        <v>0.91400000000000003</v>
      </c>
      <c r="W181">
        <v>0.91400000000000003</v>
      </c>
      <c r="X181">
        <v>0</v>
      </c>
      <c r="Y181">
        <v>0</v>
      </c>
      <c r="Z181" s="16">
        <v>0</v>
      </c>
      <c r="AA181">
        <v>0</v>
      </c>
      <c r="AB181">
        <v>0</v>
      </c>
    </row>
    <row r="182" spans="1:35" x14ac:dyDescent="0.25">
      <c r="A182">
        <v>2024</v>
      </c>
      <c r="B182">
        <v>3</v>
      </c>
      <c r="C182" t="s">
        <v>27</v>
      </c>
      <c r="D182" t="s">
        <v>38</v>
      </c>
      <c r="E182">
        <v>3</v>
      </c>
      <c r="F182">
        <v>61</v>
      </c>
      <c r="G182" s="12"/>
      <c r="J182" t="s">
        <v>26</v>
      </c>
      <c r="K182">
        <v>37100</v>
      </c>
      <c r="L182">
        <v>0</v>
      </c>
      <c r="M182">
        <v>0</v>
      </c>
      <c r="N182">
        <v>0</v>
      </c>
      <c r="O182">
        <v>0</v>
      </c>
      <c r="P182">
        <v>0</v>
      </c>
      <c r="R182">
        <v>0</v>
      </c>
      <c r="S182">
        <v>0</v>
      </c>
      <c r="U182">
        <v>1</v>
      </c>
      <c r="V182">
        <v>0.91400000000000003</v>
      </c>
      <c r="W182">
        <v>0.91400000000000003</v>
      </c>
      <c r="X182">
        <v>0</v>
      </c>
      <c r="Y182">
        <v>0</v>
      </c>
      <c r="Z182" s="16">
        <v>0</v>
      </c>
      <c r="AA182">
        <v>0</v>
      </c>
      <c r="AB182">
        <v>0</v>
      </c>
    </row>
    <row r="183" spans="1:35" x14ac:dyDescent="0.25">
      <c r="A183">
        <v>2024</v>
      </c>
      <c r="B183">
        <v>3</v>
      </c>
      <c r="C183" t="s">
        <v>24</v>
      </c>
      <c r="D183" t="s">
        <v>38</v>
      </c>
      <c r="E183">
        <v>3</v>
      </c>
      <c r="F183">
        <v>62</v>
      </c>
      <c r="G183" s="12">
        <v>45538</v>
      </c>
      <c r="H183">
        <v>246</v>
      </c>
      <c r="J183" t="s">
        <v>26</v>
      </c>
      <c r="K183">
        <v>37100</v>
      </c>
      <c r="L183">
        <v>22.6</v>
      </c>
      <c r="M183">
        <v>0</v>
      </c>
      <c r="N183">
        <v>70.89</v>
      </c>
      <c r="O183">
        <v>129.30000000000001</v>
      </c>
      <c r="P183">
        <v>70.8</v>
      </c>
      <c r="R183">
        <v>293.59000000000003</v>
      </c>
      <c r="S183">
        <v>569.5</v>
      </c>
      <c r="T183">
        <v>8668.3807439824941</v>
      </c>
      <c r="U183">
        <v>1</v>
      </c>
      <c r="V183">
        <v>0.91400000000000003</v>
      </c>
      <c r="W183">
        <v>0.91400000000000003</v>
      </c>
      <c r="X183">
        <v>879.32763954398479</v>
      </c>
      <c r="Y183">
        <v>0</v>
      </c>
      <c r="Z183" s="16">
        <v>2758.2095737731452</v>
      </c>
      <c r="AA183">
        <v>5030.8435306653646</v>
      </c>
      <c r="AB183">
        <v>2754.7078265360233</v>
      </c>
      <c r="AH183">
        <v>81.534000000000006</v>
      </c>
      <c r="AI183">
        <v>18.8</v>
      </c>
    </row>
    <row r="184" spans="1:35" x14ac:dyDescent="0.25">
      <c r="A184">
        <v>2024</v>
      </c>
      <c r="B184">
        <v>3</v>
      </c>
      <c r="C184" t="s">
        <v>33</v>
      </c>
      <c r="D184" t="s">
        <v>38</v>
      </c>
      <c r="E184">
        <v>3</v>
      </c>
      <c r="F184">
        <v>63</v>
      </c>
      <c r="G184" s="12"/>
      <c r="J184" t="s">
        <v>26</v>
      </c>
      <c r="K184">
        <v>37100</v>
      </c>
      <c r="L184">
        <v>0</v>
      </c>
      <c r="M184">
        <v>0</v>
      </c>
      <c r="N184">
        <v>0</v>
      </c>
      <c r="O184">
        <v>0</v>
      </c>
      <c r="P184">
        <v>0</v>
      </c>
      <c r="R184">
        <v>0</v>
      </c>
      <c r="S184">
        <v>0</v>
      </c>
      <c r="U184">
        <v>1</v>
      </c>
      <c r="V184">
        <v>0.91400000000000003</v>
      </c>
      <c r="W184">
        <v>0.91400000000000003</v>
      </c>
      <c r="X184">
        <v>0</v>
      </c>
      <c r="Y184">
        <v>0</v>
      </c>
      <c r="Z184" s="16">
        <v>0</v>
      </c>
      <c r="AA184">
        <v>0</v>
      </c>
      <c r="AB184">
        <v>0</v>
      </c>
    </row>
    <row r="185" spans="1:35" x14ac:dyDescent="0.25">
      <c r="A185">
        <v>2024</v>
      </c>
      <c r="B185">
        <v>3</v>
      </c>
      <c r="C185" t="s">
        <v>34</v>
      </c>
      <c r="D185" t="s">
        <v>38</v>
      </c>
      <c r="E185">
        <v>3</v>
      </c>
      <c r="F185">
        <v>64</v>
      </c>
      <c r="G185" s="12">
        <v>45538</v>
      </c>
      <c r="H185">
        <v>246</v>
      </c>
      <c r="J185" t="s">
        <v>26</v>
      </c>
      <c r="K185">
        <v>37100</v>
      </c>
      <c r="L185">
        <v>48.6</v>
      </c>
      <c r="M185">
        <v>0.30000000000000071</v>
      </c>
      <c r="N185">
        <v>95.89</v>
      </c>
      <c r="O185">
        <v>150.30000000000001</v>
      </c>
      <c r="P185">
        <v>50.8</v>
      </c>
      <c r="R185">
        <v>345.89000000000004</v>
      </c>
      <c r="S185">
        <v>418.5</v>
      </c>
      <c r="T185">
        <v>7807.3304157549228</v>
      </c>
      <c r="U185">
        <v>1</v>
      </c>
      <c r="V185">
        <v>0.91400000000000003</v>
      </c>
      <c r="W185">
        <v>0.91400000000000003</v>
      </c>
      <c r="X185">
        <v>1285.8323162617819</v>
      </c>
      <c r="Y185">
        <v>7.9372365201344763</v>
      </c>
      <c r="Z185" s="16">
        <v>2537.0053663856438</v>
      </c>
      <c r="AA185">
        <v>3976.5554965873625</v>
      </c>
      <c r="AB185">
        <v>1344.0387174094346</v>
      </c>
      <c r="AH185">
        <v>53.085999999999999</v>
      </c>
      <c r="AI185">
        <v>15.8</v>
      </c>
    </row>
    <row r="186" spans="1:35" x14ac:dyDescent="0.25">
      <c r="A186">
        <v>2024</v>
      </c>
      <c r="B186">
        <v>3</v>
      </c>
      <c r="C186" t="s">
        <v>37</v>
      </c>
      <c r="D186" t="s">
        <v>38</v>
      </c>
      <c r="E186">
        <v>3</v>
      </c>
      <c r="F186">
        <v>65</v>
      </c>
      <c r="G186" s="12"/>
      <c r="J186" t="s">
        <v>26</v>
      </c>
      <c r="K186">
        <v>37100</v>
      </c>
      <c r="L186">
        <v>0</v>
      </c>
      <c r="M186">
        <v>0</v>
      </c>
      <c r="N186">
        <v>0</v>
      </c>
      <c r="O186">
        <v>0</v>
      </c>
      <c r="P186">
        <v>0</v>
      </c>
      <c r="R186">
        <v>0</v>
      </c>
      <c r="S186">
        <v>0</v>
      </c>
      <c r="U186">
        <v>1</v>
      </c>
      <c r="V186">
        <v>0.91400000000000003</v>
      </c>
      <c r="W186">
        <v>0.91400000000000003</v>
      </c>
      <c r="X186">
        <v>0</v>
      </c>
      <c r="Y186">
        <v>0</v>
      </c>
      <c r="Z186" s="16">
        <v>0</v>
      </c>
      <c r="AA186">
        <v>0</v>
      </c>
      <c r="AB186">
        <v>0</v>
      </c>
    </row>
    <row r="187" spans="1:35" x14ac:dyDescent="0.25">
      <c r="A187">
        <v>2024</v>
      </c>
      <c r="B187">
        <v>3</v>
      </c>
      <c r="C187" t="s">
        <v>36</v>
      </c>
      <c r="D187" t="s">
        <v>38</v>
      </c>
      <c r="E187">
        <v>3</v>
      </c>
      <c r="F187">
        <v>66</v>
      </c>
      <c r="G187" s="12"/>
      <c r="J187" t="s">
        <v>26</v>
      </c>
      <c r="K187">
        <v>37100</v>
      </c>
      <c r="L187">
        <v>0</v>
      </c>
      <c r="M187">
        <v>0</v>
      </c>
      <c r="N187">
        <v>0</v>
      </c>
      <c r="O187">
        <v>0</v>
      </c>
      <c r="P187">
        <v>0</v>
      </c>
      <c r="R187">
        <v>0</v>
      </c>
      <c r="S187">
        <v>0</v>
      </c>
      <c r="U187">
        <v>1</v>
      </c>
      <c r="V187">
        <v>0.91400000000000003</v>
      </c>
      <c r="W187">
        <v>0.91400000000000003</v>
      </c>
      <c r="X187">
        <v>0</v>
      </c>
      <c r="Y187">
        <v>0</v>
      </c>
      <c r="Z187" s="16">
        <v>0</v>
      </c>
      <c r="AA187">
        <v>0</v>
      </c>
      <c r="AB187">
        <v>0</v>
      </c>
    </row>
    <row r="188" spans="1:35" x14ac:dyDescent="0.25">
      <c r="A188">
        <v>2024</v>
      </c>
      <c r="B188">
        <v>3</v>
      </c>
      <c r="C188" t="s">
        <v>35</v>
      </c>
      <c r="D188" t="s">
        <v>38</v>
      </c>
      <c r="E188">
        <v>3</v>
      </c>
      <c r="F188">
        <v>67</v>
      </c>
      <c r="G188" s="12">
        <v>45538</v>
      </c>
      <c r="H188">
        <v>246</v>
      </c>
      <c r="J188" t="s">
        <v>26</v>
      </c>
      <c r="K188">
        <v>37100</v>
      </c>
      <c r="L188">
        <v>23.6</v>
      </c>
      <c r="M188">
        <v>6.3000000000000007</v>
      </c>
      <c r="N188">
        <v>81.89</v>
      </c>
      <c r="O188">
        <v>83.3</v>
      </c>
      <c r="P188">
        <v>50.399999999999991</v>
      </c>
      <c r="R188">
        <v>245.48999999999998</v>
      </c>
      <c r="S188">
        <v>438.5</v>
      </c>
      <c r="T188">
        <v>6932.0568927789927</v>
      </c>
      <c r="U188">
        <v>1</v>
      </c>
      <c r="V188">
        <v>0.91400000000000003</v>
      </c>
      <c r="W188">
        <v>0.91400000000000003</v>
      </c>
      <c r="X188">
        <v>838.56959695312048</v>
      </c>
      <c r="Y188">
        <v>223.85544325443468</v>
      </c>
      <c r="Z188" s="16">
        <v>2909.7654362072467</v>
      </c>
      <c r="AA188">
        <v>2959.8664163641915</v>
      </c>
      <c r="AB188">
        <v>1790.8435460354772</v>
      </c>
      <c r="AH188">
        <v>76.2</v>
      </c>
      <c r="AI188">
        <v>14</v>
      </c>
    </row>
    <row r="189" spans="1:35" x14ac:dyDescent="0.25">
      <c r="A189">
        <v>2024</v>
      </c>
      <c r="B189">
        <v>3</v>
      </c>
      <c r="C189" t="s">
        <v>28</v>
      </c>
      <c r="D189" t="s">
        <v>38</v>
      </c>
      <c r="E189">
        <v>3</v>
      </c>
      <c r="F189">
        <v>68</v>
      </c>
      <c r="G189" s="12"/>
      <c r="J189" t="s">
        <v>26</v>
      </c>
      <c r="K189">
        <v>37100</v>
      </c>
      <c r="L189">
        <v>0</v>
      </c>
      <c r="M189">
        <v>0</v>
      </c>
      <c r="N189">
        <v>0</v>
      </c>
      <c r="O189">
        <v>0</v>
      </c>
      <c r="P189">
        <v>0</v>
      </c>
      <c r="R189">
        <v>0</v>
      </c>
      <c r="S189">
        <v>0</v>
      </c>
      <c r="U189">
        <v>1</v>
      </c>
      <c r="V189">
        <v>0.91400000000000003</v>
      </c>
      <c r="W189">
        <v>0.91400000000000003</v>
      </c>
      <c r="X189">
        <v>0</v>
      </c>
      <c r="Y189">
        <v>0</v>
      </c>
      <c r="Z189" s="16">
        <v>0</v>
      </c>
      <c r="AA189">
        <v>0</v>
      </c>
      <c r="AB189">
        <v>0</v>
      </c>
    </row>
    <row r="190" spans="1:35" x14ac:dyDescent="0.25">
      <c r="A190">
        <v>2024</v>
      </c>
      <c r="B190">
        <v>3</v>
      </c>
      <c r="C190" t="s">
        <v>29</v>
      </c>
      <c r="D190" t="s">
        <v>38</v>
      </c>
      <c r="E190">
        <v>3</v>
      </c>
      <c r="F190">
        <v>69</v>
      </c>
      <c r="G190" s="12">
        <v>45538</v>
      </c>
      <c r="H190">
        <v>246</v>
      </c>
      <c r="J190" t="s">
        <v>26</v>
      </c>
      <c r="K190">
        <v>37100</v>
      </c>
      <c r="L190">
        <v>31.6</v>
      </c>
      <c r="M190">
        <v>0</v>
      </c>
      <c r="N190">
        <v>77.89</v>
      </c>
      <c r="O190">
        <v>60.3</v>
      </c>
      <c r="P190">
        <v>33.099999999999994</v>
      </c>
      <c r="R190">
        <v>202.89</v>
      </c>
      <c r="S190">
        <v>765.5</v>
      </c>
      <c r="T190">
        <v>10232.932166301969</v>
      </c>
      <c r="U190">
        <v>1</v>
      </c>
      <c r="V190">
        <v>0.91400000000000003</v>
      </c>
      <c r="W190">
        <v>0.91400000000000003</v>
      </c>
      <c r="X190">
        <v>1904.4740942054436</v>
      </c>
      <c r="Y190">
        <v>0</v>
      </c>
      <c r="Z190" s="16">
        <v>4694.2875695462653</v>
      </c>
      <c r="AA190">
        <v>3634.1705025502606</v>
      </c>
      <c r="AB190">
        <v>1994.8763455126636</v>
      </c>
      <c r="AH190">
        <v>103.37800000000001</v>
      </c>
      <c r="AI190">
        <v>18.600000000000001</v>
      </c>
    </row>
    <row r="191" spans="1:35" x14ac:dyDescent="0.25">
      <c r="A191">
        <v>2024</v>
      </c>
      <c r="B191">
        <v>3</v>
      </c>
      <c r="C191" t="s">
        <v>31</v>
      </c>
      <c r="D191" t="s">
        <v>38</v>
      </c>
      <c r="E191">
        <v>3</v>
      </c>
      <c r="F191">
        <v>70</v>
      </c>
      <c r="G191" s="12"/>
      <c r="J191" t="s">
        <v>26</v>
      </c>
      <c r="K191">
        <v>37100</v>
      </c>
      <c r="L191">
        <v>0</v>
      </c>
      <c r="M191">
        <v>0</v>
      </c>
      <c r="N191">
        <v>0</v>
      </c>
      <c r="O191">
        <v>0</v>
      </c>
      <c r="P191">
        <v>0</v>
      </c>
      <c r="R191">
        <v>0</v>
      </c>
      <c r="S191">
        <v>0</v>
      </c>
      <c r="U191">
        <v>1</v>
      </c>
      <c r="V191">
        <v>0.91400000000000003</v>
      </c>
      <c r="W191">
        <v>0.91400000000000003</v>
      </c>
      <c r="X191">
        <v>0</v>
      </c>
      <c r="Y191">
        <v>0</v>
      </c>
      <c r="Z191" s="16">
        <v>0</v>
      </c>
      <c r="AA191">
        <v>0</v>
      </c>
      <c r="AB191">
        <v>0</v>
      </c>
    </row>
    <row r="192" spans="1:35" x14ac:dyDescent="0.25">
      <c r="A192">
        <v>2024</v>
      </c>
      <c r="B192">
        <v>3</v>
      </c>
      <c r="C192" t="s">
        <v>30</v>
      </c>
      <c r="D192" t="s">
        <v>38</v>
      </c>
      <c r="E192">
        <v>3</v>
      </c>
      <c r="F192">
        <v>71</v>
      </c>
      <c r="G192" s="12"/>
      <c r="J192" t="s">
        <v>26</v>
      </c>
      <c r="K192">
        <v>37100</v>
      </c>
      <c r="L192">
        <v>0</v>
      </c>
      <c r="M192">
        <v>0</v>
      </c>
      <c r="N192">
        <v>0</v>
      </c>
      <c r="O192">
        <v>0</v>
      </c>
      <c r="P192">
        <v>0</v>
      </c>
      <c r="R192">
        <v>0</v>
      </c>
      <c r="S192">
        <v>0</v>
      </c>
      <c r="U192">
        <v>1</v>
      </c>
      <c r="V192">
        <v>0.91400000000000003</v>
      </c>
      <c r="W192">
        <v>0.91400000000000003</v>
      </c>
      <c r="X192">
        <v>0</v>
      </c>
      <c r="Y192">
        <v>0</v>
      </c>
      <c r="Z192" s="16">
        <v>0</v>
      </c>
      <c r="AA192">
        <v>0</v>
      </c>
      <c r="AB192">
        <v>0</v>
      </c>
    </row>
    <row r="193" spans="1:35" x14ac:dyDescent="0.25">
      <c r="A193">
        <v>2024</v>
      </c>
      <c r="B193">
        <v>3</v>
      </c>
      <c r="C193" t="s">
        <v>32</v>
      </c>
      <c r="D193" t="s">
        <v>38</v>
      </c>
      <c r="E193">
        <v>3</v>
      </c>
      <c r="F193">
        <v>72</v>
      </c>
      <c r="G193" s="12"/>
      <c r="J193" t="s">
        <v>26</v>
      </c>
      <c r="K193">
        <v>37100</v>
      </c>
      <c r="L193">
        <v>0</v>
      </c>
      <c r="M193">
        <v>0</v>
      </c>
      <c r="N193">
        <v>0</v>
      </c>
      <c r="O193">
        <v>0</v>
      </c>
      <c r="P193">
        <v>0</v>
      </c>
      <c r="R193">
        <v>0</v>
      </c>
      <c r="S193">
        <v>0</v>
      </c>
      <c r="U193">
        <v>1</v>
      </c>
      <c r="V193">
        <v>0.91400000000000003</v>
      </c>
      <c r="W193">
        <v>0.91400000000000003</v>
      </c>
      <c r="X193">
        <v>0</v>
      </c>
      <c r="Y193">
        <v>0</v>
      </c>
      <c r="Z193" s="16">
        <v>0</v>
      </c>
      <c r="AA193">
        <v>0</v>
      </c>
      <c r="AB193">
        <v>0</v>
      </c>
    </row>
    <row r="194" spans="1:35" x14ac:dyDescent="0.25">
      <c r="A194">
        <v>2024</v>
      </c>
      <c r="B194">
        <v>2</v>
      </c>
      <c r="C194" t="s">
        <v>24</v>
      </c>
      <c r="D194" t="s">
        <v>25</v>
      </c>
      <c r="E194">
        <v>1</v>
      </c>
      <c r="F194">
        <v>1</v>
      </c>
      <c r="G194" s="12">
        <v>45527</v>
      </c>
      <c r="H194">
        <v>235</v>
      </c>
      <c r="J194" t="s">
        <v>26</v>
      </c>
      <c r="K194">
        <v>37100</v>
      </c>
      <c r="L194">
        <v>0</v>
      </c>
      <c r="M194">
        <v>0</v>
      </c>
      <c r="N194">
        <v>0</v>
      </c>
      <c r="O194">
        <v>0</v>
      </c>
      <c r="P194">
        <v>0</v>
      </c>
      <c r="R194">
        <v>0</v>
      </c>
      <c r="S194">
        <v>0</v>
      </c>
      <c r="U194">
        <v>1</v>
      </c>
      <c r="V194">
        <v>0.91400000000000003</v>
      </c>
      <c r="W194">
        <v>0.91400000000000003</v>
      </c>
      <c r="X194">
        <v>0</v>
      </c>
      <c r="Y194">
        <v>0</v>
      </c>
      <c r="Z194" s="16">
        <v>0</v>
      </c>
      <c r="AA194">
        <v>0</v>
      </c>
    </row>
    <row r="195" spans="1:35" x14ac:dyDescent="0.25">
      <c r="A195">
        <v>2024</v>
      </c>
      <c r="B195">
        <v>2</v>
      </c>
      <c r="C195" t="s">
        <v>27</v>
      </c>
      <c r="D195" t="s">
        <v>25</v>
      </c>
      <c r="E195">
        <v>1</v>
      </c>
      <c r="F195">
        <v>2</v>
      </c>
      <c r="G195" s="12">
        <v>45527</v>
      </c>
      <c r="H195">
        <v>235</v>
      </c>
      <c r="J195" t="s">
        <v>26</v>
      </c>
      <c r="K195">
        <v>37100</v>
      </c>
      <c r="L195">
        <v>38.800000000000004</v>
      </c>
      <c r="M195">
        <v>0</v>
      </c>
      <c r="N195">
        <v>85.259999999999991</v>
      </c>
      <c r="O195">
        <v>28.599999999999998</v>
      </c>
      <c r="P195">
        <v>5.9000000000000021</v>
      </c>
      <c r="R195">
        <v>158.55999999999997</v>
      </c>
      <c r="S195">
        <v>210.7</v>
      </c>
      <c r="T195">
        <v>3975.4923413566744</v>
      </c>
      <c r="U195">
        <v>1</v>
      </c>
      <c r="V195">
        <v>0.91400000000000003</v>
      </c>
      <c r="W195">
        <v>0.91400000000000003</v>
      </c>
      <c r="X195">
        <v>1010.4094251581224</v>
      </c>
      <c r="Y195">
        <v>0</v>
      </c>
      <c r="Z195" s="16">
        <v>2220.2965873448843</v>
      </c>
      <c r="AA195">
        <v>744.78632885366744</v>
      </c>
      <c r="AB195">
        <v>153.64473217610632</v>
      </c>
      <c r="AH195">
        <v>58.42</v>
      </c>
      <c r="AI195">
        <v>17.399999999999999</v>
      </c>
    </row>
    <row r="196" spans="1:35" x14ac:dyDescent="0.25">
      <c r="A196">
        <v>2024</v>
      </c>
      <c r="B196">
        <v>2</v>
      </c>
      <c r="C196" t="s">
        <v>28</v>
      </c>
      <c r="D196" t="s">
        <v>25</v>
      </c>
      <c r="E196">
        <v>1</v>
      </c>
      <c r="F196">
        <v>3</v>
      </c>
      <c r="G196" s="12">
        <v>45527</v>
      </c>
      <c r="H196">
        <v>235</v>
      </c>
      <c r="J196" t="s">
        <v>26</v>
      </c>
      <c r="K196">
        <v>37100</v>
      </c>
      <c r="L196">
        <v>46.6</v>
      </c>
      <c r="M196">
        <v>0</v>
      </c>
      <c r="N196">
        <v>110.16</v>
      </c>
      <c r="O196">
        <v>23.3</v>
      </c>
      <c r="P196">
        <v>1.6000000000000014</v>
      </c>
      <c r="R196">
        <v>181.66</v>
      </c>
      <c r="S196">
        <v>285.5</v>
      </c>
      <c r="T196">
        <v>5093.6542669584242</v>
      </c>
      <c r="U196">
        <v>1</v>
      </c>
      <c r="V196">
        <v>0.91400000000000003</v>
      </c>
      <c r="W196">
        <v>0.91400000000000003</v>
      </c>
      <c r="X196">
        <v>1318.2510765315037</v>
      </c>
      <c r="Y196">
        <v>0</v>
      </c>
      <c r="Z196" s="16">
        <v>3116.2776521611686</v>
      </c>
      <c r="AA196">
        <v>659.12553826575186</v>
      </c>
      <c r="AB196">
        <v>45.261839537562395</v>
      </c>
      <c r="AH196">
        <v>56.134000000000007</v>
      </c>
      <c r="AI196">
        <v>13.6</v>
      </c>
    </row>
    <row r="197" spans="1:35" x14ac:dyDescent="0.25">
      <c r="A197">
        <v>2024</v>
      </c>
      <c r="B197">
        <v>2</v>
      </c>
      <c r="C197" t="s">
        <v>29</v>
      </c>
      <c r="D197" t="s">
        <v>25</v>
      </c>
      <c r="E197">
        <v>1</v>
      </c>
      <c r="F197">
        <v>4</v>
      </c>
      <c r="G197" s="12">
        <v>45534</v>
      </c>
      <c r="H197">
        <v>242</v>
      </c>
      <c r="J197" t="s">
        <v>26</v>
      </c>
      <c r="K197">
        <v>37100</v>
      </c>
      <c r="L197">
        <v>20.6</v>
      </c>
      <c r="M197">
        <v>0</v>
      </c>
      <c r="N197">
        <v>74.16</v>
      </c>
      <c r="O197">
        <v>33.299999999999997</v>
      </c>
      <c r="P197">
        <v>18.3</v>
      </c>
      <c r="R197">
        <v>146.35999999999999</v>
      </c>
      <c r="S197">
        <v>217.5</v>
      </c>
      <c r="T197">
        <v>3780.7439824945295</v>
      </c>
      <c r="U197">
        <v>1</v>
      </c>
      <c r="V197">
        <v>0.91400000000000003</v>
      </c>
      <c r="W197">
        <v>0.91400000000000003</v>
      </c>
      <c r="X197">
        <v>608.17840105721791</v>
      </c>
      <c r="Y197">
        <v>0</v>
      </c>
      <c r="Z197" s="16">
        <v>2189.4422438059837</v>
      </c>
      <c r="AA197">
        <v>983.1233376313279</v>
      </c>
      <c r="AB197">
        <v>540.27498734694598</v>
      </c>
      <c r="AH197">
        <v>53.34</v>
      </c>
      <c r="AI197">
        <v>16.2</v>
      </c>
    </row>
    <row r="198" spans="1:35" x14ac:dyDescent="0.25">
      <c r="A198">
        <v>2024</v>
      </c>
      <c r="B198">
        <v>2</v>
      </c>
      <c r="C198" t="s">
        <v>30</v>
      </c>
      <c r="D198" t="s">
        <v>25</v>
      </c>
      <c r="E198">
        <v>1</v>
      </c>
      <c r="F198">
        <v>5</v>
      </c>
      <c r="G198" s="12">
        <v>45527</v>
      </c>
      <c r="H198">
        <v>235</v>
      </c>
      <c r="J198" t="s">
        <v>26</v>
      </c>
      <c r="K198">
        <v>37100</v>
      </c>
      <c r="L198">
        <v>51.6</v>
      </c>
      <c r="M198">
        <v>0.30000000000000071</v>
      </c>
      <c r="N198">
        <v>120.16</v>
      </c>
      <c r="O198">
        <v>40.299999999999997</v>
      </c>
      <c r="P198">
        <v>8.5</v>
      </c>
      <c r="R198">
        <v>220.86</v>
      </c>
      <c r="S198">
        <v>226.5</v>
      </c>
      <c r="T198">
        <v>4801.531728665208</v>
      </c>
      <c r="U198">
        <v>1</v>
      </c>
      <c r="V198">
        <v>0.91400000000000003</v>
      </c>
      <c r="W198">
        <v>0.91400000000000003</v>
      </c>
      <c r="X198">
        <v>1166.6935260836538</v>
      </c>
      <c r="Y198">
        <v>6.7831018958352134</v>
      </c>
      <c r="Z198" s="16">
        <v>2716.8584126785245</v>
      </c>
      <c r="AA198">
        <v>911.19668800719467</v>
      </c>
      <c r="AB198">
        <v>192.18788704866392</v>
      </c>
      <c r="AH198">
        <v>67.564000000000007</v>
      </c>
      <c r="AI198">
        <v>18.2</v>
      </c>
    </row>
    <row r="199" spans="1:35" x14ac:dyDescent="0.25">
      <c r="A199">
        <v>2024</v>
      </c>
      <c r="B199">
        <v>2</v>
      </c>
      <c r="C199" t="s">
        <v>31</v>
      </c>
      <c r="D199" t="s">
        <v>25</v>
      </c>
      <c r="E199">
        <v>1</v>
      </c>
      <c r="F199">
        <v>6</v>
      </c>
      <c r="G199" s="12">
        <v>45534</v>
      </c>
      <c r="H199">
        <v>242</v>
      </c>
      <c r="J199" t="s">
        <v>26</v>
      </c>
      <c r="K199">
        <v>37100</v>
      </c>
      <c r="L199">
        <v>0</v>
      </c>
      <c r="M199">
        <v>0</v>
      </c>
      <c r="N199">
        <v>0</v>
      </c>
      <c r="O199">
        <v>0</v>
      </c>
      <c r="P199">
        <v>0</v>
      </c>
      <c r="R199">
        <v>0</v>
      </c>
      <c r="S199">
        <v>417.9</v>
      </c>
      <c r="T199">
        <v>4572.2100656455141</v>
      </c>
      <c r="U199">
        <v>1</v>
      </c>
      <c r="V199">
        <v>0.91400000000000003</v>
      </c>
      <c r="W199">
        <v>0.91400000000000003</v>
      </c>
      <c r="X199">
        <v>0</v>
      </c>
      <c r="Y199">
        <v>0</v>
      </c>
      <c r="Z199" s="16">
        <v>0</v>
      </c>
      <c r="AA199">
        <v>0</v>
      </c>
      <c r="AB199">
        <v>0</v>
      </c>
    </row>
    <row r="200" spans="1:35" x14ac:dyDescent="0.25">
      <c r="A200">
        <v>2024</v>
      </c>
      <c r="B200">
        <v>2</v>
      </c>
      <c r="C200" t="s">
        <v>32</v>
      </c>
      <c r="D200" t="s">
        <v>25</v>
      </c>
      <c r="E200">
        <v>1</v>
      </c>
      <c r="F200">
        <v>7</v>
      </c>
      <c r="G200" s="12">
        <v>45534</v>
      </c>
      <c r="H200">
        <v>242</v>
      </c>
      <c r="J200" t="s">
        <v>26</v>
      </c>
      <c r="K200">
        <v>37100</v>
      </c>
      <c r="L200">
        <v>0</v>
      </c>
      <c r="M200">
        <v>0</v>
      </c>
      <c r="N200">
        <v>0</v>
      </c>
      <c r="O200">
        <v>0</v>
      </c>
      <c r="P200">
        <v>0</v>
      </c>
      <c r="R200">
        <v>0</v>
      </c>
      <c r="S200">
        <v>373.5</v>
      </c>
      <c r="T200">
        <v>4086.4332603938728</v>
      </c>
      <c r="U200">
        <v>1</v>
      </c>
      <c r="V200">
        <v>0.91400000000000003</v>
      </c>
      <c r="W200">
        <v>0.91400000000000003</v>
      </c>
      <c r="X200">
        <v>0</v>
      </c>
      <c r="Y200">
        <v>0</v>
      </c>
      <c r="Z200" s="16">
        <v>0</v>
      </c>
      <c r="AA200">
        <v>0</v>
      </c>
      <c r="AB200">
        <v>0</v>
      </c>
    </row>
    <row r="201" spans="1:35" x14ac:dyDescent="0.25">
      <c r="A201">
        <v>2024</v>
      </c>
      <c r="B201">
        <v>2</v>
      </c>
      <c r="C201" t="s">
        <v>33</v>
      </c>
      <c r="D201" t="s">
        <v>25</v>
      </c>
      <c r="E201">
        <v>1</v>
      </c>
      <c r="F201">
        <v>8</v>
      </c>
      <c r="G201" s="12">
        <v>45534</v>
      </c>
      <c r="H201">
        <v>242</v>
      </c>
      <c r="J201" t="s">
        <v>26</v>
      </c>
      <c r="K201">
        <v>37100</v>
      </c>
      <c r="L201">
        <v>0</v>
      </c>
      <c r="M201">
        <v>0</v>
      </c>
      <c r="N201">
        <v>0</v>
      </c>
      <c r="O201">
        <v>0</v>
      </c>
      <c r="P201">
        <v>0</v>
      </c>
      <c r="R201">
        <v>0</v>
      </c>
      <c r="S201">
        <v>476.4</v>
      </c>
      <c r="T201">
        <v>5212.253829321663</v>
      </c>
      <c r="U201">
        <v>1</v>
      </c>
      <c r="V201">
        <v>0.91400000000000003</v>
      </c>
      <c r="W201">
        <v>0.91400000000000003</v>
      </c>
      <c r="X201">
        <v>0</v>
      </c>
      <c r="Y201">
        <v>0</v>
      </c>
      <c r="Z201" s="16">
        <v>0</v>
      </c>
      <c r="AA201">
        <v>0</v>
      </c>
      <c r="AB201">
        <v>0</v>
      </c>
    </row>
    <row r="202" spans="1:35" x14ac:dyDescent="0.25">
      <c r="A202">
        <v>2024</v>
      </c>
      <c r="B202">
        <v>2</v>
      </c>
      <c r="C202" t="s">
        <v>34</v>
      </c>
      <c r="D202" t="s">
        <v>25</v>
      </c>
      <c r="E202">
        <v>1</v>
      </c>
      <c r="F202">
        <v>9</v>
      </c>
      <c r="G202" s="12">
        <v>45527</v>
      </c>
      <c r="H202">
        <v>235</v>
      </c>
      <c r="J202" t="s">
        <v>26</v>
      </c>
      <c r="K202">
        <v>37100</v>
      </c>
      <c r="L202">
        <v>77.599999999999994</v>
      </c>
      <c r="M202">
        <v>0</v>
      </c>
      <c r="N202">
        <v>117.25999999999999</v>
      </c>
      <c r="O202">
        <v>52.899999999999991</v>
      </c>
      <c r="P202">
        <v>5.6999999999999993</v>
      </c>
      <c r="R202">
        <v>253.45999999999995</v>
      </c>
      <c r="S202">
        <v>66.199999999999989</v>
      </c>
      <c r="T202">
        <v>3435.0109409190363</v>
      </c>
      <c r="U202">
        <v>1</v>
      </c>
      <c r="V202">
        <v>0.91400000000000003</v>
      </c>
      <c r="W202">
        <v>0.91400000000000003</v>
      </c>
      <c r="X202">
        <v>1075.8671658674409</v>
      </c>
      <c r="Y202">
        <v>0</v>
      </c>
      <c r="Z202" s="16">
        <v>1625.7240189383524</v>
      </c>
      <c r="AA202">
        <v>733.41975611324256</v>
      </c>
      <c r="AB202">
        <v>79.026325327891939</v>
      </c>
      <c r="AH202">
        <v>35.56</v>
      </c>
      <c r="AI202">
        <v>12.2</v>
      </c>
    </row>
    <row r="203" spans="1:35" x14ac:dyDescent="0.25">
      <c r="A203">
        <v>2024</v>
      </c>
      <c r="B203">
        <v>2</v>
      </c>
      <c r="C203" t="s">
        <v>35</v>
      </c>
      <c r="D203" t="s">
        <v>25</v>
      </c>
      <c r="E203">
        <v>1</v>
      </c>
      <c r="F203">
        <v>10</v>
      </c>
      <c r="G203" s="12">
        <v>45534</v>
      </c>
      <c r="H203">
        <v>242</v>
      </c>
      <c r="J203" t="s">
        <v>26</v>
      </c>
      <c r="K203">
        <v>37100</v>
      </c>
      <c r="L203">
        <v>16.600000000000001</v>
      </c>
      <c r="M203">
        <v>3.3000000000000007</v>
      </c>
      <c r="N203">
        <v>81.16</v>
      </c>
      <c r="O203">
        <v>49.3</v>
      </c>
      <c r="P203">
        <v>23.8</v>
      </c>
      <c r="R203">
        <v>174.15999999999997</v>
      </c>
      <c r="S203">
        <v>123.5</v>
      </c>
      <c r="T203">
        <v>2996.280087527352</v>
      </c>
      <c r="U203">
        <v>1</v>
      </c>
      <c r="V203">
        <v>0.91400000000000003</v>
      </c>
      <c r="W203">
        <v>0.91400000000000003</v>
      </c>
      <c r="X203">
        <v>330.79442307098992</v>
      </c>
      <c r="Y203">
        <v>65.760337116522109</v>
      </c>
      <c r="Z203" s="16">
        <v>1617.3057455687674</v>
      </c>
      <c r="AA203">
        <v>982.41958177107244</v>
      </c>
      <c r="AB203">
        <v>474.27152223431091</v>
      </c>
      <c r="AH203">
        <v>55.372</v>
      </c>
      <c r="AI203">
        <v>11.8</v>
      </c>
    </row>
    <row r="204" spans="1:35" x14ac:dyDescent="0.25">
      <c r="A204">
        <v>2024</v>
      </c>
      <c r="B204">
        <v>2</v>
      </c>
      <c r="C204" t="s">
        <v>36</v>
      </c>
      <c r="D204" t="s">
        <v>25</v>
      </c>
      <c r="E204">
        <v>1</v>
      </c>
      <c r="F204">
        <v>11</v>
      </c>
      <c r="G204" s="12">
        <v>45527</v>
      </c>
      <c r="H204">
        <v>235</v>
      </c>
      <c r="J204" t="s">
        <v>26</v>
      </c>
      <c r="K204">
        <v>37100</v>
      </c>
      <c r="L204">
        <v>19.600000000000001</v>
      </c>
      <c r="M204">
        <v>0.30000000000000071</v>
      </c>
      <c r="N204">
        <v>70.16</v>
      </c>
      <c r="O204">
        <v>32.299999999999997</v>
      </c>
      <c r="P204">
        <v>11.900000000000002</v>
      </c>
      <c r="R204">
        <v>134.26</v>
      </c>
      <c r="S204">
        <v>72.5</v>
      </c>
      <c r="T204">
        <v>2131.9474835886208</v>
      </c>
      <c r="U204">
        <v>1</v>
      </c>
      <c r="V204">
        <v>0.91400000000000003</v>
      </c>
      <c r="W204">
        <v>0.91400000000000003</v>
      </c>
      <c r="X204">
        <v>341.5018852430286</v>
      </c>
      <c r="Y204">
        <v>5.2270696720871834</v>
      </c>
      <c r="Z204" s="16">
        <v>1222.4373606454531</v>
      </c>
      <c r="AA204">
        <v>562.78116802805198</v>
      </c>
      <c r="AB204">
        <v>207.3404303261245</v>
      </c>
      <c r="AH204">
        <v>39.116</v>
      </c>
      <c r="AI204">
        <v>12.4</v>
      </c>
    </row>
    <row r="205" spans="1:35" x14ac:dyDescent="0.25">
      <c r="A205">
        <v>2024</v>
      </c>
      <c r="B205">
        <v>2</v>
      </c>
      <c r="C205" t="s">
        <v>37</v>
      </c>
      <c r="D205" t="s">
        <v>25</v>
      </c>
      <c r="E205">
        <v>1</v>
      </c>
      <c r="F205">
        <v>12</v>
      </c>
      <c r="G205" s="12">
        <v>45527</v>
      </c>
      <c r="H205">
        <v>235</v>
      </c>
      <c r="J205" t="s">
        <v>26</v>
      </c>
      <c r="K205">
        <v>37100</v>
      </c>
      <c r="L205">
        <v>0</v>
      </c>
      <c r="M205">
        <v>0</v>
      </c>
      <c r="N205">
        <v>0</v>
      </c>
      <c r="O205">
        <v>0</v>
      </c>
      <c r="P205">
        <v>0</v>
      </c>
      <c r="R205">
        <v>0</v>
      </c>
      <c r="S205">
        <v>294.5</v>
      </c>
      <c r="T205">
        <v>3222.1006564551421</v>
      </c>
      <c r="U205">
        <v>1</v>
      </c>
      <c r="V205">
        <v>0.91400000000000003</v>
      </c>
      <c r="W205">
        <v>0.91400000000000003</v>
      </c>
      <c r="X205">
        <v>0</v>
      </c>
      <c r="Y205">
        <v>0</v>
      </c>
      <c r="Z205" s="16">
        <v>0</v>
      </c>
      <c r="AA205">
        <v>0</v>
      </c>
      <c r="AB205">
        <v>0</v>
      </c>
    </row>
    <row r="206" spans="1:35" x14ac:dyDescent="0.25">
      <c r="A206">
        <v>2024</v>
      </c>
      <c r="B206">
        <v>2</v>
      </c>
      <c r="C206" t="s">
        <v>35</v>
      </c>
      <c r="D206" t="s">
        <v>25</v>
      </c>
      <c r="E206">
        <v>2</v>
      </c>
      <c r="F206">
        <v>13</v>
      </c>
      <c r="G206" s="12">
        <v>45534</v>
      </c>
      <c r="H206">
        <v>242</v>
      </c>
      <c r="J206" t="s">
        <v>26</v>
      </c>
      <c r="K206">
        <v>37100</v>
      </c>
      <c r="L206">
        <v>25.6</v>
      </c>
      <c r="M206">
        <v>3.3000000000000007</v>
      </c>
      <c r="N206">
        <v>77.16</v>
      </c>
      <c r="O206">
        <v>29.3</v>
      </c>
      <c r="P206">
        <v>11</v>
      </c>
      <c r="R206">
        <v>146.35999999999999</v>
      </c>
      <c r="S206">
        <v>124.5</v>
      </c>
      <c r="T206">
        <v>2843.1072210065645</v>
      </c>
      <c r="U206">
        <v>1</v>
      </c>
      <c r="V206">
        <v>0.91400000000000003</v>
      </c>
      <c r="W206">
        <v>0.91400000000000003</v>
      </c>
      <c r="X206">
        <v>537.70349333457489</v>
      </c>
      <c r="Y206">
        <v>69.313340937660072</v>
      </c>
      <c r="Z206" s="16">
        <v>1620.6719353787421</v>
      </c>
      <c r="AA206">
        <v>615.41845135558776</v>
      </c>
      <c r="AB206">
        <v>231.04446979220015</v>
      </c>
      <c r="AH206">
        <v>52.324000000000005</v>
      </c>
      <c r="AI206">
        <v>16</v>
      </c>
    </row>
    <row r="207" spans="1:35" x14ac:dyDescent="0.25">
      <c r="A207">
        <v>2024</v>
      </c>
      <c r="B207">
        <v>2</v>
      </c>
      <c r="C207" t="s">
        <v>33</v>
      </c>
      <c r="D207" t="s">
        <v>25</v>
      </c>
      <c r="E207">
        <v>2</v>
      </c>
      <c r="F207">
        <v>14</v>
      </c>
      <c r="G207" s="12">
        <v>45534</v>
      </c>
      <c r="H207">
        <v>242</v>
      </c>
      <c r="J207" t="s">
        <v>26</v>
      </c>
      <c r="K207">
        <v>37100</v>
      </c>
      <c r="L207">
        <v>0</v>
      </c>
      <c r="M207">
        <v>0</v>
      </c>
      <c r="N207">
        <v>0</v>
      </c>
      <c r="O207">
        <v>0</v>
      </c>
      <c r="P207">
        <v>0</v>
      </c>
      <c r="R207">
        <v>0</v>
      </c>
      <c r="S207">
        <v>431.1</v>
      </c>
      <c r="T207">
        <v>4716.6301969365422</v>
      </c>
      <c r="U207">
        <v>1</v>
      </c>
      <c r="V207">
        <v>0.91400000000000003</v>
      </c>
      <c r="W207">
        <v>0.91400000000000003</v>
      </c>
      <c r="X207">
        <v>0</v>
      </c>
      <c r="Y207">
        <v>0</v>
      </c>
      <c r="Z207" s="16">
        <v>0</v>
      </c>
      <c r="AA207">
        <v>0</v>
      </c>
      <c r="AB207">
        <v>0</v>
      </c>
    </row>
    <row r="208" spans="1:35" x14ac:dyDescent="0.25">
      <c r="A208">
        <v>2024</v>
      </c>
      <c r="B208">
        <v>2</v>
      </c>
      <c r="C208" t="s">
        <v>34</v>
      </c>
      <c r="D208" t="s">
        <v>25</v>
      </c>
      <c r="E208">
        <v>2</v>
      </c>
      <c r="F208">
        <v>15</v>
      </c>
      <c r="G208" s="12">
        <v>45527</v>
      </c>
      <c r="H208">
        <v>235</v>
      </c>
      <c r="J208" t="s">
        <v>26</v>
      </c>
      <c r="K208">
        <v>37100</v>
      </c>
      <c r="L208">
        <v>30.500000000000007</v>
      </c>
      <c r="M208">
        <v>0</v>
      </c>
      <c r="N208">
        <v>69.259999999999991</v>
      </c>
      <c r="O208">
        <v>19.2</v>
      </c>
      <c r="P208">
        <v>2.6000000000000014</v>
      </c>
      <c r="R208">
        <v>121.55999999999999</v>
      </c>
      <c r="S208">
        <v>136.5</v>
      </c>
      <c r="T208">
        <v>2794.9671772428887</v>
      </c>
      <c r="U208">
        <v>1</v>
      </c>
      <c r="V208">
        <v>0.91400000000000003</v>
      </c>
      <c r="W208">
        <v>0.91400000000000003</v>
      </c>
      <c r="X208">
        <v>716.59800694273827</v>
      </c>
      <c r="Y208">
        <v>0</v>
      </c>
      <c r="Z208" s="16">
        <v>1627.2648511755422</v>
      </c>
      <c r="AA208">
        <v>451.10431912460882</v>
      </c>
      <c r="AB208">
        <v>61.087043214790825</v>
      </c>
      <c r="AH208">
        <v>36.067999999999998</v>
      </c>
      <c r="AI208">
        <v>12.8</v>
      </c>
    </row>
    <row r="209" spans="1:35" x14ac:dyDescent="0.25">
      <c r="A209">
        <v>2024</v>
      </c>
      <c r="B209">
        <v>2</v>
      </c>
      <c r="C209" t="s">
        <v>27</v>
      </c>
      <c r="D209" t="s">
        <v>25</v>
      </c>
      <c r="E209">
        <v>2</v>
      </c>
      <c r="F209">
        <v>16</v>
      </c>
      <c r="G209" s="12">
        <v>45527</v>
      </c>
      <c r="H209">
        <v>235</v>
      </c>
      <c r="J209" t="s">
        <v>26</v>
      </c>
      <c r="K209">
        <v>37100</v>
      </c>
      <c r="L209">
        <v>16.600000000000001</v>
      </c>
      <c r="M209">
        <v>0</v>
      </c>
      <c r="N209">
        <v>70.16</v>
      </c>
      <c r="O209">
        <v>17.3</v>
      </c>
      <c r="P209">
        <v>0.19999999999999929</v>
      </c>
      <c r="R209">
        <v>104.26</v>
      </c>
      <c r="S209">
        <v>257.5</v>
      </c>
      <c r="T209">
        <v>3955.7986870897153</v>
      </c>
      <c r="U209">
        <v>1</v>
      </c>
      <c r="V209">
        <v>0.91400000000000003</v>
      </c>
      <c r="W209">
        <v>0.91400000000000003</v>
      </c>
      <c r="X209">
        <v>631.04226605505744</v>
      </c>
      <c r="Y209">
        <v>0</v>
      </c>
      <c r="Z209" s="16">
        <v>2667.1039389411339</v>
      </c>
      <c r="AA209">
        <v>657.65248209352364</v>
      </c>
      <c r="AB209">
        <v>7.6029188681331945</v>
      </c>
      <c r="AH209">
        <v>55.118000000000002</v>
      </c>
      <c r="AI209">
        <v>15.2</v>
      </c>
    </row>
    <row r="210" spans="1:35" x14ac:dyDescent="0.25">
      <c r="A210">
        <v>2024</v>
      </c>
      <c r="B210">
        <v>2</v>
      </c>
      <c r="C210" t="s">
        <v>32</v>
      </c>
      <c r="D210" t="s">
        <v>25</v>
      </c>
      <c r="E210">
        <v>2</v>
      </c>
      <c r="F210">
        <v>17</v>
      </c>
      <c r="G210" s="12">
        <v>45534</v>
      </c>
      <c r="H210">
        <v>242</v>
      </c>
      <c r="J210" t="s">
        <v>26</v>
      </c>
      <c r="K210">
        <v>37100</v>
      </c>
      <c r="L210">
        <v>0</v>
      </c>
      <c r="M210">
        <v>0</v>
      </c>
      <c r="N210">
        <v>0</v>
      </c>
      <c r="O210">
        <v>0</v>
      </c>
      <c r="P210">
        <v>0</v>
      </c>
      <c r="R210">
        <v>0</v>
      </c>
      <c r="S210">
        <v>378.5</v>
      </c>
      <c r="T210">
        <v>4141.1378555798683</v>
      </c>
      <c r="U210">
        <v>1</v>
      </c>
      <c r="V210">
        <v>0.91400000000000003</v>
      </c>
      <c r="W210">
        <v>0.91400000000000003</v>
      </c>
      <c r="X210">
        <v>0</v>
      </c>
      <c r="Y210">
        <v>0</v>
      </c>
      <c r="Z210" s="16">
        <v>0</v>
      </c>
      <c r="AA210">
        <v>0</v>
      </c>
      <c r="AB210">
        <v>0</v>
      </c>
    </row>
    <row r="211" spans="1:35" x14ac:dyDescent="0.25">
      <c r="A211">
        <v>2024</v>
      </c>
      <c r="B211">
        <v>2</v>
      </c>
      <c r="C211" t="s">
        <v>29</v>
      </c>
      <c r="D211" t="s">
        <v>25</v>
      </c>
      <c r="E211">
        <v>2</v>
      </c>
      <c r="F211">
        <v>18</v>
      </c>
      <c r="G211" s="12">
        <v>45534</v>
      </c>
      <c r="H211">
        <v>242</v>
      </c>
      <c r="J211" t="s">
        <v>26</v>
      </c>
      <c r="K211">
        <v>37100</v>
      </c>
      <c r="L211">
        <v>23.599999999999998</v>
      </c>
      <c r="M211">
        <v>0.30000000000000071</v>
      </c>
      <c r="N211">
        <v>77.16</v>
      </c>
      <c r="O211">
        <v>37.299999999999997</v>
      </c>
      <c r="P211">
        <v>18.2</v>
      </c>
      <c r="R211">
        <v>156.55999999999997</v>
      </c>
      <c r="S211">
        <v>236.5</v>
      </c>
      <c r="T211">
        <v>4101.3129102844632</v>
      </c>
      <c r="U211">
        <v>1</v>
      </c>
      <c r="V211">
        <v>0.91400000000000003</v>
      </c>
      <c r="W211">
        <v>0.91400000000000003</v>
      </c>
      <c r="X211">
        <v>699.55901042724304</v>
      </c>
      <c r="Y211">
        <v>8.8926992850920943</v>
      </c>
      <c r="Z211" s="16">
        <v>2287.2022561256808</v>
      </c>
      <c r="AA211">
        <v>1105.6589444464475</v>
      </c>
      <c r="AB211">
        <v>539.49042329558574</v>
      </c>
      <c r="AH211">
        <v>63.5</v>
      </c>
      <c r="AI211">
        <v>16.600000000000001</v>
      </c>
    </row>
    <row r="212" spans="1:35" x14ac:dyDescent="0.25">
      <c r="A212">
        <v>2024</v>
      </c>
      <c r="B212">
        <v>2</v>
      </c>
      <c r="C212" t="s">
        <v>30</v>
      </c>
      <c r="D212" t="s">
        <v>25</v>
      </c>
      <c r="E212">
        <v>2</v>
      </c>
      <c r="F212">
        <v>19</v>
      </c>
      <c r="G212" s="12">
        <v>45527</v>
      </c>
      <c r="H212">
        <v>235</v>
      </c>
      <c r="J212" t="s">
        <v>26</v>
      </c>
      <c r="K212">
        <v>37100</v>
      </c>
      <c r="L212">
        <v>32.000000000000007</v>
      </c>
      <c r="M212">
        <v>0</v>
      </c>
      <c r="N212">
        <v>87.46</v>
      </c>
      <c r="O212">
        <v>14.400000000000002</v>
      </c>
      <c r="P212">
        <v>1</v>
      </c>
      <c r="R212">
        <v>134.86000000000001</v>
      </c>
      <c r="S212">
        <v>187</v>
      </c>
      <c r="T212">
        <v>3510.5032822757116</v>
      </c>
      <c r="U212">
        <v>1</v>
      </c>
      <c r="V212">
        <v>0.91400000000000003</v>
      </c>
      <c r="W212">
        <v>0.91400000000000003</v>
      </c>
      <c r="X212">
        <v>839.20592434500816</v>
      </c>
      <c r="Y212">
        <v>0</v>
      </c>
      <c r="Z212" s="16">
        <v>2293.6546919754501</v>
      </c>
      <c r="AA212">
        <v>377.64266595525362</v>
      </c>
      <c r="AB212">
        <v>26.225185135781501</v>
      </c>
      <c r="AH212">
        <v>64.007999999999996</v>
      </c>
      <c r="AI212">
        <v>19.399999999999999</v>
      </c>
    </row>
    <row r="213" spans="1:35" x14ac:dyDescent="0.25">
      <c r="A213">
        <v>2024</v>
      </c>
      <c r="B213">
        <v>2</v>
      </c>
      <c r="C213" t="s">
        <v>36</v>
      </c>
      <c r="D213" t="s">
        <v>25</v>
      </c>
      <c r="E213">
        <v>2</v>
      </c>
      <c r="F213">
        <v>20</v>
      </c>
      <c r="G213" s="12">
        <v>45527</v>
      </c>
      <c r="H213">
        <v>235</v>
      </c>
      <c r="J213" t="s">
        <v>26</v>
      </c>
      <c r="K213">
        <v>37100</v>
      </c>
      <c r="L213">
        <v>57.300000000000004</v>
      </c>
      <c r="M213">
        <v>0</v>
      </c>
      <c r="N213">
        <v>93.36</v>
      </c>
      <c r="O213">
        <v>60.399999999999991</v>
      </c>
      <c r="P213">
        <v>11.3</v>
      </c>
      <c r="R213">
        <v>222.36</v>
      </c>
      <c r="S213">
        <v>41.699999999999989</v>
      </c>
      <c r="T213">
        <v>2765.4266958424505</v>
      </c>
      <c r="U213">
        <v>1</v>
      </c>
      <c r="V213">
        <v>0.91400000000000003</v>
      </c>
      <c r="W213">
        <v>0.91400000000000003</v>
      </c>
      <c r="X213">
        <v>750.77679177377263</v>
      </c>
      <c r="Y213">
        <v>0</v>
      </c>
      <c r="Z213" s="16">
        <v>1223.2551706806178</v>
      </c>
      <c r="AA213">
        <v>791.3947333880601</v>
      </c>
      <c r="AB213">
        <v>148.05894846498481</v>
      </c>
      <c r="AH213">
        <v>38.353999999999999</v>
      </c>
      <c r="AI213">
        <v>14.4</v>
      </c>
    </row>
    <row r="214" spans="1:35" x14ac:dyDescent="0.25">
      <c r="A214">
        <v>2024</v>
      </c>
      <c r="B214">
        <v>2</v>
      </c>
      <c r="C214" t="s">
        <v>24</v>
      </c>
      <c r="D214" t="s">
        <v>25</v>
      </c>
      <c r="E214">
        <v>2</v>
      </c>
      <c r="F214">
        <v>21</v>
      </c>
      <c r="G214" s="12">
        <v>45527</v>
      </c>
      <c r="H214">
        <v>235</v>
      </c>
      <c r="J214" t="s">
        <v>26</v>
      </c>
      <c r="K214">
        <v>37100</v>
      </c>
      <c r="L214">
        <v>41.800000000000004</v>
      </c>
      <c r="M214">
        <v>0</v>
      </c>
      <c r="N214">
        <v>89.56</v>
      </c>
      <c r="O214">
        <v>45.8</v>
      </c>
      <c r="P214">
        <v>14.7</v>
      </c>
      <c r="R214">
        <v>191.86</v>
      </c>
      <c r="S214">
        <v>160.30000000000001</v>
      </c>
      <c r="T214">
        <v>3692.1225382932162</v>
      </c>
      <c r="U214">
        <v>1</v>
      </c>
      <c r="V214">
        <v>0.91400000000000003</v>
      </c>
      <c r="W214">
        <v>0.91400000000000003</v>
      </c>
      <c r="X214">
        <v>871.13751467970451</v>
      </c>
      <c r="Y214">
        <v>0</v>
      </c>
      <c r="Z214" s="16">
        <v>1866.4850673376634</v>
      </c>
      <c r="AA214">
        <v>954.49995627584826</v>
      </c>
      <c r="AB214">
        <v>306.35697286582905</v>
      </c>
      <c r="AH214">
        <v>54.61</v>
      </c>
      <c r="AI214">
        <v>17.8</v>
      </c>
    </row>
    <row r="215" spans="1:35" x14ac:dyDescent="0.25">
      <c r="A215">
        <v>2024</v>
      </c>
      <c r="B215">
        <v>2</v>
      </c>
      <c r="C215" t="s">
        <v>37</v>
      </c>
      <c r="D215" t="s">
        <v>25</v>
      </c>
      <c r="E215">
        <v>2</v>
      </c>
      <c r="F215">
        <v>22</v>
      </c>
      <c r="G215" s="12">
        <v>45527</v>
      </c>
      <c r="H215">
        <v>235</v>
      </c>
      <c r="J215" t="s">
        <v>26</v>
      </c>
      <c r="K215">
        <v>37100</v>
      </c>
      <c r="L215">
        <v>41.800000000000004</v>
      </c>
      <c r="M215">
        <v>0</v>
      </c>
      <c r="N215">
        <v>84.259999999999991</v>
      </c>
      <c r="O215">
        <v>33.799999999999997</v>
      </c>
      <c r="P215">
        <v>8.1999999999999993</v>
      </c>
      <c r="R215">
        <v>168.05999999999997</v>
      </c>
      <c r="S215">
        <v>188.8</v>
      </c>
      <c r="T215">
        <v>3810.2844638949673</v>
      </c>
      <c r="U215">
        <v>1</v>
      </c>
      <c r="V215">
        <v>0.91400000000000003</v>
      </c>
      <c r="W215">
        <v>0.91400000000000003</v>
      </c>
      <c r="X215">
        <v>998.80779249222155</v>
      </c>
      <c r="Y215">
        <v>0</v>
      </c>
      <c r="Z215" s="16">
        <v>2013.3862343395831</v>
      </c>
      <c r="AA215">
        <v>807.64840636930819</v>
      </c>
      <c r="AB215">
        <v>195.93837077598602</v>
      </c>
      <c r="AH215">
        <v>65.531999999999996</v>
      </c>
      <c r="AI215">
        <v>20.2</v>
      </c>
    </row>
    <row r="216" spans="1:35" x14ac:dyDescent="0.25">
      <c r="A216">
        <v>2024</v>
      </c>
      <c r="B216">
        <v>2</v>
      </c>
      <c r="C216" t="s">
        <v>31</v>
      </c>
      <c r="D216" t="s">
        <v>25</v>
      </c>
      <c r="E216">
        <v>2</v>
      </c>
      <c r="F216">
        <v>23</v>
      </c>
      <c r="G216" s="12">
        <v>45534</v>
      </c>
      <c r="H216">
        <v>242</v>
      </c>
      <c r="J216" t="s">
        <v>26</v>
      </c>
      <c r="K216">
        <v>37100</v>
      </c>
      <c r="L216">
        <v>0</v>
      </c>
      <c r="M216">
        <v>0</v>
      </c>
      <c r="N216">
        <v>0</v>
      </c>
      <c r="O216">
        <v>0</v>
      </c>
      <c r="P216">
        <v>0</v>
      </c>
      <c r="R216">
        <v>0</v>
      </c>
      <c r="S216">
        <v>343.9</v>
      </c>
      <c r="T216">
        <v>3762.5820568927788</v>
      </c>
      <c r="U216">
        <v>1</v>
      </c>
      <c r="V216">
        <v>0.91400000000000003</v>
      </c>
      <c r="W216">
        <v>0.91400000000000003</v>
      </c>
      <c r="X216">
        <v>0</v>
      </c>
      <c r="Y216">
        <v>0</v>
      </c>
      <c r="Z216" s="16">
        <v>0</v>
      </c>
      <c r="AA216">
        <v>0</v>
      </c>
      <c r="AB216">
        <v>0</v>
      </c>
    </row>
    <row r="217" spans="1:35" x14ac:dyDescent="0.25">
      <c r="A217">
        <v>2024</v>
      </c>
      <c r="B217">
        <v>2</v>
      </c>
      <c r="C217" t="s">
        <v>28</v>
      </c>
      <c r="D217" t="s">
        <v>25</v>
      </c>
      <c r="E217">
        <v>2</v>
      </c>
      <c r="F217">
        <v>24</v>
      </c>
      <c r="G217" s="12">
        <v>45527</v>
      </c>
      <c r="H217">
        <v>235</v>
      </c>
      <c r="J217" t="s">
        <v>26</v>
      </c>
      <c r="K217">
        <v>37100</v>
      </c>
      <c r="L217">
        <v>56.699999999999996</v>
      </c>
      <c r="M217">
        <v>0.5</v>
      </c>
      <c r="N217">
        <v>125.46000000000002</v>
      </c>
      <c r="O217">
        <v>33.700000000000003</v>
      </c>
      <c r="P217">
        <v>2</v>
      </c>
      <c r="R217">
        <v>218.36</v>
      </c>
      <c r="S217">
        <v>99.600000000000023</v>
      </c>
      <c r="T217">
        <v>3456.8927789934355</v>
      </c>
      <c r="U217">
        <v>1</v>
      </c>
      <c r="V217">
        <v>0.91400000000000003</v>
      </c>
      <c r="W217">
        <v>0.91400000000000003</v>
      </c>
      <c r="X217">
        <v>905.9244803518568</v>
      </c>
      <c r="Y217">
        <v>7.988752031321491</v>
      </c>
      <c r="Z217" s="16">
        <v>2004.5376596991887</v>
      </c>
      <c r="AA217">
        <v>538.44188691106842</v>
      </c>
      <c r="AB217">
        <v>31.955008125285964</v>
      </c>
      <c r="AH217">
        <v>41.910000000000004</v>
      </c>
      <c r="AI217">
        <v>13.2</v>
      </c>
    </row>
    <row r="218" spans="1:35" x14ac:dyDescent="0.25">
      <c r="A218">
        <v>2024</v>
      </c>
      <c r="B218">
        <v>2</v>
      </c>
      <c r="C218" t="s">
        <v>27</v>
      </c>
      <c r="D218" t="s">
        <v>25</v>
      </c>
      <c r="E218">
        <v>3</v>
      </c>
      <c r="F218">
        <v>25</v>
      </c>
      <c r="G218" s="12">
        <v>45527</v>
      </c>
      <c r="H218">
        <v>235</v>
      </c>
      <c r="J218" t="s">
        <v>26</v>
      </c>
      <c r="K218">
        <v>37100</v>
      </c>
      <c r="L218">
        <v>24.800000000000004</v>
      </c>
      <c r="M218">
        <v>0</v>
      </c>
      <c r="N218">
        <v>63.36</v>
      </c>
      <c r="O218">
        <v>20.900000000000002</v>
      </c>
      <c r="P218">
        <v>2.8000000000000007</v>
      </c>
      <c r="R218">
        <v>111.86</v>
      </c>
      <c r="S218">
        <v>227.5</v>
      </c>
      <c r="T218">
        <v>3682.2757111597375</v>
      </c>
      <c r="U218">
        <v>1</v>
      </c>
      <c r="V218">
        <v>0.91400000000000003</v>
      </c>
      <c r="W218">
        <v>0.91400000000000003</v>
      </c>
      <c r="X218">
        <v>837.34125836018245</v>
      </c>
      <c r="Y218">
        <v>0</v>
      </c>
      <c r="Z218" s="16">
        <v>2139.2718600685948</v>
      </c>
      <c r="AA218">
        <v>705.66259273096023</v>
      </c>
      <c r="AB218">
        <v>94.538529169698023</v>
      </c>
      <c r="AH218">
        <v>48.514000000000003</v>
      </c>
      <c r="AI218">
        <v>14.4</v>
      </c>
    </row>
    <row r="219" spans="1:35" x14ac:dyDescent="0.25">
      <c r="A219">
        <v>2024</v>
      </c>
      <c r="B219">
        <v>2</v>
      </c>
      <c r="C219" t="s">
        <v>24</v>
      </c>
      <c r="D219" t="s">
        <v>25</v>
      </c>
      <c r="E219">
        <v>3</v>
      </c>
      <c r="F219">
        <v>26</v>
      </c>
      <c r="G219" s="12">
        <v>45527</v>
      </c>
      <c r="H219">
        <v>235</v>
      </c>
      <c r="J219" t="s">
        <v>26</v>
      </c>
      <c r="K219">
        <v>37100</v>
      </c>
      <c r="L219">
        <v>42.4</v>
      </c>
      <c r="M219">
        <v>0</v>
      </c>
      <c r="N219">
        <v>87.36</v>
      </c>
      <c r="O219">
        <v>54.5</v>
      </c>
      <c r="P219">
        <v>13.7</v>
      </c>
      <c r="R219">
        <v>197.95999999999998</v>
      </c>
      <c r="S219">
        <v>201.5</v>
      </c>
      <c r="T219">
        <v>4220.5689277899337</v>
      </c>
      <c r="U219">
        <v>1</v>
      </c>
      <c r="V219">
        <v>0.91400000000000003</v>
      </c>
      <c r="W219">
        <v>0.91400000000000003</v>
      </c>
      <c r="X219">
        <v>971.19354465588412</v>
      </c>
      <c r="Y219">
        <v>0</v>
      </c>
      <c r="Z219" s="16">
        <v>2001.02519012118</v>
      </c>
      <c r="AA219">
        <v>1248.3501930128698</v>
      </c>
      <c r="AB219">
        <v>313.80546136286819</v>
      </c>
      <c r="AH219">
        <v>51.308</v>
      </c>
      <c r="AI219">
        <v>17</v>
      </c>
    </row>
    <row r="220" spans="1:35" x14ac:dyDescent="0.25">
      <c r="A220">
        <v>2024</v>
      </c>
      <c r="B220">
        <v>2</v>
      </c>
      <c r="C220" t="s">
        <v>33</v>
      </c>
      <c r="D220" t="s">
        <v>25</v>
      </c>
      <c r="E220">
        <v>3</v>
      </c>
      <c r="F220">
        <v>27</v>
      </c>
      <c r="G220" s="12">
        <v>45534</v>
      </c>
      <c r="H220">
        <v>242</v>
      </c>
      <c r="J220" t="s">
        <v>26</v>
      </c>
      <c r="K220">
        <v>37100</v>
      </c>
      <c r="L220">
        <v>0</v>
      </c>
      <c r="M220">
        <v>0</v>
      </c>
      <c r="N220">
        <v>0</v>
      </c>
      <c r="O220">
        <v>0</v>
      </c>
      <c r="P220">
        <v>0</v>
      </c>
      <c r="R220">
        <v>0</v>
      </c>
      <c r="S220">
        <v>387.6</v>
      </c>
      <c r="T220">
        <v>4240.7002188183806</v>
      </c>
      <c r="U220">
        <v>1</v>
      </c>
      <c r="V220">
        <v>0.91400000000000003</v>
      </c>
      <c r="W220">
        <v>0.91400000000000003</v>
      </c>
      <c r="X220">
        <v>0</v>
      </c>
      <c r="Y220">
        <v>0</v>
      </c>
      <c r="Z220" s="16">
        <v>0</v>
      </c>
      <c r="AA220">
        <v>0</v>
      </c>
      <c r="AB220">
        <v>0</v>
      </c>
    </row>
    <row r="221" spans="1:35" x14ac:dyDescent="0.25">
      <c r="A221">
        <v>2024</v>
      </c>
      <c r="B221">
        <v>2</v>
      </c>
      <c r="C221" t="s">
        <v>34</v>
      </c>
      <c r="D221" t="s">
        <v>25</v>
      </c>
      <c r="E221">
        <v>3</v>
      </c>
      <c r="F221">
        <v>28</v>
      </c>
      <c r="G221" s="12">
        <v>45527</v>
      </c>
      <c r="H221">
        <v>235</v>
      </c>
      <c r="J221" t="s">
        <v>26</v>
      </c>
      <c r="K221">
        <v>37100</v>
      </c>
      <c r="L221">
        <v>49.6</v>
      </c>
      <c r="M221">
        <v>0.30000000000000071</v>
      </c>
      <c r="N221">
        <v>102.16</v>
      </c>
      <c r="O221">
        <v>45.3</v>
      </c>
      <c r="P221">
        <v>6.8000000000000007</v>
      </c>
      <c r="R221">
        <v>204.16</v>
      </c>
      <c r="S221">
        <v>146.5</v>
      </c>
      <c r="T221">
        <v>3762.1444201312906</v>
      </c>
      <c r="U221">
        <v>1</v>
      </c>
      <c r="V221">
        <v>0.91400000000000003</v>
      </c>
      <c r="W221">
        <v>0.91400000000000003</v>
      </c>
      <c r="X221">
        <v>945.4923147472233</v>
      </c>
      <c r="Y221">
        <v>5.7187035166162845</v>
      </c>
      <c r="Z221" s="16">
        <v>1947.409170858394</v>
      </c>
      <c r="AA221">
        <v>863.52423100905685</v>
      </c>
      <c r="AB221">
        <v>129.62394637663547</v>
      </c>
      <c r="AH221">
        <v>40.64</v>
      </c>
      <c r="AI221">
        <v>13</v>
      </c>
    </row>
    <row r="222" spans="1:35" x14ac:dyDescent="0.25">
      <c r="A222">
        <v>2024</v>
      </c>
      <c r="B222">
        <v>2</v>
      </c>
      <c r="C222" t="s">
        <v>37</v>
      </c>
      <c r="D222" t="s">
        <v>25</v>
      </c>
      <c r="E222">
        <v>3</v>
      </c>
      <c r="F222">
        <v>29</v>
      </c>
      <c r="G222" s="12">
        <v>45527</v>
      </c>
      <c r="H222">
        <v>235</v>
      </c>
      <c r="J222" t="s">
        <v>26</v>
      </c>
      <c r="K222">
        <v>37100</v>
      </c>
      <c r="L222">
        <v>0</v>
      </c>
      <c r="M222">
        <v>0</v>
      </c>
      <c r="N222">
        <v>0</v>
      </c>
      <c r="O222">
        <v>0</v>
      </c>
      <c r="P222">
        <v>0</v>
      </c>
      <c r="R222">
        <v>0</v>
      </c>
      <c r="S222">
        <v>527.5</v>
      </c>
      <c r="T222">
        <v>5771.3347921225377</v>
      </c>
      <c r="U222">
        <v>1</v>
      </c>
      <c r="V222">
        <v>0.91400000000000003</v>
      </c>
      <c r="W222">
        <v>0.91400000000000003</v>
      </c>
      <c r="X222">
        <v>0</v>
      </c>
      <c r="Y222">
        <v>0</v>
      </c>
      <c r="Z222" s="16">
        <v>0</v>
      </c>
      <c r="AA222">
        <v>0</v>
      </c>
      <c r="AB222">
        <v>0</v>
      </c>
    </row>
    <row r="223" spans="1:35" x14ac:dyDescent="0.25">
      <c r="A223">
        <v>2024</v>
      </c>
      <c r="B223">
        <v>2</v>
      </c>
      <c r="C223" t="s">
        <v>36</v>
      </c>
      <c r="D223" t="s">
        <v>25</v>
      </c>
      <c r="E223">
        <v>3</v>
      </c>
      <c r="F223">
        <v>30</v>
      </c>
      <c r="G223" s="12">
        <v>45527</v>
      </c>
      <c r="H223">
        <v>235</v>
      </c>
      <c r="J223" t="s">
        <v>26</v>
      </c>
      <c r="K223">
        <v>37100</v>
      </c>
      <c r="L223">
        <v>40.1</v>
      </c>
      <c r="M223">
        <v>0</v>
      </c>
      <c r="N223">
        <v>82.46</v>
      </c>
      <c r="O223">
        <v>37.299999999999997</v>
      </c>
      <c r="P223">
        <v>6.3000000000000007</v>
      </c>
      <c r="R223">
        <v>166.16</v>
      </c>
      <c r="S223">
        <v>173</v>
      </c>
      <c r="T223">
        <v>3641.7943107221004</v>
      </c>
      <c r="U223">
        <v>1</v>
      </c>
      <c r="V223">
        <v>0.91400000000000003</v>
      </c>
      <c r="W223">
        <v>0.91400000000000003</v>
      </c>
      <c r="X223">
        <v>913.52403265329815</v>
      </c>
      <c r="Y223">
        <v>0</v>
      </c>
      <c r="Z223" s="16">
        <v>1878.5334596656096</v>
      </c>
      <c r="AA223">
        <v>849.73681840319239</v>
      </c>
      <c r="AB223">
        <v>143.52123206273762</v>
      </c>
      <c r="AH223">
        <v>43.687999999999995</v>
      </c>
      <c r="AI223">
        <v>12</v>
      </c>
    </row>
    <row r="224" spans="1:35" x14ac:dyDescent="0.25">
      <c r="A224">
        <v>2024</v>
      </c>
      <c r="B224">
        <v>2</v>
      </c>
      <c r="C224" t="s">
        <v>35</v>
      </c>
      <c r="D224" t="s">
        <v>25</v>
      </c>
      <c r="E224">
        <v>3</v>
      </c>
      <c r="F224">
        <v>31</v>
      </c>
      <c r="G224" s="12">
        <v>45534</v>
      </c>
      <c r="H224">
        <v>242</v>
      </c>
      <c r="J224" t="s">
        <v>26</v>
      </c>
      <c r="K224">
        <v>37100</v>
      </c>
      <c r="L224">
        <v>16.600000000000001</v>
      </c>
      <c r="M224">
        <v>0.30000000000000071</v>
      </c>
      <c r="N224">
        <v>71.16</v>
      </c>
      <c r="O224">
        <v>29.3</v>
      </c>
      <c r="P224">
        <v>13.3</v>
      </c>
      <c r="R224">
        <v>130.66</v>
      </c>
      <c r="S224">
        <v>208.5</v>
      </c>
      <c r="T224">
        <v>3565.2078774617066</v>
      </c>
      <c r="U224">
        <v>1</v>
      </c>
      <c r="V224">
        <v>0.91400000000000003</v>
      </c>
      <c r="W224">
        <v>0.91400000000000003</v>
      </c>
      <c r="X224">
        <v>504.28127782774652</v>
      </c>
      <c r="Y224">
        <v>9.1135170691761633</v>
      </c>
      <c r="Z224" s="16">
        <v>2161.7262488085807</v>
      </c>
      <c r="AA224">
        <v>890.08683375620319</v>
      </c>
      <c r="AB224">
        <v>404.03259006680901</v>
      </c>
      <c r="AH224">
        <v>60.198</v>
      </c>
      <c r="AI224">
        <v>15.2</v>
      </c>
    </row>
    <row r="225" spans="1:35" x14ac:dyDescent="0.25">
      <c r="A225">
        <v>2024</v>
      </c>
      <c r="B225">
        <v>2</v>
      </c>
      <c r="C225" t="s">
        <v>28</v>
      </c>
      <c r="D225" t="s">
        <v>25</v>
      </c>
      <c r="E225">
        <v>3</v>
      </c>
      <c r="F225">
        <v>32</v>
      </c>
      <c r="G225" s="12">
        <v>45527</v>
      </c>
      <c r="H225">
        <v>235</v>
      </c>
      <c r="J225" t="s">
        <v>26</v>
      </c>
      <c r="K225">
        <v>37100</v>
      </c>
      <c r="L225">
        <v>38.699999999999996</v>
      </c>
      <c r="M225">
        <v>0</v>
      </c>
      <c r="N225">
        <v>98.460000000000008</v>
      </c>
      <c r="O225">
        <v>24.500000000000004</v>
      </c>
      <c r="P225">
        <v>1.8000000000000007</v>
      </c>
      <c r="R225">
        <v>163.46</v>
      </c>
      <c r="S225">
        <v>242.2</v>
      </c>
      <c r="T225">
        <v>4418.599562363238</v>
      </c>
      <c r="U225">
        <v>1</v>
      </c>
      <c r="V225">
        <v>0.91400000000000003</v>
      </c>
      <c r="W225">
        <v>0.91400000000000003</v>
      </c>
      <c r="X225">
        <v>1057.7743601599486</v>
      </c>
      <c r="Y225">
        <v>0</v>
      </c>
      <c r="Z225" s="16">
        <v>2691.1747674767066</v>
      </c>
      <c r="AA225">
        <v>669.6504347265826</v>
      </c>
      <c r="AB225">
        <v>49.198807449299963</v>
      </c>
      <c r="AH225">
        <v>51.562000000000005</v>
      </c>
      <c r="AI225">
        <v>14.4</v>
      </c>
    </row>
    <row r="226" spans="1:35" x14ac:dyDescent="0.25">
      <c r="A226">
        <v>2024</v>
      </c>
      <c r="B226">
        <v>2</v>
      </c>
      <c r="C226" t="s">
        <v>29</v>
      </c>
      <c r="D226" t="s">
        <v>25</v>
      </c>
      <c r="E226">
        <v>3</v>
      </c>
      <c r="F226">
        <v>33</v>
      </c>
      <c r="G226" s="12">
        <v>45534</v>
      </c>
      <c r="H226">
        <v>242</v>
      </c>
      <c r="J226" t="s">
        <v>26</v>
      </c>
      <c r="K226">
        <v>37100</v>
      </c>
      <c r="L226">
        <v>25.6</v>
      </c>
      <c r="M226">
        <v>0.30000000000000071</v>
      </c>
      <c r="N226">
        <v>78.16</v>
      </c>
      <c r="O226">
        <v>33.299999999999997</v>
      </c>
      <c r="P226">
        <v>13.900000000000002</v>
      </c>
      <c r="R226">
        <v>151.26</v>
      </c>
      <c r="S226">
        <v>169.5</v>
      </c>
      <c r="T226">
        <v>3357.3304157549237</v>
      </c>
      <c r="U226">
        <v>1</v>
      </c>
      <c r="V226">
        <v>0.91400000000000003</v>
      </c>
      <c r="W226">
        <v>0.91400000000000003</v>
      </c>
      <c r="X226">
        <v>625.71096857401028</v>
      </c>
      <c r="Y226">
        <v>7.3325504129767021</v>
      </c>
      <c r="Z226" s="16">
        <v>1910.3738009275251</v>
      </c>
      <c r="AA226">
        <v>813.91309584041176</v>
      </c>
      <c r="AB226">
        <v>339.7415024679197</v>
      </c>
      <c r="AH226">
        <v>63.5</v>
      </c>
      <c r="AI226">
        <v>16.2</v>
      </c>
    </row>
    <row r="227" spans="1:35" x14ac:dyDescent="0.25">
      <c r="A227">
        <v>2024</v>
      </c>
      <c r="B227">
        <v>2</v>
      </c>
      <c r="C227" t="s">
        <v>31</v>
      </c>
      <c r="D227" t="s">
        <v>25</v>
      </c>
      <c r="E227">
        <v>3</v>
      </c>
      <c r="F227">
        <v>34</v>
      </c>
      <c r="G227" s="12">
        <v>45534</v>
      </c>
      <c r="H227">
        <v>242</v>
      </c>
      <c r="J227" t="s">
        <v>26</v>
      </c>
      <c r="K227">
        <v>37100</v>
      </c>
      <c r="L227">
        <v>0</v>
      </c>
      <c r="M227">
        <v>0</v>
      </c>
      <c r="N227">
        <v>0</v>
      </c>
      <c r="O227">
        <v>0</v>
      </c>
      <c r="P227">
        <v>0</v>
      </c>
      <c r="R227">
        <v>0</v>
      </c>
      <c r="S227">
        <v>221</v>
      </c>
      <c r="T227">
        <v>2417.9431072210064</v>
      </c>
      <c r="U227">
        <v>1</v>
      </c>
      <c r="V227">
        <v>0.91400000000000003</v>
      </c>
      <c r="W227">
        <v>0.91400000000000003</v>
      </c>
      <c r="X227">
        <v>0</v>
      </c>
      <c r="Y227">
        <v>0</v>
      </c>
      <c r="Z227" s="16">
        <v>0</v>
      </c>
      <c r="AA227">
        <v>0</v>
      </c>
      <c r="AB227">
        <v>0</v>
      </c>
    </row>
    <row r="228" spans="1:35" x14ac:dyDescent="0.25">
      <c r="A228">
        <v>2024</v>
      </c>
      <c r="B228">
        <v>2</v>
      </c>
      <c r="C228" t="s">
        <v>30</v>
      </c>
      <c r="D228" t="s">
        <v>25</v>
      </c>
      <c r="E228">
        <v>3</v>
      </c>
      <c r="F228">
        <v>35</v>
      </c>
      <c r="G228" s="12">
        <v>45527</v>
      </c>
      <c r="H228">
        <v>235</v>
      </c>
      <c r="J228" t="s">
        <v>26</v>
      </c>
      <c r="K228">
        <v>37100</v>
      </c>
      <c r="L228">
        <v>32.6</v>
      </c>
      <c r="M228">
        <v>0</v>
      </c>
      <c r="N228">
        <v>86.16</v>
      </c>
      <c r="O228">
        <v>20.3</v>
      </c>
      <c r="P228">
        <v>4.1000000000000014</v>
      </c>
      <c r="R228">
        <v>143.16</v>
      </c>
      <c r="S228">
        <v>291.5</v>
      </c>
      <c r="T228">
        <v>4710.722100656455</v>
      </c>
      <c r="U228">
        <v>1</v>
      </c>
      <c r="V228">
        <v>0.91400000000000003</v>
      </c>
      <c r="W228">
        <v>0.91400000000000003</v>
      </c>
      <c r="X228">
        <v>1104.3401444081721</v>
      </c>
      <c r="Y228">
        <v>0</v>
      </c>
      <c r="Z228" s="16">
        <v>2918.7100258346045</v>
      </c>
      <c r="AA228">
        <v>687.67193041367773</v>
      </c>
      <c r="AB228">
        <v>138.88940466483152</v>
      </c>
      <c r="AH228">
        <v>64.515999999999991</v>
      </c>
      <c r="AI228">
        <v>17</v>
      </c>
    </row>
    <row r="229" spans="1:35" x14ac:dyDescent="0.25">
      <c r="A229">
        <v>2024</v>
      </c>
      <c r="B229">
        <v>2</v>
      </c>
      <c r="C229" t="s">
        <v>32</v>
      </c>
      <c r="D229" t="s">
        <v>25</v>
      </c>
      <c r="E229">
        <v>3</v>
      </c>
      <c r="F229">
        <v>36</v>
      </c>
      <c r="G229" s="12">
        <v>45534</v>
      </c>
      <c r="H229">
        <v>242</v>
      </c>
      <c r="J229" t="s">
        <v>26</v>
      </c>
      <c r="K229">
        <v>37100</v>
      </c>
      <c r="L229">
        <v>0</v>
      </c>
      <c r="M229">
        <v>0</v>
      </c>
      <c r="N229">
        <v>0</v>
      </c>
      <c r="O229">
        <v>0</v>
      </c>
      <c r="P229">
        <v>0</v>
      </c>
      <c r="R229">
        <v>0</v>
      </c>
      <c r="S229">
        <v>474.9</v>
      </c>
      <c r="T229">
        <v>5195.8424507658638</v>
      </c>
      <c r="U229">
        <v>1</v>
      </c>
      <c r="V229">
        <v>0.91400000000000003</v>
      </c>
      <c r="W229">
        <v>0.91400000000000003</v>
      </c>
      <c r="X229">
        <v>0</v>
      </c>
      <c r="Y229">
        <v>0</v>
      </c>
      <c r="Z229" s="16">
        <v>0</v>
      </c>
      <c r="AA229">
        <v>0</v>
      </c>
      <c r="AB229">
        <v>0</v>
      </c>
    </row>
    <row r="230" spans="1:35" x14ac:dyDescent="0.25">
      <c r="A230">
        <v>2024</v>
      </c>
      <c r="B230">
        <v>2</v>
      </c>
      <c r="C230" t="s">
        <v>24</v>
      </c>
      <c r="D230" t="s">
        <v>38</v>
      </c>
      <c r="E230">
        <v>1</v>
      </c>
      <c r="F230">
        <v>37</v>
      </c>
      <c r="G230" s="12">
        <v>45527</v>
      </c>
      <c r="H230">
        <v>235</v>
      </c>
      <c r="J230" t="s">
        <v>26</v>
      </c>
      <c r="K230">
        <v>37100</v>
      </c>
      <c r="L230">
        <v>40.800000000000004</v>
      </c>
      <c r="M230">
        <v>0.69999999999999929</v>
      </c>
      <c r="N230">
        <v>95.06</v>
      </c>
      <c r="O230">
        <v>52.399999999999991</v>
      </c>
      <c r="P230">
        <v>21.7</v>
      </c>
      <c r="R230">
        <v>210.66000000000003</v>
      </c>
      <c r="S230">
        <v>462.5</v>
      </c>
      <c r="T230">
        <v>7127.5711159737421</v>
      </c>
      <c r="U230">
        <v>1</v>
      </c>
      <c r="V230">
        <v>0.91400000000000003</v>
      </c>
      <c r="W230">
        <v>0.91400000000000003</v>
      </c>
      <c r="X230">
        <v>1538.9759818571586</v>
      </c>
      <c r="Y230">
        <v>26.40399968872573</v>
      </c>
      <c r="Z230" s="16">
        <v>3585.6631577289577</v>
      </c>
      <c r="AA230">
        <v>1976.527976698899</v>
      </c>
      <c r="AB230">
        <v>818.52399035049848</v>
      </c>
      <c r="AH230">
        <v>62.230000000000004</v>
      </c>
      <c r="AI230">
        <v>16.2</v>
      </c>
    </row>
    <row r="231" spans="1:35" x14ac:dyDescent="0.25">
      <c r="A231">
        <v>2024</v>
      </c>
      <c r="B231">
        <v>2</v>
      </c>
      <c r="C231" t="s">
        <v>27</v>
      </c>
      <c r="D231" t="s">
        <v>38</v>
      </c>
      <c r="E231">
        <v>1</v>
      </c>
      <c r="F231">
        <v>38</v>
      </c>
      <c r="G231" s="12">
        <v>45527</v>
      </c>
      <c r="H231">
        <v>235</v>
      </c>
      <c r="J231" t="s">
        <v>26</v>
      </c>
      <c r="K231">
        <v>37100</v>
      </c>
      <c r="L231">
        <v>43.7</v>
      </c>
      <c r="M231">
        <v>0.40000000000000213</v>
      </c>
      <c r="N231">
        <v>127.16</v>
      </c>
      <c r="O231">
        <v>45.599999999999994</v>
      </c>
      <c r="P231">
        <v>11.600000000000001</v>
      </c>
      <c r="R231">
        <v>228.46</v>
      </c>
      <c r="S231">
        <v>434.5</v>
      </c>
      <c r="T231">
        <v>7126.4770240700209</v>
      </c>
      <c r="U231">
        <v>1</v>
      </c>
      <c r="V231">
        <v>0.91400000000000003</v>
      </c>
      <c r="W231">
        <v>0.91400000000000003</v>
      </c>
      <c r="X231">
        <v>1436.0741766663284</v>
      </c>
      <c r="Y231">
        <v>13.144843722346323</v>
      </c>
      <c r="Z231" s="16">
        <v>4178.7458193338734</v>
      </c>
      <c r="AA231">
        <v>1498.5121843474726</v>
      </c>
      <c r="AB231">
        <v>381.20046794804136</v>
      </c>
      <c r="AH231">
        <v>98.298000000000002</v>
      </c>
      <c r="AI231">
        <v>20</v>
      </c>
    </row>
    <row r="232" spans="1:35" x14ac:dyDescent="0.25">
      <c r="A232">
        <v>2024</v>
      </c>
      <c r="B232">
        <v>2</v>
      </c>
      <c r="C232" t="s">
        <v>28</v>
      </c>
      <c r="D232" t="s">
        <v>38</v>
      </c>
      <c r="E232">
        <v>1</v>
      </c>
      <c r="F232">
        <v>39</v>
      </c>
      <c r="G232" s="12">
        <v>45527</v>
      </c>
      <c r="H232">
        <v>235</v>
      </c>
      <c r="J232" t="s">
        <v>26</v>
      </c>
      <c r="K232">
        <v>37100</v>
      </c>
      <c r="L232">
        <v>54.300000000000004</v>
      </c>
      <c r="M232">
        <v>0.5</v>
      </c>
      <c r="N232">
        <v>143.26</v>
      </c>
      <c r="O232">
        <v>36.099999999999994</v>
      </c>
      <c r="P232">
        <v>4.1000000000000014</v>
      </c>
      <c r="R232">
        <v>238.26</v>
      </c>
      <c r="S232">
        <v>484.9</v>
      </c>
      <c r="T232">
        <v>7867.1772428884024</v>
      </c>
      <c r="U232">
        <v>1</v>
      </c>
      <c r="V232">
        <v>0.91400000000000003</v>
      </c>
      <c r="W232">
        <v>0.91400000000000003</v>
      </c>
      <c r="X232">
        <v>1824.3411525830211</v>
      </c>
      <c r="Y232">
        <v>16.798721478665019</v>
      </c>
      <c r="Z232" s="16">
        <v>4813.1696780671018</v>
      </c>
      <c r="AA232">
        <v>1212.8676907596141</v>
      </c>
      <c r="AB232">
        <v>137.74951612505319</v>
      </c>
      <c r="AH232">
        <v>62.738</v>
      </c>
      <c r="AI232">
        <v>12.6</v>
      </c>
    </row>
    <row r="233" spans="1:35" x14ac:dyDescent="0.25">
      <c r="A233">
        <v>2024</v>
      </c>
      <c r="B233">
        <v>2</v>
      </c>
      <c r="C233" t="s">
        <v>29</v>
      </c>
      <c r="D233" t="s">
        <v>38</v>
      </c>
      <c r="E233">
        <v>1</v>
      </c>
      <c r="F233">
        <v>40</v>
      </c>
      <c r="G233" s="12">
        <v>45534</v>
      </c>
      <c r="H233">
        <v>242</v>
      </c>
      <c r="J233" t="s">
        <v>26</v>
      </c>
      <c r="K233">
        <v>37100</v>
      </c>
      <c r="L233">
        <v>26.6</v>
      </c>
      <c r="M233">
        <v>0</v>
      </c>
      <c r="N233">
        <v>106.16</v>
      </c>
      <c r="O233">
        <v>35.299999999999997</v>
      </c>
      <c r="P233">
        <v>14.500000000000004</v>
      </c>
      <c r="R233">
        <v>182.56</v>
      </c>
      <c r="S233">
        <v>480.5</v>
      </c>
      <c r="T233">
        <v>7095.8424507658647</v>
      </c>
      <c r="U233">
        <v>1</v>
      </c>
      <c r="V233">
        <v>0.91400000000000003</v>
      </c>
      <c r="W233">
        <v>0.91400000000000003</v>
      </c>
      <c r="X233">
        <v>1123.1072782956803</v>
      </c>
      <c r="Y233">
        <v>0</v>
      </c>
      <c r="Z233" s="16">
        <v>4482.2958144311806</v>
      </c>
      <c r="AA233">
        <v>1490.4393580390042</v>
      </c>
      <c r="AB233">
        <v>612.22013290554014</v>
      </c>
      <c r="AH233">
        <v>90.424000000000007</v>
      </c>
      <c r="AI233">
        <v>17.600000000000001</v>
      </c>
    </row>
    <row r="234" spans="1:35" x14ac:dyDescent="0.25">
      <c r="A234">
        <v>2024</v>
      </c>
      <c r="B234">
        <v>2</v>
      </c>
      <c r="C234" t="s">
        <v>30</v>
      </c>
      <c r="D234" t="s">
        <v>38</v>
      </c>
      <c r="E234">
        <v>1</v>
      </c>
      <c r="F234">
        <v>41</v>
      </c>
      <c r="G234" s="12">
        <v>45527</v>
      </c>
      <c r="H234">
        <v>235</v>
      </c>
      <c r="J234" t="s">
        <v>26</v>
      </c>
      <c r="K234">
        <v>37100</v>
      </c>
      <c r="L234">
        <v>34.6</v>
      </c>
      <c r="M234">
        <v>0</v>
      </c>
      <c r="N234">
        <v>138.16</v>
      </c>
      <c r="O234">
        <v>31.3</v>
      </c>
      <c r="P234">
        <v>11.8</v>
      </c>
      <c r="R234">
        <v>215.85999999999999</v>
      </c>
      <c r="S234">
        <v>552.5</v>
      </c>
      <c r="T234">
        <v>8277.4617067833697</v>
      </c>
      <c r="U234">
        <v>1</v>
      </c>
      <c r="V234">
        <v>0.91400000000000003</v>
      </c>
      <c r="W234">
        <v>0.91400000000000003</v>
      </c>
      <c r="X234">
        <v>1403.5096297888101</v>
      </c>
      <c r="Y234">
        <v>0</v>
      </c>
      <c r="Z234" s="16">
        <v>5604.3031922434111</v>
      </c>
      <c r="AA234">
        <v>1269.6488847511491</v>
      </c>
      <c r="AB234">
        <v>478.65357316497</v>
      </c>
      <c r="AH234">
        <v>105.15599999999999</v>
      </c>
      <c r="AI234">
        <v>17.600000000000001</v>
      </c>
    </row>
    <row r="235" spans="1:35" x14ac:dyDescent="0.25">
      <c r="A235">
        <v>2024</v>
      </c>
      <c r="B235">
        <v>2</v>
      </c>
      <c r="C235" t="s">
        <v>31</v>
      </c>
      <c r="D235" t="s">
        <v>38</v>
      </c>
      <c r="E235">
        <v>1</v>
      </c>
      <c r="F235">
        <v>42</v>
      </c>
      <c r="G235" s="12">
        <v>45534</v>
      </c>
      <c r="H235">
        <v>242</v>
      </c>
      <c r="J235" t="s">
        <v>26</v>
      </c>
      <c r="K235">
        <v>37100</v>
      </c>
      <c r="L235">
        <v>0</v>
      </c>
      <c r="M235">
        <v>0</v>
      </c>
      <c r="N235">
        <v>0</v>
      </c>
      <c r="O235">
        <v>0</v>
      </c>
      <c r="P235">
        <v>0</v>
      </c>
      <c r="R235">
        <v>0</v>
      </c>
      <c r="S235">
        <v>912.59999999999991</v>
      </c>
      <c r="T235">
        <v>9984.6827133479183</v>
      </c>
      <c r="U235">
        <v>1</v>
      </c>
      <c r="V235">
        <v>0.91400000000000003</v>
      </c>
      <c r="W235">
        <v>0.91400000000000003</v>
      </c>
      <c r="X235">
        <v>0</v>
      </c>
      <c r="Y235">
        <v>0</v>
      </c>
      <c r="Z235" s="16">
        <v>0</v>
      </c>
      <c r="AA235">
        <v>0</v>
      </c>
      <c r="AB235">
        <v>0</v>
      </c>
    </row>
    <row r="236" spans="1:35" x14ac:dyDescent="0.25">
      <c r="A236">
        <v>2024</v>
      </c>
      <c r="B236">
        <v>2</v>
      </c>
      <c r="C236" t="s">
        <v>32</v>
      </c>
      <c r="D236" t="s">
        <v>38</v>
      </c>
      <c r="E236">
        <v>1</v>
      </c>
      <c r="F236">
        <v>43</v>
      </c>
      <c r="G236" s="12">
        <v>45534</v>
      </c>
      <c r="H236">
        <v>242</v>
      </c>
      <c r="J236" t="s">
        <v>26</v>
      </c>
      <c r="K236">
        <v>37100</v>
      </c>
      <c r="L236">
        <v>0</v>
      </c>
      <c r="M236">
        <v>0</v>
      </c>
      <c r="N236">
        <v>0</v>
      </c>
      <c r="O236">
        <v>0</v>
      </c>
      <c r="P236">
        <v>0</v>
      </c>
      <c r="R236">
        <v>0</v>
      </c>
      <c r="S236">
        <v>841.7</v>
      </c>
      <c r="T236">
        <v>9208.9715536105032</v>
      </c>
      <c r="U236">
        <v>1</v>
      </c>
      <c r="V236">
        <v>0.91400000000000003</v>
      </c>
      <c r="W236">
        <v>0.91400000000000003</v>
      </c>
      <c r="X236">
        <v>0</v>
      </c>
      <c r="Y236">
        <v>0</v>
      </c>
      <c r="Z236" s="16">
        <v>0</v>
      </c>
      <c r="AA236">
        <v>0</v>
      </c>
      <c r="AB236">
        <v>0</v>
      </c>
    </row>
    <row r="237" spans="1:35" x14ac:dyDescent="0.25">
      <c r="A237">
        <v>2024</v>
      </c>
      <c r="B237">
        <v>2</v>
      </c>
      <c r="C237" t="s">
        <v>33</v>
      </c>
      <c r="D237" t="s">
        <v>38</v>
      </c>
      <c r="E237">
        <v>1</v>
      </c>
      <c r="F237">
        <v>44</v>
      </c>
      <c r="G237" s="12">
        <v>45534</v>
      </c>
      <c r="H237">
        <v>242</v>
      </c>
      <c r="J237" t="s">
        <v>26</v>
      </c>
      <c r="K237">
        <v>37100</v>
      </c>
      <c r="L237">
        <v>0</v>
      </c>
      <c r="M237">
        <v>0</v>
      </c>
      <c r="N237">
        <v>0</v>
      </c>
      <c r="O237">
        <v>0</v>
      </c>
      <c r="P237">
        <v>0</v>
      </c>
      <c r="R237">
        <v>0</v>
      </c>
      <c r="S237">
        <v>877.8</v>
      </c>
      <c r="T237">
        <v>9603.9387308533915</v>
      </c>
      <c r="U237">
        <v>1</v>
      </c>
      <c r="V237">
        <v>0.91400000000000003</v>
      </c>
      <c r="W237">
        <v>0.91400000000000003</v>
      </c>
      <c r="X237">
        <v>0</v>
      </c>
      <c r="Y237">
        <v>0</v>
      </c>
      <c r="Z237" s="16">
        <v>0</v>
      </c>
      <c r="AA237">
        <v>0</v>
      </c>
      <c r="AB237">
        <v>0</v>
      </c>
    </row>
    <row r="238" spans="1:35" x14ac:dyDescent="0.25">
      <c r="A238">
        <v>2024</v>
      </c>
      <c r="B238">
        <v>2</v>
      </c>
      <c r="C238" t="s">
        <v>34</v>
      </c>
      <c r="D238" t="s">
        <v>38</v>
      </c>
      <c r="E238">
        <v>1</v>
      </c>
      <c r="F238">
        <v>45</v>
      </c>
      <c r="G238" s="12">
        <v>45527</v>
      </c>
      <c r="H238">
        <v>235</v>
      </c>
      <c r="J238" t="s">
        <v>26</v>
      </c>
      <c r="K238">
        <v>37100</v>
      </c>
      <c r="L238">
        <v>63.800000000000011</v>
      </c>
      <c r="M238">
        <v>1.6999999999999993</v>
      </c>
      <c r="N238">
        <v>136.66</v>
      </c>
      <c r="O238">
        <v>80.099999999999994</v>
      </c>
      <c r="P238">
        <v>16.900000000000002</v>
      </c>
      <c r="R238">
        <v>299.16000000000003</v>
      </c>
      <c r="S238">
        <v>264.5</v>
      </c>
      <c r="T238">
        <v>5982.0568927789936</v>
      </c>
      <c r="U238">
        <v>1</v>
      </c>
      <c r="V238">
        <v>0.91400000000000003</v>
      </c>
      <c r="W238">
        <v>0.91400000000000003</v>
      </c>
      <c r="X238">
        <v>1352.1406850396791</v>
      </c>
      <c r="Y238">
        <v>36.028827030837824</v>
      </c>
      <c r="Z238" s="16">
        <v>2896.2938247260586</v>
      </c>
      <c r="AA238">
        <v>1697.5935559824181</v>
      </c>
      <c r="AB238">
        <v>358.16892754185858</v>
      </c>
      <c r="AH238">
        <v>49.53</v>
      </c>
      <c r="AI238">
        <v>13.6</v>
      </c>
    </row>
    <row r="239" spans="1:35" x14ac:dyDescent="0.25">
      <c r="A239">
        <v>2024</v>
      </c>
      <c r="B239">
        <v>2</v>
      </c>
      <c r="C239" t="s">
        <v>35</v>
      </c>
      <c r="D239" t="s">
        <v>38</v>
      </c>
      <c r="E239">
        <v>1</v>
      </c>
      <c r="F239">
        <v>46</v>
      </c>
      <c r="G239" s="12">
        <v>45534</v>
      </c>
      <c r="H239">
        <v>242</v>
      </c>
      <c r="J239" t="s">
        <v>26</v>
      </c>
      <c r="K239">
        <v>37100</v>
      </c>
      <c r="L239">
        <v>29.6</v>
      </c>
      <c r="M239">
        <v>6.3000000000000007</v>
      </c>
      <c r="N239">
        <v>149.16</v>
      </c>
      <c r="O239">
        <v>154.30000000000001</v>
      </c>
      <c r="P239">
        <v>75.8</v>
      </c>
      <c r="R239">
        <v>415.15999999999997</v>
      </c>
      <c r="S239">
        <v>167.5</v>
      </c>
      <c r="T239">
        <v>5545.5142231947475</v>
      </c>
      <c r="U239">
        <v>1</v>
      </c>
      <c r="V239">
        <v>0.91400000000000003</v>
      </c>
      <c r="W239">
        <v>0.91400000000000003</v>
      </c>
      <c r="X239">
        <v>483.6964315374957</v>
      </c>
      <c r="Y239">
        <v>102.94890265831835</v>
      </c>
      <c r="Z239" s="16">
        <v>2437.4378286531369</v>
      </c>
      <c r="AA239">
        <v>2521.4310603457971</v>
      </c>
      <c r="AB239">
        <v>1238.65505103183</v>
      </c>
      <c r="AH239">
        <v>68.072000000000003</v>
      </c>
      <c r="AI239">
        <v>13.6</v>
      </c>
    </row>
    <row r="240" spans="1:35" x14ac:dyDescent="0.25">
      <c r="A240">
        <v>2024</v>
      </c>
      <c r="B240">
        <v>2</v>
      </c>
      <c r="C240" t="s">
        <v>36</v>
      </c>
      <c r="D240" t="s">
        <v>38</v>
      </c>
      <c r="E240">
        <v>1</v>
      </c>
      <c r="F240">
        <v>47</v>
      </c>
      <c r="G240" s="12">
        <v>45527</v>
      </c>
      <c r="H240">
        <v>235</v>
      </c>
      <c r="J240" t="s">
        <v>26</v>
      </c>
      <c r="K240">
        <v>37100</v>
      </c>
      <c r="L240">
        <v>46.6</v>
      </c>
      <c r="M240">
        <v>0</v>
      </c>
      <c r="N240">
        <v>111.16</v>
      </c>
      <c r="O240">
        <v>91.3</v>
      </c>
      <c r="P240">
        <v>40.200000000000003</v>
      </c>
      <c r="R240">
        <v>289.26</v>
      </c>
      <c r="S240">
        <v>371.5</v>
      </c>
      <c r="T240">
        <v>6789.4967177242888</v>
      </c>
      <c r="U240">
        <v>1</v>
      </c>
      <c r="V240">
        <v>0.91400000000000003</v>
      </c>
      <c r="W240">
        <v>0.91400000000000003</v>
      </c>
      <c r="X240">
        <v>1270.3386615512402</v>
      </c>
      <c r="Y240">
        <v>0</v>
      </c>
      <c r="Z240" s="16">
        <v>3030.2756570393958</v>
      </c>
      <c r="AA240">
        <v>2488.8823991336526</v>
      </c>
      <c r="AB240">
        <v>1095.8715492351901</v>
      </c>
      <c r="AH240">
        <v>57.404000000000003</v>
      </c>
      <c r="AI240">
        <v>14.8</v>
      </c>
    </row>
    <row r="241" spans="1:35" x14ac:dyDescent="0.25">
      <c r="A241">
        <v>2024</v>
      </c>
      <c r="B241">
        <v>2</v>
      </c>
      <c r="C241" t="s">
        <v>37</v>
      </c>
      <c r="D241" t="s">
        <v>38</v>
      </c>
      <c r="E241">
        <v>1</v>
      </c>
      <c r="F241">
        <v>48</v>
      </c>
      <c r="G241" s="12">
        <v>45527</v>
      </c>
      <c r="H241">
        <v>235</v>
      </c>
      <c r="J241" t="s">
        <v>26</v>
      </c>
      <c r="K241">
        <v>37100</v>
      </c>
      <c r="L241">
        <v>69.099999999999994</v>
      </c>
      <c r="M241">
        <v>3.8000000000000007</v>
      </c>
      <c r="N241">
        <v>138.85999999999999</v>
      </c>
      <c r="O241">
        <v>84.3</v>
      </c>
      <c r="P241">
        <v>26.099999999999998</v>
      </c>
      <c r="R241">
        <v>322.16000000000003</v>
      </c>
      <c r="S241">
        <v>298.39999999999998</v>
      </c>
      <c r="T241">
        <v>6503.9387308533906</v>
      </c>
      <c r="U241">
        <v>1</v>
      </c>
      <c r="V241">
        <v>0.91400000000000003</v>
      </c>
      <c r="W241">
        <v>0.91400000000000003</v>
      </c>
      <c r="X241">
        <v>1518.0104245827511</v>
      </c>
      <c r="Y241">
        <v>83.479589195578228</v>
      </c>
      <c r="Z241" s="16">
        <v>3050.5199357099968</v>
      </c>
      <c r="AA241">
        <v>1851.928781365064</v>
      </c>
      <c r="AB241">
        <v>573.37296789594495</v>
      </c>
      <c r="AH241">
        <v>89.661999999999992</v>
      </c>
      <c r="AI241">
        <v>15.4</v>
      </c>
    </row>
    <row r="242" spans="1:35" x14ac:dyDescent="0.25">
      <c r="A242">
        <v>2024</v>
      </c>
      <c r="B242">
        <v>2</v>
      </c>
      <c r="C242" t="s">
        <v>35</v>
      </c>
      <c r="D242" t="s">
        <v>38</v>
      </c>
      <c r="E242">
        <v>2</v>
      </c>
      <c r="F242">
        <v>49</v>
      </c>
      <c r="G242" s="12">
        <v>45534</v>
      </c>
      <c r="H242">
        <v>242</v>
      </c>
      <c r="J242" t="s">
        <v>26</v>
      </c>
      <c r="K242">
        <v>37100</v>
      </c>
      <c r="L242">
        <v>47.6</v>
      </c>
      <c r="M242">
        <v>1.3000000000000007</v>
      </c>
      <c r="N242">
        <v>152.16</v>
      </c>
      <c r="O242">
        <v>52.3</v>
      </c>
      <c r="P242">
        <v>14.3</v>
      </c>
      <c r="R242">
        <v>267.65999999999997</v>
      </c>
      <c r="S242">
        <v>289.5</v>
      </c>
      <c r="T242">
        <v>5939.3873085339146</v>
      </c>
      <c r="U242">
        <v>1</v>
      </c>
      <c r="V242">
        <v>0.91400000000000003</v>
      </c>
      <c r="W242">
        <v>0.91400000000000003</v>
      </c>
      <c r="X242">
        <v>1115.8621561659866</v>
      </c>
      <c r="Y242">
        <v>30.475226954113097</v>
      </c>
      <c r="Z242" s="16">
        <v>3567.008102567574</v>
      </c>
      <c r="AA242">
        <v>1226.0418228462415</v>
      </c>
      <c r="AB242">
        <v>335.22749649524388</v>
      </c>
      <c r="AH242">
        <v>85.344000000000008</v>
      </c>
      <c r="AI242">
        <v>13.8</v>
      </c>
    </row>
    <row r="243" spans="1:35" x14ac:dyDescent="0.25">
      <c r="A243">
        <v>2024</v>
      </c>
      <c r="B243">
        <v>2</v>
      </c>
      <c r="C243" t="s">
        <v>33</v>
      </c>
      <c r="D243" t="s">
        <v>38</v>
      </c>
      <c r="E243">
        <v>2</v>
      </c>
      <c r="F243">
        <v>50</v>
      </c>
      <c r="G243" s="12">
        <v>45534</v>
      </c>
      <c r="H243">
        <v>242</v>
      </c>
      <c r="J243" t="s">
        <v>26</v>
      </c>
      <c r="K243">
        <v>37100</v>
      </c>
      <c r="L243">
        <v>0</v>
      </c>
      <c r="M243">
        <v>0</v>
      </c>
      <c r="N243">
        <v>0</v>
      </c>
      <c r="O243">
        <v>0</v>
      </c>
      <c r="P243">
        <v>0</v>
      </c>
      <c r="R243">
        <v>0</v>
      </c>
      <c r="S243">
        <v>863.59999999999991</v>
      </c>
      <c r="T243">
        <v>9448.5776805251644</v>
      </c>
      <c r="U243">
        <v>1</v>
      </c>
      <c r="V243">
        <v>0.91400000000000003</v>
      </c>
      <c r="W243">
        <v>0.91400000000000003</v>
      </c>
      <c r="X243">
        <v>0</v>
      </c>
      <c r="Y243">
        <v>0</v>
      </c>
      <c r="Z243" s="16">
        <v>0</v>
      </c>
      <c r="AA243">
        <v>0</v>
      </c>
      <c r="AB243">
        <v>0</v>
      </c>
    </row>
    <row r="244" spans="1:35" x14ac:dyDescent="0.25">
      <c r="A244">
        <v>2024</v>
      </c>
      <c r="B244">
        <v>2</v>
      </c>
      <c r="C244" t="s">
        <v>34</v>
      </c>
      <c r="D244" t="s">
        <v>38</v>
      </c>
      <c r="E244">
        <v>2</v>
      </c>
      <c r="F244">
        <v>51</v>
      </c>
      <c r="G244" s="12">
        <v>45527</v>
      </c>
      <c r="H244">
        <v>235</v>
      </c>
      <c r="J244" t="s">
        <v>26</v>
      </c>
      <c r="K244">
        <v>37100</v>
      </c>
      <c r="L244">
        <v>28.6</v>
      </c>
      <c r="M244">
        <v>0</v>
      </c>
      <c r="N244">
        <v>99.16</v>
      </c>
      <c r="O244">
        <v>53.3</v>
      </c>
      <c r="P244">
        <v>7.3000000000000007</v>
      </c>
      <c r="R244">
        <v>188.36</v>
      </c>
      <c r="S244">
        <v>209.5</v>
      </c>
      <c r="T244">
        <v>4273.0853391684905</v>
      </c>
      <c r="U244">
        <v>1</v>
      </c>
      <c r="V244">
        <v>0.91400000000000003</v>
      </c>
      <c r="W244">
        <v>0.91400000000000003</v>
      </c>
      <c r="X244">
        <v>674.97095272406295</v>
      </c>
      <c r="Y244">
        <v>0</v>
      </c>
      <c r="Z244" s="16">
        <v>2340.2139745495829</v>
      </c>
      <c r="AA244">
        <v>1257.9004118948446</v>
      </c>
      <c r="AB244">
        <v>172.2827956253727</v>
      </c>
      <c r="AH244">
        <v>36.576000000000001</v>
      </c>
      <c r="AI244">
        <v>8.8000000000000007</v>
      </c>
    </row>
    <row r="245" spans="1:35" x14ac:dyDescent="0.25">
      <c r="A245">
        <v>2024</v>
      </c>
      <c r="B245">
        <v>2</v>
      </c>
      <c r="C245" t="s">
        <v>27</v>
      </c>
      <c r="D245" t="s">
        <v>38</v>
      </c>
      <c r="E245">
        <v>2</v>
      </c>
      <c r="F245">
        <v>52</v>
      </c>
      <c r="G245" s="12">
        <v>45527</v>
      </c>
      <c r="H245">
        <v>235</v>
      </c>
      <c r="J245" t="s">
        <v>26</v>
      </c>
      <c r="K245">
        <v>37100</v>
      </c>
      <c r="L245">
        <v>51.9</v>
      </c>
      <c r="M245">
        <v>0</v>
      </c>
      <c r="N245">
        <v>147.96</v>
      </c>
      <c r="O245">
        <v>67.399999999999991</v>
      </c>
      <c r="P245">
        <v>23.400000000000002</v>
      </c>
      <c r="R245">
        <v>290.65999999999997</v>
      </c>
      <c r="S245">
        <v>620.5</v>
      </c>
      <c r="T245">
        <v>9712.9102844638946</v>
      </c>
      <c r="U245">
        <v>1</v>
      </c>
      <c r="V245">
        <v>0.91400000000000003</v>
      </c>
      <c r="W245">
        <v>0.91400000000000003</v>
      </c>
      <c r="X245">
        <v>1886.1784171356587</v>
      </c>
      <c r="Y245">
        <v>0</v>
      </c>
      <c r="Z245" s="16">
        <v>5377.2439036491724</v>
      </c>
      <c r="AA245">
        <v>2449.4879636790633</v>
      </c>
      <c r="AB245">
        <v>850.41570252359179</v>
      </c>
      <c r="AH245">
        <v>96.52</v>
      </c>
      <c r="AI245">
        <v>21.4</v>
      </c>
    </row>
    <row r="246" spans="1:35" x14ac:dyDescent="0.25">
      <c r="A246">
        <v>2024</v>
      </c>
      <c r="B246">
        <v>2</v>
      </c>
      <c r="C246" t="s">
        <v>32</v>
      </c>
      <c r="D246" t="s">
        <v>38</v>
      </c>
      <c r="E246">
        <v>2</v>
      </c>
      <c r="F246">
        <v>53</v>
      </c>
      <c r="G246" s="12">
        <v>45534</v>
      </c>
      <c r="H246">
        <v>242</v>
      </c>
      <c r="J246" t="s">
        <v>26</v>
      </c>
      <c r="K246">
        <v>37100</v>
      </c>
      <c r="L246">
        <v>0</v>
      </c>
      <c r="M246">
        <v>0</v>
      </c>
      <c r="N246">
        <v>0</v>
      </c>
      <c r="O246">
        <v>0</v>
      </c>
      <c r="P246">
        <v>0</v>
      </c>
      <c r="R246">
        <v>0</v>
      </c>
      <c r="S246">
        <v>808.3</v>
      </c>
      <c r="T246">
        <v>8843.5448577680509</v>
      </c>
      <c r="U246">
        <v>1</v>
      </c>
      <c r="V246">
        <v>0.91400000000000003</v>
      </c>
      <c r="W246">
        <v>0.91400000000000003</v>
      </c>
      <c r="X246">
        <v>0</v>
      </c>
      <c r="Y246">
        <v>0</v>
      </c>
      <c r="Z246" s="16">
        <v>0</v>
      </c>
      <c r="AA246">
        <v>0</v>
      </c>
      <c r="AB246">
        <v>0</v>
      </c>
    </row>
    <row r="247" spans="1:35" x14ac:dyDescent="0.25">
      <c r="A247">
        <v>2024</v>
      </c>
      <c r="B247">
        <v>2</v>
      </c>
      <c r="C247" t="s">
        <v>29</v>
      </c>
      <c r="D247" t="s">
        <v>38</v>
      </c>
      <c r="E247">
        <v>2</v>
      </c>
      <c r="F247">
        <v>54</v>
      </c>
      <c r="G247" s="12">
        <v>45534</v>
      </c>
      <c r="H247">
        <v>242</v>
      </c>
      <c r="J247" t="s">
        <v>26</v>
      </c>
      <c r="K247">
        <v>37100</v>
      </c>
      <c r="L247">
        <v>21.6</v>
      </c>
      <c r="M247">
        <v>0.30000000000000071</v>
      </c>
      <c r="N247">
        <v>105.16</v>
      </c>
      <c r="O247">
        <v>39.299999999999997</v>
      </c>
      <c r="P247">
        <v>21.099999999999998</v>
      </c>
      <c r="R247">
        <v>187.46</v>
      </c>
      <c r="S247">
        <v>516.5</v>
      </c>
      <c r="T247">
        <v>7471.1159737417947</v>
      </c>
      <c r="U247">
        <v>1</v>
      </c>
      <c r="V247">
        <v>0.91400000000000003</v>
      </c>
      <c r="W247">
        <v>0.91400000000000003</v>
      </c>
      <c r="X247">
        <v>970.04150656902368</v>
      </c>
      <c r="Y247">
        <v>13.472798702347582</v>
      </c>
      <c r="Z247" s="16">
        <v>4722.6650384628947</v>
      </c>
      <c r="AA247">
        <v>1764.9366300075287</v>
      </c>
      <c r="AB247">
        <v>947.58684206511089</v>
      </c>
      <c r="AH247">
        <v>104.14</v>
      </c>
      <c r="AI247">
        <v>19.2</v>
      </c>
    </row>
    <row r="248" spans="1:35" x14ac:dyDescent="0.25">
      <c r="A248">
        <v>2024</v>
      </c>
      <c r="B248">
        <v>2</v>
      </c>
      <c r="C248" t="s">
        <v>30</v>
      </c>
      <c r="D248" t="s">
        <v>38</v>
      </c>
      <c r="E248">
        <v>2</v>
      </c>
      <c r="F248">
        <v>55</v>
      </c>
      <c r="G248" s="12">
        <v>45527</v>
      </c>
      <c r="H248">
        <v>235</v>
      </c>
      <c r="J248" t="s">
        <v>26</v>
      </c>
      <c r="K248">
        <v>37100</v>
      </c>
      <c r="L248">
        <v>48.6</v>
      </c>
      <c r="M248">
        <v>0</v>
      </c>
      <c r="N248">
        <v>137.16</v>
      </c>
      <c r="O248">
        <v>34.299999999999997</v>
      </c>
      <c r="P248">
        <v>9</v>
      </c>
      <c r="R248">
        <v>229.06</v>
      </c>
      <c r="S248">
        <v>570.5</v>
      </c>
      <c r="T248">
        <v>8649.4529540481399</v>
      </c>
      <c r="U248">
        <v>1</v>
      </c>
      <c r="V248">
        <v>0.91400000000000003</v>
      </c>
      <c r="W248">
        <v>0.91400000000000003</v>
      </c>
      <c r="X248">
        <v>1910.2218193526294</v>
      </c>
      <c r="Y248">
        <v>0</v>
      </c>
      <c r="Z248" s="16">
        <v>5391.0704679507544</v>
      </c>
      <c r="AA248">
        <v>1348.1606667447568</v>
      </c>
      <c r="AB248">
        <v>353.74478136159797</v>
      </c>
      <c r="AH248">
        <v>99.06</v>
      </c>
      <c r="AI248">
        <v>19</v>
      </c>
    </row>
    <row r="249" spans="1:35" x14ac:dyDescent="0.25">
      <c r="A249">
        <v>2024</v>
      </c>
      <c r="B249">
        <v>2</v>
      </c>
      <c r="C249" t="s">
        <v>36</v>
      </c>
      <c r="D249" t="s">
        <v>38</v>
      </c>
      <c r="E249">
        <v>2</v>
      </c>
      <c r="F249">
        <v>56</v>
      </c>
      <c r="G249" s="12">
        <v>45527</v>
      </c>
      <c r="H249">
        <v>235</v>
      </c>
      <c r="J249" t="s">
        <v>26</v>
      </c>
      <c r="K249">
        <v>37100</v>
      </c>
      <c r="L249">
        <v>33.6</v>
      </c>
      <c r="M249">
        <v>0.30000000000000071</v>
      </c>
      <c r="N249">
        <v>99.16</v>
      </c>
      <c r="O249">
        <v>88.3</v>
      </c>
      <c r="P249">
        <v>39.900000000000006</v>
      </c>
      <c r="R249">
        <v>261.26</v>
      </c>
      <c r="S249">
        <v>319.5</v>
      </c>
      <c r="T249">
        <v>5917.5054704595186</v>
      </c>
      <c r="U249">
        <v>1</v>
      </c>
      <c r="V249">
        <v>0.91400000000000003</v>
      </c>
      <c r="W249">
        <v>0.91400000000000003</v>
      </c>
      <c r="X249">
        <v>898.21188926382297</v>
      </c>
      <c r="Y249">
        <v>8.0197490112841532</v>
      </c>
      <c r="Z249" s="16">
        <v>2650.7943731964483</v>
      </c>
      <c r="AA249">
        <v>2360.479458987963</v>
      </c>
      <c r="AB249">
        <v>1066.6266185007898</v>
      </c>
      <c r="AH249">
        <v>55.372</v>
      </c>
      <c r="AI249">
        <v>13.6</v>
      </c>
    </row>
    <row r="250" spans="1:35" x14ac:dyDescent="0.25">
      <c r="A250">
        <v>2024</v>
      </c>
      <c r="B250">
        <v>2</v>
      </c>
      <c r="C250" t="s">
        <v>24</v>
      </c>
      <c r="D250" t="s">
        <v>38</v>
      </c>
      <c r="E250">
        <v>2</v>
      </c>
      <c r="F250">
        <v>57</v>
      </c>
      <c r="G250" s="12">
        <v>45527</v>
      </c>
      <c r="H250">
        <v>235</v>
      </c>
      <c r="J250" t="s">
        <v>26</v>
      </c>
      <c r="K250">
        <v>37100</v>
      </c>
      <c r="L250">
        <v>0</v>
      </c>
      <c r="M250">
        <v>0</v>
      </c>
      <c r="N250">
        <v>0</v>
      </c>
      <c r="O250">
        <v>0</v>
      </c>
      <c r="P250">
        <v>0</v>
      </c>
      <c r="R250">
        <v>0</v>
      </c>
      <c r="S250">
        <v>601.5</v>
      </c>
      <c r="T250">
        <v>6580.9628008752734</v>
      </c>
      <c r="U250">
        <v>1</v>
      </c>
      <c r="V250">
        <v>0.91400000000000003</v>
      </c>
      <c r="W250">
        <v>0.91400000000000003</v>
      </c>
      <c r="X250">
        <v>0</v>
      </c>
      <c r="Y250">
        <v>0</v>
      </c>
      <c r="Z250" s="16">
        <v>0</v>
      </c>
      <c r="AA250">
        <v>0</v>
      </c>
      <c r="AB250">
        <v>0</v>
      </c>
    </row>
    <row r="251" spans="1:35" x14ac:dyDescent="0.25">
      <c r="A251">
        <v>2024</v>
      </c>
      <c r="B251">
        <v>2</v>
      </c>
      <c r="C251" t="s">
        <v>37</v>
      </c>
      <c r="D251" t="s">
        <v>38</v>
      </c>
      <c r="E251">
        <v>2</v>
      </c>
      <c r="F251">
        <v>58</v>
      </c>
      <c r="G251" s="12">
        <v>45527</v>
      </c>
      <c r="H251">
        <v>235</v>
      </c>
      <c r="J251" t="s">
        <v>26</v>
      </c>
      <c r="K251">
        <v>37100</v>
      </c>
      <c r="L251">
        <v>60.9</v>
      </c>
      <c r="M251">
        <v>0.19999999999999929</v>
      </c>
      <c r="N251">
        <v>131.66</v>
      </c>
      <c r="O251">
        <v>73.3</v>
      </c>
      <c r="P251">
        <v>26.000000000000004</v>
      </c>
      <c r="R251">
        <v>292.06</v>
      </c>
      <c r="S251">
        <v>420.20000000000005</v>
      </c>
      <c r="T251">
        <v>7508.3150984682707</v>
      </c>
      <c r="U251">
        <v>1</v>
      </c>
      <c r="V251">
        <v>0.91400000000000003</v>
      </c>
      <c r="W251">
        <v>0.91400000000000003</v>
      </c>
      <c r="X251">
        <v>1718.6213241250759</v>
      </c>
      <c r="Y251">
        <v>5.6440765981118881</v>
      </c>
      <c r="Z251" s="16">
        <v>3715.495624537069</v>
      </c>
      <c r="AA251">
        <v>2068.5540732080144</v>
      </c>
      <c r="AB251">
        <v>733.7299577545482</v>
      </c>
      <c r="AH251">
        <v>98.551999999999992</v>
      </c>
      <c r="AI251">
        <v>22.2</v>
      </c>
    </row>
    <row r="252" spans="1:35" x14ac:dyDescent="0.25">
      <c r="A252">
        <v>2024</v>
      </c>
      <c r="B252">
        <v>2</v>
      </c>
      <c r="C252" t="s">
        <v>31</v>
      </c>
      <c r="D252" t="s">
        <v>38</v>
      </c>
      <c r="E252">
        <v>2</v>
      </c>
      <c r="F252">
        <v>59</v>
      </c>
      <c r="G252" s="12">
        <v>45534</v>
      </c>
      <c r="H252">
        <v>242</v>
      </c>
      <c r="J252" t="s">
        <v>26</v>
      </c>
      <c r="K252">
        <v>37100</v>
      </c>
      <c r="L252">
        <v>0</v>
      </c>
      <c r="M252">
        <v>0</v>
      </c>
      <c r="N252">
        <v>0</v>
      </c>
      <c r="O252">
        <v>0</v>
      </c>
      <c r="P252">
        <v>0</v>
      </c>
      <c r="R252">
        <v>0</v>
      </c>
      <c r="S252">
        <v>1001.5</v>
      </c>
      <c r="T252">
        <v>10957.330415754923</v>
      </c>
      <c r="U252">
        <v>1</v>
      </c>
      <c r="V252">
        <v>0.91400000000000003</v>
      </c>
      <c r="W252">
        <v>0.91400000000000003</v>
      </c>
      <c r="X252">
        <v>0</v>
      </c>
      <c r="Y252">
        <v>0</v>
      </c>
      <c r="Z252" s="16">
        <v>0</v>
      </c>
      <c r="AA252">
        <v>0</v>
      </c>
      <c r="AB252">
        <v>0</v>
      </c>
    </row>
    <row r="253" spans="1:35" x14ac:dyDescent="0.25">
      <c r="A253">
        <v>2024</v>
      </c>
      <c r="B253">
        <v>2</v>
      </c>
      <c r="C253" t="s">
        <v>28</v>
      </c>
      <c r="D253" t="s">
        <v>38</v>
      </c>
      <c r="E253">
        <v>2</v>
      </c>
      <c r="F253">
        <v>60</v>
      </c>
      <c r="G253" s="12">
        <v>45527</v>
      </c>
      <c r="H253">
        <v>235</v>
      </c>
      <c r="J253" t="s">
        <v>26</v>
      </c>
      <c r="K253">
        <v>37100</v>
      </c>
      <c r="L253">
        <v>63.800000000000011</v>
      </c>
      <c r="M253">
        <v>1.5</v>
      </c>
      <c r="N253">
        <v>164.96</v>
      </c>
      <c r="O253">
        <v>45</v>
      </c>
      <c r="P253">
        <v>9.9000000000000021</v>
      </c>
      <c r="R253">
        <v>285.16000000000003</v>
      </c>
      <c r="S253">
        <v>340.5</v>
      </c>
      <c r="T253">
        <v>6736.9803063457339</v>
      </c>
      <c r="U253">
        <v>1</v>
      </c>
      <c r="V253">
        <v>0.91400000000000003</v>
      </c>
      <c r="W253">
        <v>0.91400000000000003</v>
      </c>
      <c r="X253">
        <v>1561.5031008677538</v>
      </c>
      <c r="Y253">
        <v>36.712455349555334</v>
      </c>
      <c r="Z253" s="16">
        <v>4037.3910896417647</v>
      </c>
      <c r="AA253">
        <v>1101.3736604866599</v>
      </c>
      <c r="AB253">
        <v>242.30220530706524</v>
      </c>
      <c r="AH253">
        <v>71.628</v>
      </c>
      <c r="AI253">
        <v>15</v>
      </c>
    </row>
    <row r="254" spans="1:35" x14ac:dyDescent="0.25">
      <c r="A254">
        <v>2024</v>
      </c>
      <c r="B254">
        <v>2</v>
      </c>
      <c r="C254" t="s">
        <v>27</v>
      </c>
      <c r="D254" t="s">
        <v>38</v>
      </c>
      <c r="E254">
        <v>3</v>
      </c>
      <c r="F254">
        <v>61</v>
      </c>
      <c r="G254" s="12">
        <v>45527</v>
      </c>
      <c r="H254">
        <v>235</v>
      </c>
      <c r="J254" t="s">
        <v>26</v>
      </c>
      <c r="K254">
        <v>37100</v>
      </c>
      <c r="L254">
        <v>30.6</v>
      </c>
      <c r="M254">
        <v>0</v>
      </c>
      <c r="N254">
        <v>119.16</v>
      </c>
      <c r="O254">
        <v>54.3</v>
      </c>
      <c r="P254">
        <v>13.3</v>
      </c>
      <c r="R254">
        <v>217.35999999999999</v>
      </c>
      <c r="S254">
        <v>532.5</v>
      </c>
      <c r="T254">
        <v>8058.6433260393878</v>
      </c>
      <c r="U254">
        <v>1</v>
      </c>
      <c r="V254">
        <v>0.91400000000000003</v>
      </c>
      <c r="W254">
        <v>0.91400000000000003</v>
      </c>
      <c r="X254">
        <v>1208.4410750603024</v>
      </c>
      <c r="Y254">
        <v>0</v>
      </c>
      <c r="Z254" s="16">
        <v>4705.8117158230598</v>
      </c>
      <c r="AA254">
        <v>2144.3905351560261</v>
      </c>
      <c r="AB254">
        <v>525.23746072882432</v>
      </c>
      <c r="AH254">
        <v>94.995999999999995</v>
      </c>
      <c r="AI254">
        <v>18.2</v>
      </c>
    </row>
    <row r="255" spans="1:35" x14ac:dyDescent="0.25">
      <c r="A255">
        <v>2024</v>
      </c>
      <c r="B255">
        <v>2</v>
      </c>
      <c r="C255" t="s">
        <v>24</v>
      </c>
      <c r="D255" t="s">
        <v>38</v>
      </c>
      <c r="E255">
        <v>3</v>
      </c>
      <c r="F255">
        <v>62</v>
      </c>
      <c r="G255" s="12">
        <v>45527</v>
      </c>
      <c r="H255">
        <v>235</v>
      </c>
      <c r="J255" t="s">
        <v>26</v>
      </c>
      <c r="K255">
        <v>37100</v>
      </c>
      <c r="L255">
        <v>29</v>
      </c>
      <c r="M255">
        <v>0</v>
      </c>
      <c r="N255">
        <v>87.56</v>
      </c>
      <c r="O255">
        <v>41</v>
      </c>
      <c r="P255">
        <v>14.099999999999998</v>
      </c>
      <c r="R255">
        <v>171.66</v>
      </c>
      <c r="S255">
        <v>583.5</v>
      </c>
      <c r="T255">
        <v>8107.8774617067838</v>
      </c>
      <c r="U255">
        <v>1</v>
      </c>
      <c r="V255">
        <v>0.91400000000000003</v>
      </c>
      <c r="W255">
        <v>0.91400000000000003</v>
      </c>
      <c r="X255">
        <v>1492.3105254474278</v>
      </c>
      <c r="Y255">
        <v>0</v>
      </c>
      <c r="Z255" s="16">
        <v>4505.7486071785088</v>
      </c>
      <c r="AA255">
        <v>2109.8183290808461</v>
      </c>
      <c r="AB255">
        <v>725.57166926926652</v>
      </c>
      <c r="AH255">
        <v>77.724000000000004</v>
      </c>
      <c r="AI255">
        <v>18</v>
      </c>
    </row>
    <row r="256" spans="1:35" x14ac:dyDescent="0.25">
      <c r="A256">
        <v>2024</v>
      </c>
      <c r="B256">
        <v>2</v>
      </c>
      <c r="C256" t="s">
        <v>33</v>
      </c>
      <c r="D256" t="s">
        <v>38</v>
      </c>
      <c r="E256">
        <v>3</v>
      </c>
      <c r="F256">
        <v>63</v>
      </c>
      <c r="G256" s="12">
        <v>45534</v>
      </c>
      <c r="H256">
        <v>242</v>
      </c>
      <c r="J256" t="s">
        <v>26</v>
      </c>
      <c r="K256">
        <v>37100</v>
      </c>
      <c r="L256">
        <v>0</v>
      </c>
      <c r="M256">
        <v>0</v>
      </c>
      <c r="N256">
        <v>0</v>
      </c>
      <c r="O256">
        <v>0</v>
      </c>
      <c r="P256">
        <v>0</v>
      </c>
      <c r="R256">
        <v>0</v>
      </c>
      <c r="S256">
        <v>901.3</v>
      </c>
      <c r="T256">
        <v>9861.0503282275713</v>
      </c>
      <c r="U256">
        <v>1</v>
      </c>
      <c r="V256">
        <v>0.91400000000000003</v>
      </c>
      <c r="W256">
        <v>0.91400000000000003</v>
      </c>
      <c r="X256">
        <v>0</v>
      </c>
      <c r="Y256">
        <v>0</v>
      </c>
      <c r="Z256" s="16">
        <v>0</v>
      </c>
      <c r="AA256">
        <v>0</v>
      </c>
      <c r="AB256">
        <v>0</v>
      </c>
    </row>
    <row r="257" spans="1:35" x14ac:dyDescent="0.25">
      <c r="A257">
        <v>2024</v>
      </c>
      <c r="B257">
        <v>2</v>
      </c>
      <c r="C257" t="s">
        <v>34</v>
      </c>
      <c r="D257" t="s">
        <v>38</v>
      </c>
      <c r="E257">
        <v>3</v>
      </c>
      <c r="F257">
        <v>64</v>
      </c>
      <c r="G257" s="12">
        <v>45527</v>
      </c>
      <c r="H257">
        <v>235</v>
      </c>
      <c r="J257" t="s">
        <v>26</v>
      </c>
      <c r="K257">
        <v>37100</v>
      </c>
      <c r="L257">
        <v>55.4</v>
      </c>
      <c r="M257">
        <v>3</v>
      </c>
      <c r="N257">
        <v>116.96000000000001</v>
      </c>
      <c r="O257">
        <v>58.5</v>
      </c>
      <c r="P257">
        <v>1</v>
      </c>
      <c r="R257">
        <v>234.86</v>
      </c>
      <c r="S257">
        <v>318.29999999999995</v>
      </c>
      <c r="T257">
        <v>6041.1378555798683</v>
      </c>
      <c r="U257">
        <v>1</v>
      </c>
      <c r="V257">
        <v>0.91400000000000003</v>
      </c>
      <c r="W257">
        <v>0.91400000000000003</v>
      </c>
      <c r="X257">
        <v>1431.1085144921092</v>
      </c>
      <c r="Y257">
        <v>77.496850965276678</v>
      </c>
      <c r="Z257" s="16">
        <v>3021.343896299587</v>
      </c>
      <c r="AA257">
        <v>1511.1885938228954</v>
      </c>
      <c r="AB257">
        <v>25.832283655092226</v>
      </c>
      <c r="AH257">
        <v>44.45</v>
      </c>
      <c r="AI257">
        <v>11</v>
      </c>
    </row>
    <row r="258" spans="1:35" x14ac:dyDescent="0.25">
      <c r="A258">
        <v>2024</v>
      </c>
      <c r="B258">
        <v>2</v>
      </c>
      <c r="C258" t="s">
        <v>37</v>
      </c>
      <c r="D258" t="s">
        <v>38</v>
      </c>
      <c r="E258">
        <v>3</v>
      </c>
      <c r="F258">
        <v>65</v>
      </c>
      <c r="G258" s="12">
        <v>45527</v>
      </c>
      <c r="H258">
        <v>235</v>
      </c>
      <c r="J258" t="s">
        <v>26</v>
      </c>
      <c r="K258">
        <v>37100</v>
      </c>
      <c r="L258">
        <v>0</v>
      </c>
      <c r="M258">
        <v>0</v>
      </c>
      <c r="N258">
        <v>0</v>
      </c>
      <c r="O258">
        <v>0</v>
      </c>
      <c r="P258">
        <v>0</v>
      </c>
      <c r="R258">
        <v>0</v>
      </c>
      <c r="S258">
        <v>472.5</v>
      </c>
      <c r="T258">
        <v>5169.5842450765858</v>
      </c>
      <c r="U258">
        <v>1</v>
      </c>
      <c r="V258">
        <v>0.91400000000000003</v>
      </c>
      <c r="W258">
        <v>0.91400000000000003</v>
      </c>
      <c r="X258">
        <v>0</v>
      </c>
      <c r="Y258">
        <v>0</v>
      </c>
      <c r="Z258" s="16">
        <v>0</v>
      </c>
      <c r="AA258">
        <v>0</v>
      </c>
      <c r="AB258">
        <v>0</v>
      </c>
    </row>
    <row r="259" spans="1:35" x14ac:dyDescent="0.25">
      <c r="A259">
        <v>2024</v>
      </c>
      <c r="B259">
        <v>2</v>
      </c>
      <c r="C259" t="s">
        <v>36</v>
      </c>
      <c r="D259" t="s">
        <v>38</v>
      </c>
      <c r="E259">
        <v>3</v>
      </c>
      <c r="F259">
        <v>66</v>
      </c>
      <c r="G259" s="12">
        <v>45527</v>
      </c>
      <c r="H259">
        <v>235</v>
      </c>
      <c r="J259" t="s">
        <v>26</v>
      </c>
      <c r="K259">
        <v>37100</v>
      </c>
      <c r="L259">
        <v>69.5</v>
      </c>
      <c r="M259">
        <v>50.599999999999994</v>
      </c>
      <c r="N259">
        <v>137.16</v>
      </c>
      <c r="O259">
        <v>102.5</v>
      </c>
      <c r="P259">
        <v>37.099999999999994</v>
      </c>
      <c r="R259">
        <v>396.86</v>
      </c>
      <c r="S259">
        <v>289.79999999999995</v>
      </c>
      <c r="T259">
        <v>7106.7833698030627</v>
      </c>
      <c r="U259">
        <v>1</v>
      </c>
      <c r="V259">
        <v>0.91400000000000003</v>
      </c>
      <c r="W259">
        <v>0.91400000000000003</v>
      </c>
      <c r="X259">
        <v>1372.9192911977789</v>
      </c>
      <c r="Y259">
        <v>999.56426092960567</v>
      </c>
      <c r="Z259" s="16">
        <v>2709.4907910890265</v>
      </c>
      <c r="AA259">
        <v>2024.809026586652</v>
      </c>
      <c r="AB259">
        <v>732.8820964523394</v>
      </c>
      <c r="AH259">
        <v>52.324000000000005</v>
      </c>
      <c r="AI259">
        <v>13.6</v>
      </c>
    </row>
    <row r="260" spans="1:35" x14ac:dyDescent="0.25">
      <c r="A260">
        <v>2024</v>
      </c>
      <c r="B260">
        <v>2</v>
      </c>
      <c r="C260" t="s">
        <v>35</v>
      </c>
      <c r="D260" t="s">
        <v>38</v>
      </c>
      <c r="E260">
        <v>3</v>
      </c>
      <c r="F260">
        <v>67</v>
      </c>
      <c r="G260" s="12">
        <v>45534</v>
      </c>
      <c r="H260">
        <v>242</v>
      </c>
      <c r="J260" t="s">
        <v>26</v>
      </c>
      <c r="K260">
        <v>37100</v>
      </c>
      <c r="L260">
        <v>11.600000000000001</v>
      </c>
      <c r="M260">
        <v>0</v>
      </c>
      <c r="N260">
        <v>127.16</v>
      </c>
      <c r="O260">
        <v>109.3</v>
      </c>
      <c r="P260">
        <v>46.599999999999994</v>
      </c>
      <c r="R260">
        <v>294.65999999999997</v>
      </c>
      <c r="S260">
        <v>384.5</v>
      </c>
      <c r="T260">
        <v>6920.7877461706785</v>
      </c>
      <c r="U260">
        <v>1</v>
      </c>
      <c r="V260">
        <v>0.91400000000000003</v>
      </c>
      <c r="W260">
        <v>0.91400000000000003</v>
      </c>
      <c r="X260">
        <v>323.63596652253437</v>
      </c>
      <c r="Y260">
        <v>0</v>
      </c>
      <c r="Z260" s="16">
        <v>3547.7197847418506</v>
      </c>
      <c r="AA260">
        <v>3049.4319949062933</v>
      </c>
      <c r="AB260">
        <v>1300.1237965474224</v>
      </c>
      <c r="AH260">
        <v>73.152000000000001</v>
      </c>
      <c r="AI260">
        <v>14.2</v>
      </c>
    </row>
    <row r="261" spans="1:35" x14ac:dyDescent="0.25">
      <c r="A261">
        <v>2024</v>
      </c>
      <c r="B261">
        <v>2</v>
      </c>
      <c r="C261" t="s">
        <v>28</v>
      </c>
      <c r="D261" t="s">
        <v>38</v>
      </c>
      <c r="E261">
        <v>3</v>
      </c>
      <c r="F261">
        <v>68</v>
      </c>
      <c r="G261" s="12">
        <v>45527</v>
      </c>
      <c r="H261">
        <v>235</v>
      </c>
      <c r="J261" t="s">
        <v>26</v>
      </c>
      <c r="K261">
        <v>37100</v>
      </c>
      <c r="L261">
        <v>72.800000000000011</v>
      </c>
      <c r="M261">
        <v>0.40000000000000213</v>
      </c>
      <c r="N261">
        <v>190.56</v>
      </c>
      <c r="O261">
        <v>47.899999999999991</v>
      </c>
      <c r="P261">
        <v>0</v>
      </c>
      <c r="R261">
        <v>311.65999999999997</v>
      </c>
      <c r="S261">
        <v>646</v>
      </c>
      <c r="T261">
        <v>10477.680525164114</v>
      </c>
      <c r="U261">
        <v>1</v>
      </c>
      <c r="V261">
        <v>0.91400000000000003</v>
      </c>
      <c r="W261">
        <v>0.91400000000000003</v>
      </c>
      <c r="X261">
        <v>2447.4592255404855</v>
      </c>
      <c r="Y261">
        <v>13.447578162310428</v>
      </c>
      <c r="Z261" s="16">
        <v>6406.4262365246541</v>
      </c>
      <c r="AA261">
        <v>1610.3474849366651</v>
      </c>
      <c r="AB261">
        <v>0</v>
      </c>
      <c r="AH261">
        <v>67.055999999999997</v>
      </c>
      <c r="AI261">
        <v>13.2</v>
      </c>
    </row>
    <row r="262" spans="1:35" x14ac:dyDescent="0.25">
      <c r="A262">
        <v>2024</v>
      </c>
      <c r="B262">
        <v>2</v>
      </c>
      <c r="C262" t="s">
        <v>29</v>
      </c>
      <c r="D262" t="s">
        <v>38</v>
      </c>
      <c r="E262">
        <v>3</v>
      </c>
      <c r="F262">
        <v>69</v>
      </c>
      <c r="G262" s="12">
        <v>45534</v>
      </c>
      <c r="H262">
        <v>242</v>
      </c>
      <c r="J262" t="s">
        <v>26</v>
      </c>
      <c r="K262">
        <v>37100</v>
      </c>
      <c r="L262">
        <v>39.6</v>
      </c>
      <c r="M262">
        <v>0.30000000000000071</v>
      </c>
      <c r="N262">
        <v>151.16</v>
      </c>
      <c r="O262">
        <v>86.3</v>
      </c>
      <c r="P262">
        <v>41.099999999999994</v>
      </c>
      <c r="R262">
        <v>318.45999999999998</v>
      </c>
      <c r="S262">
        <v>576.5</v>
      </c>
      <c r="T262">
        <v>9342.0131291028447</v>
      </c>
      <c r="U262">
        <v>1</v>
      </c>
      <c r="V262">
        <v>0.91400000000000003</v>
      </c>
      <c r="W262">
        <v>0.91400000000000003</v>
      </c>
      <c r="X262">
        <v>1333.8034320467</v>
      </c>
      <c r="Y262">
        <v>10.104571454899267</v>
      </c>
      <c r="Z262" s="16">
        <v>5091.3567370752298</v>
      </c>
      <c r="AA262">
        <v>2906.7483885260149</v>
      </c>
      <c r="AB262">
        <v>1384.3262893211959</v>
      </c>
      <c r="AH262">
        <v>99.06</v>
      </c>
      <c r="AI262">
        <v>20.6</v>
      </c>
    </row>
    <row r="263" spans="1:35" x14ac:dyDescent="0.25">
      <c r="A263">
        <v>2024</v>
      </c>
      <c r="B263">
        <v>2</v>
      </c>
      <c r="C263" t="s">
        <v>31</v>
      </c>
      <c r="D263" t="s">
        <v>38</v>
      </c>
      <c r="E263">
        <v>3</v>
      </c>
      <c r="F263">
        <v>70</v>
      </c>
      <c r="G263" s="12">
        <v>45534</v>
      </c>
      <c r="H263">
        <v>242</v>
      </c>
      <c r="J263" t="s">
        <v>26</v>
      </c>
      <c r="K263">
        <v>37100</v>
      </c>
      <c r="L263">
        <v>0</v>
      </c>
      <c r="M263">
        <v>0</v>
      </c>
      <c r="N263">
        <v>0</v>
      </c>
      <c r="O263">
        <v>0</v>
      </c>
      <c r="P263">
        <v>0</v>
      </c>
      <c r="R263">
        <v>0</v>
      </c>
      <c r="S263">
        <v>581.79999999999995</v>
      </c>
      <c r="T263">
        <v>6365.4266958424505</v>
      </c>
      <c r="U263">
        <v>1</v>
      </c>
      <c r="V263">
        <v>0.91400000000000003</v>
      </c>
      <c r="W263">
        <v>0.91400000000000003</v>
      </c>
      <c r="X263">
        <v>0</v>
      </c>
      <c r="Y263">
        <v>0</v>
      </c>
      <c r="Z263" s="16">
        <v>0</v>
      </c>
      <c r="AA263">
        <v>0</v>
      </c>
      <c r="AB263">
        <v>0</v>
      </c>
    </row>
    <row r="264" spans="1:35" x14ac:dyDescent="0.25">
      <c r="A264">
        <v>2024</v>
      </c>
      <c r="B264">
        <v>2</v>
      </c>
      <c r="C264" t="s">
        <v>30</v>
      </c>
      <c r="D264" t="s">
        <v>38</v>
      </c>
      <c r="E264">
        <v>3</v>
      </c>
      <c r="F264">
        <v>71</v>
      </c>
      <c r="G264" s="12">
        <v>45527</v>
      </c>
      <c r="H264">
        <v>235</v>
      </c>
      <c r="J264" t="s">
        <v>26</v>
      </c>
      <c r="K264">
        <v>37100</v>
      </c>
      <c r="L264">
        <v>52.4</v>
      </c>
      <c r="M264">
        <v>0</v>
      </c>
      <c r="N264">
        <v>150.35999999999999</v>
      </c>
      <c r="O264">
        <v>35.299999999999997</v>
      </c>
      <c r="P264">
        <v>8.6000000000000014</v>
      </c>
      <c r="R264">
        <v>246.66</v>
      </c>
      <c r="S264">
        <v>493.5</v>
      </c>
      <c r="T264">
        <v>8003.9387308533906</v>
      </c>
      <c r="U264">
        <v>1</v>
      </c>
      <c r="V264">
        <v>0.91400000000000003</v>
      </c>
      <c r="W264">
        <v>0.91400000000000003</v>
      </c>
      <c r="X264">
        <v>1761.7675774876823</v>
      </c>
      <c r="Y264">
        <v>0</v>
      </c>
      <c r="Z264" s="16">
        <v>5055.3315448673275</v>
      </c>
      <c r="AA264">
        <v>1186.8396084983815</v>
      </c>
      <c r="AB264">
        <v>289.14506042736781</v>
      </c>
      <c r="AH264">
        <v>103.63199999999999</v>
      </c>
      <c r="AI264">
        <v>21.4</v>
      </c>
    </row>
    <row r="265" spans="1:35" x14ac:dyDescent="0.25">
      <c r="A265">
        <v>2024</v>
      </c>
      <c r="B265">
        <v>2</v>
      </c>
      <c r="C265" t="s">
        <v>32</v>
      </c>
      <c r="D265" t="s">
        <v>38</v>
      </c>
      <c r="E265">
        <v>3</v>
      </c>
      <c r="F265">
        <v>72</v>
      </c>
      <c r="G265" s="12">
        <v>45534</v>
      </c>
      <c r="H265">
        <v>242</v>
      </c>
      <c r="J265" t="s">
        <v>26</v>
      </c>
      <c r="K265">
        <v>37100</v>
      </c>
      <c r="L265">
        <v>0</v>
      </c>
      <c r="M265">
        <v>0</v>
      </c>
      <c r="N265">
        <v>0</v>
      </c>
      <c r="O265">
        <v>0</v>
      </c>
      <c r="P265">
        <v>0</v>
      </c>
      <c r="R265">
        <v>0</v>
      </c>
      <c r="S265">
        <v>760.8</v>
      </c>
      <c r="T265">
        <v>8323.8512035010936</v>
      </c>
      <c r="U265">
        <v>1</v>
      </c>
      <c r="V265">
        <v>0.91400000000000003</v>
      </c>
      <c r="W265">
        <v>0.91400000000000003</v>
      </c>
      <c r="X265">
        <v>0</v>
      </c>
      <c r="Y265">
        <v>0</v>
      </c>
      <c r="Z265" s="16">
        <v>0</v>
      </c>
      <c r="AA265">
        <v>0</v>
      </c>
      <c r="AB265">
        <v>0</v>
      </c>
    </row>
    <row r="266" spans="1:35" x14ac:dyDescent="0.25">
      <c r="A266">
        <v>2024</v>
      </c>
      <c r="B266">
        <v>2</v>
      </c>
      <c r="C266" t="s">
        <v>24</v>
      </c>
      <c r="D266" t="s">
        <v>25</v>
      </c>
      <c r="E266">
        <v>1</v>
      </c>
      <c r="F266">
        <v>1</v>
      </c>
      <c r="G266" s="12">
        <v>45525</v>
      </c>
      <c r="H266">
        <v>233</v>
      </c>
      <c r="J266" t="s">
        <v>97</v>
      </c>
      <c r="K266">
        <v>37100</v>
      </c>
      <c r="S266">
        <v>632.29999999999995</v>
      </c>
      <c r="T266">
        <v>6552.3316062176164</v>
      </c>
      <c r="U266">
        <v>1</v>
      </c>
      <c r="V266">
        <v>0.96499999999999997</v>
      </c>
      <c r="W266">
        <v>0.96499999999999997</v>
      </c>
    </row>
    <row r="267" spans="1:35" x14ac:dyDescent="0.25">
      <c r="A267">
        <v>2024</v>
      </c>
      <c r="B267">
        <v>2</v>
      </c>
      <c r="C267" t="s">
        <v>27</v>
      </c>
      <c r="D267" t="s">
        <v>25</v>
      </c>
      <c r="E267">
        <v>1</v>
      </c>
      <c r="F267">
        <v>2</v>
      </c>
      <c r="G267" s="12">
        <v>45525</v>
      </c>
      <c r="H267">
        <v>233</v>
      </c>
      <c r="J267" t="s">
        <v>97</v>
      </c>
      <c r="K267">
        <v>37100</v>
      </c>
      <c r="S267">
        <v>791.3</v>
      </c>
      <c r="T267">
        <v>8200</v>
      </c>
      <c r="U267">
        <v>1</v>
      </c>
      <c r="V267">
        <v>0.96499999999999997</v>
      </c>
      <c r="W267">
        <v>0.96499999999999997</v>
      </c>
    </row>
    <row r="268" spans="1:35" x14ac:dyDescent="0.25">
      <c r="A268">
        <v>2024</v>
      </c>
      <c r="B268">
        <v>2</v>
      </c>
      <c r="C268" t="s">
        <v>28</v>
      </c>
      <c r="D268" t="s">
        <v>25</v>
      </c>
      <c r="E268">
        <v>1</v>
      </c>
      <c r="F268">
        <v>3</v>
      </c>
      <c r="G268" s="12">
        <v>45525</v>
      </c>
      <c r="H268">
        <v>233</v>
      </c>
      <c r="J268" t="s">
        <v>97</v>
      </c>
      <c r="K268">
        <v>37100</v>
      </c>
      <c r="S268">
        <v>463.3</v>
      </c>
      <c r="T268">
        <v>4801.036269430052</v>
      </c>
      <c r="U268">
        <v>1</v>
      </c>
      <c r="V268">
        <v>0.96499999999999997</v>
      </c>
      <c r="W268">
        <v>0.96499999999999997</v>
      </c>
    </row>
    <row r="269" spans="1:35" x14ac:dyDescent="0.25">
      <c r="A269">
        <v>2024</v>
      </c>
      <c r="B269">
        <v>2</v>
      </c>
      <c r="C269" t="s">
        <v>29</v>
      </c>
      <c r="D269" t="s">
        <v>25</v>
      </c>
      <c r="E269">
        <v>1</v>
      </c>
      <c r="F269">
        <v>4</v>
      </c>
      <c r="G269" s="12">
        <v>45525</v>
      </c>
      <c r="H269">
        <v>233</v>
      </c>
      <c r="J269" t="s">
        <v>97</v>
      </c>
      <c r="K269">
        <v>37100</v>
      </c>
      <c r="S269">
        <v>685.59999999999991</v>
      </c>
      <c r="T269">
        <v>7104.6632124352327</v>
      </c>
      <c r="U269">
        <v>1</v>
      </c>
      <c r="V269">
        <v>0.96499999999999997</v>
      </c>
      <c r="W269">
        <v>0.96499999999999997</v>
      </c>
    </row>
    <row r="270" spans="1:35" x14ac:dyDescent="0.25">
      <c r="A270">
        <v>2024</v>
      </c>
      <c r="B270">
        <v>2</v>
      </c>
      <c r="C270" t="s">
        <v>30</v>
      </c>
      <c r="D270" t="s">
        <v>25</v>
      </c>
      <c r="E270">
        <v>1</v>
      </c>
      <c r="F270">
        <v>5</v>
      </c>
      <c r="G270" s="12">
        <v>45525</v>
      </c>
      <c r="H270">
        <v>233</v>
      </c>
      <c r="J270" t="s">
        <v>97</v>
      </c>
      <c r="K270">
        <v>37100</v>
      </c>
      <c r="S270">
        <v>874.09999999999991</v>
      </c>
      <c r="T270">
        <v>9058.0310880829002</v>
      </c>
      <c r="U270">
        <v>1</v>
      </c>
      <c r="V270">
        <v>0.96499999999999997</v>
      </c>
      <c r="W270">
        <v>0.96499999999999997</v>
      </c>
    </row>
    <row r="271" spans="1:35" x14ac:dyDescent="0.25">
      <c r="A271">
        <v>2024</v>
      </c>
      <c r="B271">
        <v>2</v>
      </c>
      <c r="C271" t="s">
        <v>31</v>
      </c>
      <c r="D271" t="s">
        <v>25</v>
      </c>
      <c r="E271">
        <v>1</v>
      </c>
      <c r="F271">
        <v>6</v>
      </c>
      <c r="G271" s="12">
        <v>45525</v>
      </c>
      <c r="H271">
        <v>233</v>
      </c>
      <c r="J271" t="s">
        <v>97</v>
      </c>
      <c r="K271">
        <v>37100</v>
      </c>
      <c r="S271">
        <v>598.29999999999995</v>
      </c>
      <c r="T271">
        <v>6199.9999999999991</v>
      </c>
      <c r="U271">
        <v>1</v>
      </c>
      <c r="V271">
        <v>0.96499999999999997</v>
      </c>
      <c r="W271">
        <v>0.96499999999999997</v>
      </c>
    </row>
    <row r="272" spans="1:35" x14ac:dyDescent="0.25">
      <c r="A272">
        <v>2024</v>
      </c>
      <c r="B272">
        <v>2</v>
      </c>
      <c r="C272" t="s">
        <v>32</v>
      </c>
      <c r="D272" t="s">
        <v>25</v>
      </c>
      <c r="E272">
        <v>1</v>
      </c>
      <c r="F272">
        <v>7</v>
      </c>
      <c r="G272" s="12">
        <v>45525</v>
      </c>
      <c r="H272">
        <v>233</v>
      </c>
      <c r="J272" t="s">
        <v>97</v>
      </c>
      <c r="K272">
        <v>37100</v>
      </c>
      <c r="S272">
        <v>597.29999999999995</v>
      </c>
      <c r="T272">
        <v>6189.6373056994807</v>
      </c>
      <c r="U272">
        <v>1</v>
      </c>
      <c r="V272">
        <v>0.96499999999999997</v>
      </c>
      <c r="W272">
        <v>0.96499999999999997</v>
      </c>
    </row>
    <row r="273" spans="1:23" x14ac:dyDescent="0.25">
      <c r="A273">
        <v>2024</v>
      </c>
      <c r="B273">
        <v>2</v>
      </c>
      <c r="C273" t="s">
        <v>33</v>
      </c>
      <c r="D273" t="s">
        <v>25</v>
      </c>
      <c r="E273">
        <v>1</v>
      </c>
      <c r="F273">
        <v>8</v>
      </c>
      <c r="G273" s="12">
        <v>45525</v>
      </c>
      <c r="H273">
        <v>233</v>
      </c>
      <c r="J273" t="s">
        <v>97</v>
      </c>
      <c r="K273">
        <v>37100</v>
      </c>
      <c r="S273">
        <v>434.09999999999997</v>
      </c>
      <c r="T273">
        <v>4498.4455958549224</v>
      </c>
      <c r="U273">
        <v>1</v>
      </c>
      <c r="V273">
        <v>0.96499999999999997</v>
      </c>
      <c r="W273">
        <v>0.96499999999999997</v>
      </c>
    </row>
    <row r="274" spans="1:23" x14ac:dyDescent="0.25">
      <c r="A274">
        <v>2024</v>
      </c>
      <c r="B274">
        <v>2</v>
      </c>
      <c r="C274" t="s">
        <v>27</v>
      </c>
      <c r="D274" t="s">
        <v>25</v>
      </c>
      <c r="E274">
        <v>2</v>
      </c>
      <c r="F274">
        <v>9</v>
      </c>
      <c r="G274" s="12">
        <v>45525</v>
      </c>
      <c r="H274">
        <v>233</v>
      </c>
      <c r="J274" t="s">
        <v>97</v>
      </c>
      <c r="K274">
        <v>37100</v>
      </c>
      <c r="S274">
        <v>680.5</v>
      </c>
      <c r="T274">
        <v>7051.8134715025908</v>
      </c>
      <c r="U274">
        <v>1</v>
      </c>
      <c r="V274">
        <v>0.96499999999999997</v>
      </c>
      <c r="W274">
        <v>0.96499999999999997</v>
      </c>
    </row>
    <row r="275" spans="1:23" x14ac:dyDescent="0.25">
      <c r="A275">
        <v>2024</v>
      </c>
      <c r="B275">
        <v>2</v>
      </c>
      <c r="C275" t="s">
        <v>33</v>
      </c>
      <c r="D275" t="s">
        <v>25</v>
      </c>
      <c r="E275">
        <v>2</v>
      </c>
      <c r="F275">
        <v>10</v>
      </c>
      <c r="G275" s="12">
        <v>45525</v>
      </c>
      <c r="H275">
        <v>233</v>
      </c>
      <c r="J275" t="s">
        <v>97</v>
      </c>
      <c r="K275">
        <v>37100</v>
      </c>
      <c r="S275">
        <v>592</v>
      </c>
      <c r="T275">
        <v>6134.7150259067357</v>
      </c>
      <c r="U275">
        <v>1</v>
      </c>
      <c r="V275">
        <v>0.96499999999999997</v>
      </c>
      <c r="W275">
        <v>0.96499999999999997</v>
      </c>
    </row>
    <row r="276" spans="1:23" x14ac:dyDescent="0.25">
      <c r="A276">
        <v>2024</v>
      </c>
      <c r="B276">
        <v>2</v>
      </c>
      <c r="C276" t="s">
        <v>32</v>
      </c>
      <c r="D276" t="s">
        <v>25</v>
      </c>
      <c r="E276">
        <v>2</v>
      </c>
      <c r="F276">
        <v>11</v>
      </c>
      <c r="G276" s="12">
        <v>45525</v>
      </c>
      <c r="H276">
        <v>233</v>
      </c>
      <c r="J276" t="s">
        <v>97</v>
      </c>
      <c r="K276">
        <v>37100</v>
      </c>
      <c r="S276">
        <v>595.29999999999995</v>
      </c>
      <c r="T276">
        <v>6168.911917098445</v>
      </c>
      <c r="U276">
        <v>1</v>
      </c>
      <c r="V276">
        <v>0.96499999999999997</v>
      </c>
      <c r="W276">
        <v>0.96499999999999997</v>
      </c>
    </row>
    <row r="277" spans="1:23" x14ac:dyDescent="0.25">
      <c r="A277">
        <v>2024</v>
      </c>
      <c r="B277">
        <v>2</v>
      </c>
      <c r="C277" t="s">
        <v>28</v>
      </c>
      <c r="D277" t="s">
        <v>25</v>
      </c>
      <c r="E277">
        <v>2</v>
      </c>
      <c r="F277">
        <v>12</v>
      </c>
      <c r="G277" s="12">
        <v>45525</v>
      </c>
      <c r="H277">
        <v>233</v>
      </c>
      <c r="J277" t="s">
        <v>97</v>
      </c>
      <c r="K277">
        <v>37100</v>
      </c>
      <c r="S277">
        <v>545.5</v>
      </c>
      <c r="T277">
        <v>5652.8497409326428</v>
      </c>
      <c r="U277">
        <v>1</v>
      </c>
      <c r="V277">
        <v>0.96499999999999997</v>
      </c>
      <c r="W277">
        <v>0.96499999999999997</v>
      </c>
    </row>
    <row r="278" spans="1:23" x14ac:dyDescent="0.25">
      <c r="A278">
        <v>2024</v>
      </c>
      <c r="B278">
        <v>2</v>
      </c>
      <c r="C278" t="s">
        <v>31</v>
      </c>
      <c r="D278" t="s">
        <v>25</v>
      </c>
      <c r="E278">
        <v>2</v>
      </c>
      <c r="F278">
        <v>13</v>
      </c>
      <c r="G278" s="12">
        <v>45525</v>
      </c>
      <c r="H278">
        <v>233</v>
      </c>
      <c r="J278" t="s">
        <v>97</v>
      </c>
      <c r="K278">
        <v>37100</v>
      </c>
      <c r="S278">
        <v>549.29999999999995</v>
      </c>
      <c r="T278">
        <v>5692.2279792746103</v>
      </c>
      <c r="U278">
        <v>1</v>
      </c>
      <c r="V278">
        <v>0.96499999999999997</v>
      </c>
      <c r="W278">
        <v>0.96499999999999997</v>
      </c>
    </row>
    <row r="279" spans="1:23" x14ac:dyDescent="0.25">
      <c r="A279">
        <v>2024</v>
      </c>
      <c r="B279">
        <v>2</v>
      </c>
      <c r="C279" t="s">
        <v>24</v>
      </c>
      <c r="D279" t="s">
        <v>25</v>
      </c>
      <c r="E279">
        <v>2</v>
      </c>
      <c r="F279">
        <v>14</v>
      </c>
      <c r="G279" s="12">
        <v>45525</v>
      </c>
      <c r="H279">
        <v>233</v>
      </c>
      <c r="J279" t="s">
        <v>97</v>
      </c>
      <c r="K279">
        <v>37100</v>
      </c>
      <c r="S279">
        <v>653.90000000000009</v>
      </c>
      <c r="T279">
        <v>6776.1658031088082</v>
      </c>
      <c r="U279">
        <v>1</v>
      </c>
      <c r="V279">
        <v>0.96499999999999997</v>
      </c>
      <c r="W279">
        <v>0.96499999999999997</v>
      </c>
    </row>
    <row r="280" spans="1:23" x14ac:dyDescent="0.25">
      <c r="A280">
        <v>2024</v>
      </c>
      <c r="B280">
        <v>2</v>
      </c>
      <c r="C280" t="s">
        <v>30</v>
      </c>
      <c r="D280" t="s">
        <v>25</v>
      </c>
      <c r="E280">
        <v>2</v>
      </c>
      <c r="F280">
        <v>15</v>
      </c>
      <c r="G280" s="12">
        <v>45525</v>
      </c>
      <c r="H280">
        <v>233</v>
      </c>
      <c r="J280" t="s">
        <v>97</v>
      </c>
      <c r="K280">
        <v>37100</v>
      </c>
      <c r="S280">
        <v>705.2</v>
      </c>
      <c r="T280">
        <v>7307.7720207253897</v>
      </c>
      <c r="U280">
        <v>1</v>
      </c>
      <c r="V280">
        <v>0.96499999999999997</v>
      </c>
      <c r="W280">
        <v>0.96499999999999997</v>
      </c>
    </row>
    <row r="281" spans="1:23" x14ac:dyDescent="0.25">
      <c r="A281">
        <v>2024</v>
      </c>
      <c r="B281">
        <v>2</v>
      </c>
      <c r="C281" t="s">
        <v>29</v>
      </c>
      <c r="D281" t="s">
        <v>25</v>
      </c>
      <c r="E281">
        <v>2</v>
      </c>
      <c r="F281">
        <v>16</v>
      </c>
      <c r="G281" s="12">
        <v>45525</v>
      </c>
      <c r="H281">
        <v>233</v>
      </c>
      <c r="J281" t="s">
        <v>97</v>
      </c>
      <c r="K281">
        <v>37100</v>
      </c>
      <c r="S281">
        <v>604.29999999999995</v>
      </c>
      <c r="T281">
        <v>6262.1761658031082</v>
      </c>
      <c r="U281">
        <v>1</v>
      </c>
      <c r="V281">
        <v>0.96499999999999997</v>
      </c>
      <c r="W281">
        <v>0.96499999999999997</v>
      </c>
    </row>
    <row r="282" spans="1:23" x14ac:dyDescent="0.25">
      <c r="A282">
        <v>2024</v>
      </c>
      <c r="B282">
        <v>2</v>
      </c>
      <c r="C282" t="s">
        <v>33</v>
      </c>
      <c r="D282" t="s">
        <v>25</v>
      </c>
      <c r="E282">
        <v>3</v>
      </c>
      <c r="F282">
        <v>17</v>
      </c>
      <c r="G282" s="12">
        <v>45525</v>
      </c>
      <c r="H282">
        <v>233</v>
      </c>
      <c r="J282" t="s">
        <v>97</v>
      </c>
      <c r="K282">
        <v>37100</v>
      </c>
      <c r="S282">
        <v>556.90000000000009</v>
      </c>
      <c r="T282">
        <v>5770.9844559585499</v>
      </c>
      <c r="U282">
        <v>1</v>
      </c>
      <c r="V282">
        <v>0.96499999999999997</v>
      </c>
      <c r="W282">
        <v>0.96499999999999997</v>
      </c>
    </row>
    <row r="283" spans="1:23" x14ac:dyDescent="0.25">
      <c r="A283">
        <v>2024</v>
      </c>
      <c r="B283">
        <v>2</v>
      </c>
      <c r="C283" t="s">
        <v>27</v>
      </c>
      <c r="D283" t="s">
        <v>25</v>
      </c>
      <c r="E283">
        <v>3</v>
      </c>
      <c r="F283">
        <v>18</v>
      </c>
      <c r="G283" s="12">
        <v>45525</v>
      </c>
      <c r="H283">
        <v>233</v>
      </c>
      <c r="J283" t="s">
        <v>97</v>
      </c>
      <c r="K283">
        <v>37100</v>
      </c>
      <c r="S283">
        <v>593.29999999999995</v>
      </c>
      <c r="T283">
        <v>6148.1865284974083</v>
      </c>
      <c r="U283">
        <v>1</v>
      </c>
      <c r="V283">
        <v>0.96499999999999997</v>
      </c>
      <c r="W283">
        <v>0.96499999999999997</v>
      </c>
    </row>
    <row r="284" spans="1:23" x14ac:dyDescent="0.25">
      <c r="A284">
        <v>2024</v>
      </c>
      <c r="B284">
        <v>2</v>
      </c>
      <c r="C284" t="s">
        <v>29</v>
      </c>
      <c r="D284" t="s">
        <v>25</v>
      </c>
      <c r="E284">
        <v>3</v>
      </c>
      <c r="F284">
        <v>19</v>
      </c>
      <c r="G284" s="12">
        <v>45525</v>
      </c>
      <c r="H284">
        <v>233</v>
      </c>
      <c r="J284" t="s">
        <v>97</v>
      </c>
      <c r="K284">
        <v>37100</v>
      </c>
      <c r="S284">
        <v>715.7</v>
      </c>
      <c r="T284">
        <v>7416.5803108808295</v>
      </c>
      <c r="U284">
        <v>1</v>
      </c>
      <c r="V284">
        <v>0.96499999999999997</v>
      </c>
      <c r="W284">
        <v>0.96499999999999997</v>
      </c>
    </row>
    <row r="285" spans="1:23" x14ac:dyDescent="0.25">
      <c r="A285">
        <v>2024</v>
      </c>
      <c r="B285">
        <v>2</v>
      </c>
      <c r="C285" t="s">
        <v>31</v>
      </c>
      <c r="D285" t="s">
        <v>25</v>
      </c>
      <c r="E285">
        <v>3</v>
      </c>
      <c r="F285">
        <v>20</v>
      </c>
      <c r="G285" s="12">
        <v>45525</v>
      </c>
      <c r="H285">
        <v>233</v>
      </c>
      <c r="J285" t="s">
        <v>97</v>
      </c>
      <c r="K285">
        <v>37100</v>
      </c>
      <c r="S285">
        <v>480.3</v>
      </c>
      <c r="T285">
        <v>4977.2020725388602</v>
      </c>
      <c r="U285">
        <v>1</v>
      </c>
      <c r="V285">
        <v>0.96499999999999997</v>
      </c>
      <c r="W285">
        <v>0.96499999999999997</v>
      </c>
    </row>
    <row r="286" spans="1:23" x14ac:dyDescent="0.25">
      <c r="A286">
        <v>2024</v>
      </c>
      <c r="B286">
        <v>2</v>
      </c>
      <c r="C286" t="s">
        <v>30</v>
      </c>
      <c r="D286" t="s">
        <v>25</v>
      </c>
      <c r="E286">
        <v>3</v>
      </c>
      <c r="F286">
        <v>21</v>
      </c>
      <c r="G286" s="12">
        <v>45525</v>
      </c>
      <c r="H286">
        <v>233</v>
      </c>
      <c r="J286" t="s">
        <v>97</v>
      </c>
      <c r="K286">
        <v>37100</v>
      </c>
      <c r="S286">
        <v>599.20000000000005</v>
      </c>
      <c r="T286">
        <v>6209.3264248704672</v>
      </c>
      <c r="U286">
        <v>1</v>
      </c>
      <c r="V286">
        <v>0.96499999999999997</v>
      </c>
      <c r="W286">
        <v>0.96499999999999997</v>
      </c>
    </row>
    <row r="287" spans="1:23" x14ac:dyDescent="0.25">
      <c r="A287">
        <v>2024</v>
      </c>
      <c r="B287">
        <v>2</v>
      </c>
      <c r="C287" t="s">
        <v>32</v>
      </c>
      <c r="D287" t="s">
        <v>25</v>
      </c>
      <c r="E287">
        <v>3</v>
      </c>
      <c r="F287">
        <v>22</v>
      </c>
      <c r="G287" s="12">
        <v>45525</v>
      </c>
      <c r="H287">
        <v>233</v>
      </c>
      <c r="J287" t="s">
        <v>97</v>
      </c>
      <c r="K287">
        <v>37100</v>
      </c>
      <c r="S287">
        <v>475.90000000000003</v>
      </c>
      <c r="T287">
        <v>4931.6062176165806</v>
      </c>
      <c r="U287">
        <v>1</v>
      </c>
      <c r="V287">
        <v>0.96499999999999997</v>
      </c>
      <c r="W287">
        <v>0.96499999999999997</v>
      </c>
    </row>
    <row r="288" spans="1:23" x14ac:dyDescent="0.25">
      <c r="A288">
        <v>2024</v>
      </c>
      <c r="B288">
        <v>2</v>
      </c>
      <c r="C288" t="s">
        <v>24</v>
      </c>
      <c r="D288" t="s">
        <v>25</v>
      </c>
      <c r="E288">
        <v>3</v>
      </c>
      <c r="F288">
        <v>23</v>
      </c>
      <c r="G288" s="12">
        <v>45525</v>
      </c>
      <c r="H288">
        <v>233</v>
      </c>
      <c r="J288" t="s">
        <v>97</v>
      </c>
      <c r="K288">
        <v>37100</v>
      </c>
      <c r="S288">
        <v>611.90000000000009</v>
      </c>
      <c r="T288">
        <v>6340.9326424870478</v>
      </c>
      <c r="U288">
        <v>1</v>
      </c>
      <c r="V288">
        <v>0.96499999999999997</v>
      </c>
      <c r="W288">
        <v>0.96499999999999997</v>
      </c>
    </row>
    <row r="289" spans="1:35" x14ac:dyDescent="0.25">
      <c r="A289">
        <v>2024</v>
      </c>
      <c r="B289">
        <v>2</v>
      </c>
      <c r="C289" t="s">
        <v>28</v>
      </c>
      <c r="D289" t="s">
        <v>25</v>
      </c>
      <c r="E289">
        <v>3</v>
      </c>
      <c r="F289">
        <v>24</v>
      </c>
      <c r="G289" s="12">
        <v>45525</v>
      </c>
      <c r="H289">
        <v>233</v>
      </c>
      <c r="J289" t="s">
        <v>97</v>
      </c>
      <c r="K289">
        <v>37100</v>
      </c>
      <c r="S289">
        <v>529.5</v>
      </c>
      <c r="T289">
        <v>5487.0466321243521</v>
      </c>
      <c r="U289">
        <v>1</v>
      </c>
      <c r="V289">
        <v>0.96499999999999997</v>
      </c>
      <c r="W289">
        <v>0.96499999999999997</v>
      </c>
    </row>
    <row r="290" spans="1:35" x14ac:dyDescent="0.25">
      <c r="A290">
        <v>2024</v>
      </c>
      <c r="B290" s="48">
        <v>2</v>
      </c>
      <c r="C290" s="50" t="s">
        <v>24</v>
      </c>
      <c r="D290" s="48" t="s">
        <v>25</v>
      </c>
      <c r="E290" s="50">
        <v>1</v>
      </c>
      <c r="F290" s="48">
        <v>1</v>
      </c>
      <c r="G290" s="57">
        <v>45526</v>
      </c>
      <c r="H290" s="58">
        <v>234</v>
      </c>
      <c r="I290" s="48"/>
      <c r="J290" s="48" t="s">
        <v>107</v>
      </c>
      <c r="K290" s="48">
        <v>40800</v>
      </c>
      <c r="L290" s="48"/>
      <c r="M290" s="19"/>
      <c r="N290" s="48"/>
      <c r="O290" s="19"/>
      <c r="P290" s="19"/>
      <c r="Q290" s="48"/>
      <c r="R290" s="48"/>
      <c r="S290" s="48">
        <v>0</v>
      </c>
      <c r="T290" s="48"/>
      <c r="U290" s="19">
        <v>1</v>
      </c>
      <c r="V290" s="19">
        <v>0.96499999999999997</v>
      </c>
      <c r="W290" s="27">
        <f t="shared" ref="W290:W313" si="1">V290*U290</f>
        <v>0.96499999999999997</v>
      </c>
      <c r="X290" s="48"/>
      <c r="Y290" s="48"/>
      <c r="Z290" s="48"/>
      <c r="AA290" s="48"/>
      <c r="AB290" s="48"/>
      <c r="AC290" s="48"/>
      <c r="AD290" s="19"/>
      <c r="AE290" s="19"/>
      <c r="AF290" s="19"/>
      <c r="AG290" s="19"/>
      <c r="AH290" s="19"/>
      <c r="AI290" s="19"/>
    </row>
    <row r="291" spans="1:35" x14ac:dyDescent="0.25">
      <c r="A291">
        <v>2024</v>
      </c>
      <c r="B291" s="19">
        <v>2</v>
      </c>
      <c r="C291" s="24" t="s">
        <v>27</v>
      </c>
      <c r="D291" s="19" t="s">
        <v>25</v>
      </c>
      <c r="E291" s="24">
        <v>1</v>
      </c>
      <c r="F291" s="19">
        <v>2</v>
      </c>
      <c r="G291" s="25">
        <v>45526</v>
      </c>
      <c r="H291" s="18">
        <v>234</v>
      </c>
      <c r="I291" s="19"/>
      <c r="J291" s="19" t="s">
        <v>107</v>
      </c>
      <c r="K291" s="48">
        <v>40800</v>
      </c>
      <c r="L291" s="19"/>
      <c r="M291" s="19"/>
      <c r="N291" s="19"/>
      <c r="O291" s="19"/>
      <c r="P291" s="19"/>
      <c r="Q291" s="19"/>
      <c r="R291" s="19"/>
      <c r="S291" s="19">
        <v>890.68000000000006</v>
      </c>
      <c r="T291" s="19">
        <v>9229.8445595854937</v>
      </c>
      <c r="U291" s="19">
        <v>1</v>
      </c>
      <c r="V291" s="19">
        <v>0.96499999999999997</v>
      </c>
      <c r="W291" s="27">
        <f t="shared" si="1"/>
        <v>0.96499999999999997</v>
      </c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</row>
    <row r="292" spans="1:35" x14ac:dyDescent="0.25">
      <c r="A292">
        <v>2024</v>
      </c>
      <c r="B292" s="48">
        <v>2</v>
      </c>
      <c r="C292" s="24" t="s">
        <v>28</v>
      </c>
      <c r="D292" s="19" t="s">
        <v>25</v>
      </c>
      <c r="E292" s="24">
        <v>1</v>
      </c>
      <c r="F292" s="19">
        <v>3</v>
      </c>
      <c r="G292" s="25">
        <v>45526</v>
      </c>
      <c r="H292" s="18">
        <v>234</v>
      </c>
      <c r="I292" s="19"/>
      <c r="J292" s="19" t="s">
        <v>107</v>
      </c>
      <c r="K292" s="48">
        <v>40800</v>
      </c>
      <c r="L292" s="19"/>
      <c r="M292" s="19"/>
      <c r="N292" s="19"/>
      <c r="O292" s="19"/>
      <c r="P292" s="19"/>
      <c r="Q292" s="19"/>
      <c r="R292" s="19"/>
      <c r="S292" s="19">
        <v>903.68000000000006</v>
      </c>
      <c r="T292" s="19">
        <v>9364.5595854922285</v>
      </c>
      <c r="U292" s="19">
        <v>1</v>
      </c>
      <c r="V292" s="19">
        <v>0.96499999999999997</v>
      </c>
      <c r="W292" s="27">
        <f t="shared" si="1"/>
        <v>0.96499999999999997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</row>
    <row r="293" spans="1:35" x14ac:dyDescent="0.25">
      <c r="A293">
        <v>2024</v>
      </c>
      <c r="B293" s="19">
        <v>2</v>
      </c>
      <c r="C293" s="24" t="s">
        <v>29</v>
      </c>
      <c r="D293" s="19" t="s">
        <v>25</v>
      </c>
      <c r="E293" s="24">
        <v>1</v>
      </c>
      <c r="F293" s="19">
        <v>4</v>
      </c>
      <c r="G293" s="25">
        <v>45526</v>
      </c>
      <c r="H293" s="18">
        <v>234</v>
      </c>
      <c r="I293" s="19"/>
      <c r="J293" s="19" t="s">
        <v>107</v>
      </c>
      <c r="K293" s="48">
        <v>40800</v>
      </c>
      <c r="L293" s="19"/>
      <c r="M293" s="19"/>
      <c r="N293" s="19"/>
      <c r="O293" s="19"/>
      <c r="P293" s="19"/>
      <c r="Q293" s="19"/>
      <c r="R293" s="19"/>
      <c r="S293" s="19">
        <v>928.68000000000006</v>
      </c>
      <c r="T293" s="19">
        <v>9623.6269430051834</v>
      </c>
      <c r="U293" s="19">
        <v>1</v>
      </c>
      <c r="V293" s="19">
        <v>0.96499999999999997</v>
      </c>
      <c r="W293" s="27">
        <f t="shared" si="1"/>
        <v>0.96499999999999997</v>
      </c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</row>
    <row r="294" spans="1:35" x14ac:dyDescent="0.25">
      <c r="A294">
        <v>2024</v>
      </c>
      <c r="B294" s="48">
        <v>2</v>
      </c>
      <c r="C294" s="24" t="s">
        <v>30</v>
      </c>
      <c r="D294" s="19" t="s">
        <v>25</v>
      </c>
      <c r="E294" s="24">
        <v>1</v>
      </c>
      <c r="F294" s="19">
        <v>5</v>
      </c>
      <c r="G294" s="25">
        <v>45526</v>
      </c>
      <c r="H294" s="18">
        <v>234</v>
      </c>
      <c r="I294" s="19"/>
      <c r="J294" s="19" t="s">
        <v>107</v>
      </c>
      <c r="K294" s="48">
        <v>40800</v>
      </c>
      <c r="L294" s="19"/>
      <c r="M294" s="19"/>
      <c r="N294" s="19"/>
      <c r="O294" s="19"/>
      <c r="P294" s="19"/>
      <c r="Q294" s="19"/>
      <c r="R294" s="19"/>
      <c r="S294" s="19">
        <v>780.68000000000006</v>
      </c>
      <c r="T294" s="19">
        <v>8089.9481865284979</v>
      </c>
      <c r="U294" s="19">
        <v>1</v>
      </c>
      <c r="V294" s="19">
        <v>0.96499999999999997</v>
      </c>
      <c r="W294" s="27">
        <f t="shared" si="1"/>
        <v>0.96499999999999997</v>
      </c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</row>
    <row r="295" spans="1:35" x14ac:dyDescent="0.25">
      <c r="A295">
        <v>2024</v>
      </c>
      <c r="B295" s="19">
        <v>2</v>
      </c>
      <c r="C295" s="24" t="s">
        <v>31</v>
      </c>
      <c r="D295" s="19" t="s">
        <v>25</v>
      </c>
      <c r="E295" s="24">
        <v>1</v>
      </c>
      <c r="F295" s="19">
        <v>6</v>
      </c>
      <c r="G295" s="25">
        <v>45526</v>
      </c>
      <c r="H295" s="18">
        <v>234</v>
      </c>
      <c r="I295" s="19"/>
      <c r="J295" s="19" t="s">
        <v>107</v>
      </c>
      <c r="K295" s="48">
        <v>40800</v>
      </c>
      <c r="L295" s="19"/>
      <c r="M295" s="19"/>
      <c r="N295" s="19"/>
      <c r="O295" s="19"/>
      <c r="P295" s="19"/>
      <c r="Q295" s="19"/>
      <c r="R295" s="19"/>
      <c r="S295" s="19">
        <v>654.68000000000006</v>
      </c>
      <c r="T295" s="19">
        <v>6784.2487046632132</v>
      </c>
      <c r="U295" s="19">
        <v>1</v>
      </c>
      <c r="V295" s="19">
        <v>0.96499999999999997</v>
      </c>
      <c r="W295" s="27">
        <f t="shared" si="1"/>
        <v>0.96499999999999997</v>
      </c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</row>
    <row r="296" spans="1:35" x14ac:dyDescent="0.25">
      <c r="A296">
        <v>2024</v>
      </c>
      <c r="B296" s="48">
        <v>2</v>
      </c>
      <c r="C296" s="24" t="s">
        <v>32</v>
      </c>
      <c r="D296" s="19" t="s">
        <v>25</v>
      </c>
      <c r="E296" s="24">
        <v>1</v>
      </c>
      <c r="F296" s="19">
        <v>7</v>
      </c>
      <c r="G296" s="25">
        <v>45526</v>
      </c>
      <c r="H296" s="18">
        <v>234</v>
      </c>
      <c r="I296" s="19"/>
      <c r="J296" s="19" t="s">
        <v>107</v>
      </c>
      <c r="K296" s="48">
        <v>40800</v>
      </c>
      <c r="L296" s="19"/>
      <c r="M296" s="19"/>
      <c r="N296" s="19"/>
      <c r="O296" s="19"/>
      <c r="P296" s="19"/>
      <c r="Q296" s="19"/>
      <c r="R296" s="19"/>
      <c r="S296" s="19">
        <v>873.68000000000006</v>
      </c>
      <c r="T296" s="19">
        <v>9053.6787564766837</v>
      </c>
      <c r="U296" s="19">
        <v>1</v>
      </c>
      <c r="V296" s="19">
        <v>0.96499999999999997</v>
      </c>
      <c r="W296" s="27">
        <f t="shared" si="1"/>
        <v>0.96499999999999997</v>
      </c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</row>
    <row r="297" spans="1:35" x14ac:dyDescent="0.25">
      <c r="A297">
        <v>2024</v>
      </c>
      <c r="B297" s="19">
        <v>2</v>
      </c>
      <c r="C297" s="24" t="s">
        <v>33</v>
      </c>
      <c r="D297" s="19" t="s">
        <v>25</v>
      </c>
      <c r="E297" s="24">
        <v>1</v>
      </c>
      <c r="F297" s="19">
        <v>8</v>
      </c>
      <c r="G297" s="25">
        <v>45526</v>
      </c>
      <c r="H297" s="18">
        <v>234</v>
      </c>
      <c r="I297" s="19"/>
      <c r="J297" s="19" t="s">
        <v>107</v>
      </c>
      <c r="K297" s="48">
        <v>40800</v>
      </c>
      <c r="L297" s="19"/>
      <c r="M297" s="19"/>
      <c r="N297" s="19"/>
      <c r="O297" s="19"/>
      <c r="P297" s="19"/>
      <c r="Q297" s="19"/>
      <c r="R297" s="19"/>
      <c r="S297" s="19">
        <v>824.68000000000006</v>
      </c>
      <c r="T297" s="19">
        <v>8545.9067357512959</v>
      </c>
      <c r="U297" s="19">
        <v>1</v>
      </c>
      <c r="V297" s="19">
        <v>0.96499999999999997</v>
      </c>
      <c r="W297" s="27">
        <f t="shared" si="1"/>
        <v>0.96499999999999997</v>
      </c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</row>
    <row r="298" spans="1:35" x14ac:dyDescent="0.25">
      <c r="A298">
        <v>2024</v>
      </c>
      <c r="B298" s="48">
        <v>2</v>
      </c>
      <c r="C298" s="19" t="s">
        <v>27</v>
      </c>
      <c r="D298" s="19" t="s">
        <v>25</v>
      </c>
      <c r="E298" s="24">
        <v>2</v>
      </c>
      <c r="F298" s="19">
        <v>9</v>
      </c>
      <c r="G298" s="25">
        <v>45526</v>
      </c>
      <c r="H298" s="18">
        <v>234</v>
      </c>
      <c r="I298" s="19"/>
      <c r="J298" s="19" t="s">
        <v>107</v>
      </c>
      <c r="K298" s="48">
        <v>40800</v>
      </c>
      <c r="L298" s="19"/>
      <c r="M298" s="19"/>
      <c r="N298" s="19"/>
      <c r="O298" s="19"/>
      <c r="P298" s="19"/>
      <c r="Q298" s="19"/>
      <c r="R298" s="19"/>
      <c r="S298" s="19">
        <v>992.68000000000006</v>
      </c>
      <c r="T298" s="19">
        <v>10286.839378238343</v>
      </c>
      <c r="U298" s="19">
        <v>1</v>
      </c>
      <c r="V298" s="19">
        <v>0.96499999999999997</v>
      </c>
      <c r="W298" s="27">
        <f t="shared" si="1"/>
        <v>0.96499999999999997</v>
      </c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</row>
    <row r="299" spans="1:35" x14ac:dyDescent="0.25">
      <c r="A299">
        <v>2024</v>
      </c>
      <c r="B299" s="19">
        <v>2</v>
      </c>
      <c r="C299" s="24" t="s">
        <v>33</v>
      </c>
      <c r="D299" s="19" t="s">
        <v>25</v>
      </c>
      <c r="E299" s="24">
        <v>2</v>
      </c>
      <c r="F299" s="19">
        <v>10</v>
      </c>
      <c r="G299" s="25">
        <v>45526</v>
      </c>
      <c r="H299" s="18">
        <v>234</v>
      </c>
      <c r="I299" s="19"/>
      <c r="J299" s="19" t="s">
        <v>107</v>
      </c>
      <c r="K299" s="48">
        <v>40800</v>
      </c>
      <c r="L299" s="19"/>
      <c r="M299" s="19"/>
      <c r="N299" s="19"/>
      <c r="O299" s="19"/>
      <c r="P299" s="19"/>
      <c r="Q299" s="19"/>
      <c r="R299" s="19"/>
      <c r="S299" s="19">
        <v>912.68000000000006</v>
      </c>
      <c r="T299" s="19">
        <v>9457.8238341968918</v>
      </c>
      <c r="U299" s="19">
        <v>1</v>
      </c>
      <c r="V299" s="19">
        <v>0.96499999999999997</v>
      </c>
      <c r="W299" s="27">
        <f t="shared" si="1"/>
        <v>0.96499999999999997</v>
      </c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</row>
    <row r="300" spans="1:35" x14ac:dyDescent="0.25">
      <c r="A300">
        <v>2024</v>
      </c>
      <c r="B300" s="48">
        <v>2</v>
      </c>
      <c r="C300" s="24" t="s">
        <v>32</v>
      </c>
      <c r="D300" s="19" t="s">
        <v>25</v>
      </c>
      <c r="E300" s="24">
        <v>2</v>
      </c>
      <c r="F300" s="19">
        <v>11</v>
      </c>
      <c r="G300" s="25">
        <v>45526</v>
      </c>
      <c r="H300" s="18">
        <v>234</v>
      </c>
      <c r="I300" s="19"/>
      <c r="J300" s="19" t="s">
        <v>107</v>
      </c>
      <c r="K300" s="48">
        <v>40800</v>
      </c>
      <c r="L300" s="19"/>
      <c r="M300" s="19"/>
      <c r="N300" s="19"/>
      <c r="O300" s="19"/>
      <c r="P300" s="19"/>
      <c r="Q300" s="19"/>
      <c r="R300" s="19"/>
      <c r="S300" s="19">
        <v>976.68000000000006</v>
      </c>
      <c r="T300" s="19">
        <v>10121.036269430053</v>
      </c>
      <c r="U300" s="19">
        <v>1</v>
      </c>
      <c r="V300" s="19">
        <v>0.96499999999999997</v>
      </c>
      <c r="W300" s="27">
        <f t="shared" si="1"/>
        <v>0.96499999999999997</v>
      </c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</row>
    <row r="301" spans="1:35" x14ac:dyDescent="0.25">
      <c r="A301">
        <v>2024</v>
      </c>
      <c r="B301" s="19">
        <v>2</v>
      </c>
      <c r="C301" s="24" t="s">
        <v>28</v>
      </c>
      <c r="D301" s="19" t="s">
        <v>25</v>
      </c>
      <c r="E301" s="24">
        <v>2</v>
      </c>
      <c r="F301" s="19">
        <v>12</v>
      </c>
      <c r="G301" s="25">
        <v>45526</v>
      </c>
      <c r="H301" s="18">
        <v>234</v>
      </c>
      <c r="I301" s="19"/>
      <c r="J301" s="19" t="s">
        <v>107</v>
      </c>
      <c r="K301" s="48">
        <v>40800</v>
      </c>
      <c r="L301" s="19"/>
      <c r="M301" s="19"/>
      <c r="N301" s="19"/>
      <c r="O301" s="19"/>
      <c r="P301" s="19"/>
      <c r="Q301" s="19"/>
      <c r="R301" s="19"/>
      <c r="S301" s="19">
        <v>819.68000000000006</v>
      </c>
      <c r="T301" s="19">
        <v>8494.093264248706</v>
      </c>
      <c r="U301" s="19">
        <v>1</v>
      </c>
      <c r="V301" s="19">
        <v>0.96499999999999997</v>
      </c>
      <c r="W301" s="27">
        <f t="shared" si="1"/>
        <v>0.96499999999999997</v>
      </c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</row>
    <row r="302" spans="1:35" x14ac:dyDescent="0.25">
      <c r="A302">
        <v>2024</v>
      </c>
      <c r="B302" s="48">
        <v>2</v>
      </c>
      <c r="C302" s="24" t="s">
        <v>31</v>
      </c>
      <c r="D302" s="19" t="s">
        <v>25</v>
      </c>
      <c r="E302" s="24">
        <v>2</v>
      </c>
      <c r="F302" s="19">
        <v>13</v>
      </c>
      <c r="G302" s="25">
        <v>45526</v>
      </c>
      <c r="H302" s="18">
        <v>234</v>
      </c>
      <c r="I302" s="19"/>
      <c r="J302" s="19" t="s">
        <v>107</v>
      </c>
      <c r="K302" s="48">
        <v>40800</v>
      </c>
      <c r="L302" s="19"/>
      <c r="M302" s="19"/>
      <c r="N302" s="19"/>
      <c r="O302" s="19"/>
      <c r="P302" s="19"/>
      <c r="Q302" s="19"/>
      <c r="R302" s="19"/>
      <c r="S302" s="19">
        <v>814.68000000000006</v>
      </c>
      <c r="T302" s="19">
        <v>8442.2797927461161</v>
      </c>
      <c r="U302" s="19">
        <v>1</v>
      </c>
      <c r="V302" s="19">
        <v>0.96499999999999997</v>
      </c>
      <c r="W302" s="27">
        <f t="shared" si="1"/>
        <v>0.96499999999999997</v>
      </c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</row>
    <row r="303" spans="1:35" x14ac:dyDescent="0.25">
      <c r="A303">
        <v>2024</v>
      </c>
      <c r="B303" s="19">
        <v>2</v>
      </c>
      <c r="C303" s="24" t="s">
        <v>24</v>
      </c>
      <c r="D303" s="19" t="s">
        <v>25</v>
      </c>
      <c r="E303" s="24">
        <v>2</v>
      </c>
      <c r="F303" s="19">
        <v>14</v>
      </c>
      <c r="G303" s="25">
        <v>45526</v>
      </c>
      <c r="H303" s="18">
        <v>234</v>
      </c>
      <c r="I303" s="19"/>
      <c r="J303" s="19" t="s">
        <v>107</v>
      </c>
      <c r="K303" s="48">
        <v>40800</v>
      </c>
      <c r="L303" s="19"/>
      <c r="M303" s="19"/>
      <c r="N303" s="19"/>
      <c r="O303" s="19"/>
      <c r="P303" s="19"/>
      <c r="Q303" s="19"/>
      <c r="R303" s="19"/>
      <c r="S303" s="19">
        <v>0</v>
      </c>
      <c r="T303" s="19"/>
      <c r="U303" s="19">
        <v>1</v>
      </c>
      <c r="V303" s="19">
        <v>0.96499999999999997</v>
      </c>
      <c r="W303" s="27">
        <f t="shared" si="1"/>
        <v>0.96499999999999997</v>
      </c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</row>
    <row r="304" spans="1:35" x14ac:dyDescent="0.25">
      <c r="A304">
        <v>2024</v>
      </c>
      <c r="B304" s="48">
        <v>2</v>
      </c>
      <c r="C304" s="24" t="s">
        <v>30</v>
      </c>
      <c r="D304" s="19" t="s">
        <v>25</v>
      </c>
      <c r="E304" s="24">
        <v>2</v>
      </c>
      <c r="F304" s="19">
        <v>15</v>
      </c>
      <c r="G304" s="25">
        <v>45526</v>
      </c>
      <c r="H304" s="18">
        <v>234</v>
      </c>
      <c r="I304" s="19"/>
      <c r="J304" s="19" t="s">
        <v>107</v>
      </c>
      <c r="K304" s="48">
        <v>40800</v>
      </c>
      <c r="L304" s="19"/>
      <c r="M304" s="19"/>
      <c r="N304" s="19"/>
      <c r="O304" s="19"/>
      <c r="P304" s="19"/>
      <c r="Q304" s="19"/>
      <c r="R304" s="19"/>
      <c r="S304" s="19">
        <v>0</v>
      </c>
      <c r="T304" s="19"/>
      <c r="U304" s="19">
        <v>1</v>
      </c>
      <c r="V304" s="19">
        <v>0.96499999999999997</v>
      </c>
      <c r="W304" s="27">
        <f t="shared" si="1"/>
        <v>0.96499999999999997</v>
      </c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</row>
    <row r="305" spans="1:35" x14ac:dyDescent="0.25">
      <c r="A305">
        <v>2024</v>
      </c>
      <c r="B305" s="19">
        <v>2</v>
      </c>
      <c r="C305" s="24" t="s">
        <v>29</v>
      </c>
      <c r="D305" s="19" t="s">
        <v>25</v>
      </c>
      <c r="E305" s="24">
        <v>2</v>
      </c>
      <c r="F305" s="19">
        <v>16</v>
      </c>
      <c r="G305" s="25">
        <v>45526</v>
      </c>
      <c r="H305" s="18">
        <v>234</v>
      </c>
      <c r="I305" s="19"/>
      <c r="J305" s="19" t="s">
        <v>107</v>
      </c>
      <c r="K305" s="48">
        <v>40800</v>
      </c>
      <c r="L305" s="19"/>
      <c r="M305" s="19"/>
      <c r="N305" s="19"/>
      <c r="O305" s="19"/>
      <c r="P305" s="19"/>
      <c r="Q305" s="19"/>
      <c r="R305" s="19"/>
      <c r="S305" s="19">
        <v>0</v>
      </c>
      <c r="T305" s="19"/>
      <c r="U305" s="19">
        <v>1</v>
      </c>
      <c r="V305" s="19">
        <v>0.96499999999999997</v>
      </c>
      <c r="W305" s="27">
        <f t="shared" si="1"/>
        <v>0.96499999999999997</v>
      </c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</row>
    <row r="306" spans="1:35" x14ac:dyDescent="0.25">
      <c r="A306">
        <v>2024</v>
      </c>
      <c r="B306" s="48">
        <v>2</v>
      </c>
      <c r="C306" s="24" t="s">
        <v>33</v>
      </c>
      <c r="D306" s="19" t="s">
        <v>25</v>
      </c>
      <c r="E306" s="24">
        <v>3</v>
      </c>
      <c r="F306" s="19">
        <v>17</v>
      </c>
      <c r="G306" s="25">
        <v>45526</v>
      </c>
      <c r="H306" s="18">
        <v>234</v>
      </c>
      <c r="I306" s="19"/>
      <c r="J306" s="19" t="s">
        <v>107</v>
      </c>
      <c r="K306" s="48">
        <v>40800</v>
      </c>
      <c r="L306" s="19"/>
      <c r="M306" s="19"/>
      <c r="N306" s="19"/>
      <c r="O306" s="19"/>
      <c r="P306" s="19"/>
      <c r="Q306" s="19"/>
      <c r="R306" s="19"/>
      <c r="S306" s="19">
        <v>769.68000000000006</v>
      </c>
      <c r="T306" s="19">
        <v>7975.958549222798</v>
      </c>
      <c r="U306" s="19">
        <v>1</v>
      </c>
      <c r="V306" s="19">
        <v>0.96499999999999997</v>
      </c>
      <c r="W306" s="27">
        <f t="shared" si="1"/>
        <v>0.96499999999999997</v>
      </c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</row>
    <row r="307" spans="1:35" x14ac:dyDescent="0.25">
      <c r="A307">
        <v>2024</v>
      </c>
      <c r="B307" s="19">
        <v>2</v>
      </c>
      <c r="C307" s="24" t="s">
        <v>27</v>
      </c>
      <c r="D307" s="19" t="s">
        <v>25</v>
      </c>
      <c r="E307" s="24">
        <v>3</v>
      </c>
      <c r="F307" s="19">
        <v>18</v>
      </c>
      <c r="G307" s="25">
        <v>45526</v>
      </c>
      <c r="H307" s="18">
        <v>234</v>
      </c>
      <c r="I307" s="19"/>
      <c r="J307" s="19" t="s">
        <v>107</v>
      </c>
      <c r="K307" s="48">
        <v>40800</v>
      </c>
      <c r="L307" s="19"/>
      <c r="M307" s="19"/>
      <c r="N307" s="19"/>
      <c r="O307" s="19"/>
      <c r="P307" s="19"/>
      <c r="Q307" s="19"/>
      <c r="R307" s="19"/>
      <c r="S307" s="19">
        <v>721.68000000000006</v>
      </c>
      <c r="T307" s="19">
        <v>7478.5492227979285</v>
      </c>
      <c r="U307" s="19">
        <v>1</v>
      </c>
      <c r="V307" s="19">
        <v>0.96499999999999997</v>
      </c>
      <c r="W307" s="27">
        <f t="shared" si="1"/>
        <v>0.96499999999999997</v>
      </c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</row>
    <row r="308" spans="1:35" x14ac:dyDescent="0.25">
      <c r="A308">
        <v>2024</v>
      </c>
      <c r="B308" s="48">
        <v>2</v>
      </c>
      <c r="C308" s="24" t="s">
        <v>29</v>
      </c>
      <c r="D308" s="19" t="s">
        <v>25</v>
      </c>
      <c r="E308" s="24">
        <v>3</v>
      </c>
      <c r="F308" s="19">
        <v>19</v>
      </c>
      <c r="G308" s="25">
        <v>45526</v>
      </c>
      <c r="H308" s="18">
        <v>234</v>
      </c>
      <c r="I308" s="19"/>
      <c r="J308" s="19" t="s">
        <v>107</v>
      </c>
      <c r="K308" s="48">
        <v>40800</v>
      </c>
      <c r="L308" s="19"/>
      <c r="M308" s="19"/>
      <c r="N308" s="19"/>
      <c r="O308" s="19"/>
      <c r="P308" s="19"/>
      <c r="Q308" s="19"/>
      <c r="R308" s="19"/>
      <c r="S308" s="19">
        <v>934.68000000000006</v>
      </c>
      <c r="T308" s="19">
        <v>9685.8031088082917</v>
      </c>
      <c r="U308" s="19">
        <v>1</v>
      </c>
      <c r="V308" s="19">
        <v>0.96499999999999997</v>
      </c>
      <c r="W308" s="27">
        <f t="shared" si="1"/>
        <v>0.96499999999999997</v>
      </c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</row>
    <row r="309" spans="1:35" x14ac:dyDescent="0.25">
      <c r="A309">
        <v>2024</v>
      </c>
      <c r="B309" s="19">
        <v>2</v>
      </c>
      <c r="C309" s="24" t="s">
        <v>31</v>
      </c>
      <c r="D309" s="19" t="s">
        <v>25</v>
      </c>
      <c r="E309" s="24">
        <v>3</v>
      </c>
      <c r="F309" s="19">
        <v>20</v>
      </c>
      <c r="G309" s="25">
        <v>45526</v>
      </c>
      <c r="H309" s="18">
        <v>234</v>
      </c>
      <c r="I309" s="19"/>
      <c r="J309" s="19" t="s">
        <v>107</v>
      </c>
      <c r="K309" s="48">
        <v>40800</v>
      </c>
      <c r="L309" s="19"/>
      <c r="M309" s="19"/>
      <c r="N309" s="19"/>
      <c r="O309" s="19"/>
      <c r="P309" s="19"/>
      <c r="Q309" s="19"/>
      <c r="R309" s="19"/>
      <c r="S309" s="19">
        <v>780.68000000000006</v>
      </c>
      <c r="T309" s="19">
        <v>8089.9481865284979</v>
      </c>
      <c r="U309" s="19">
        <v>1</v>
      </c>
      <c r="V309" s="19">
        <v>0.96499999999999997</v>
      </c>
      <c r="W309" s="27">
        <f t="shared" si="1"/>
        <v>0.96499999999999997</v>
      </c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</row>
    <row r="310" spans="1:35" x14ac:dyDescent="0.25">
      <c r="A310">
        <v>2024</v>
      </c>
      <c r="B310" s="48">
        <v>2</v>
      </c>
      <c r="C310" s="24" t="s">
        <v>30</v>
      </c>
      <c r="D310" s="19" t="s">
        <v>25</v>
      </c>
      <c r="E310" s="24">
        <v>3</v>
      </c>
      <c r="F310" s="19">
        <v>21</v>
      </c>
      <c r="G310" s="25">
        <v>45526</v>
      </c>
      <c r="H310" s="18">
        <v>234</v>
      </c>
      <c r="I310" s="19"/>
      <c r="J310" s="19" t="s">
        <v>107</v>
      </c>
      <c r="K310" s="48">
        <v>40800</v>
      </c>
      <c r="L310" s="19"/>
      <c r="M310" s="19"/>
      <c r="N310" s="19"/>
      <c r="O310" s="19"/>
      <c r="P310" s="19"/>
      <c r="Q310" s="19"/>
      <c r="R310" s="19"/>
      <c r="S310" s="19">
        <v>1031.68</v>
      </c>
      <c r="T310" s="19">
        <v>10690.984455958551</v>
      </c>
      <c r="U310" s="19">
        <v>1</v>
      </c>
      <c r="V310" s="19">
        <v>0.96499999999999997</v>
      </c>
      <c r="W310" s="27">
        <f t="shared" si="1"/>
        <v>0.96499999999999997</v>
      </c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</row>
    <row r="311" spans="1:35" x14ac:dyDescent="0.25">
      <c r="A311">
        <v>2024</v>
      </c>
      <c r="B311" s="19">
        <v>2</v>
      </c>
      <c r="C311" s="24" t="s">
        <v>32</v>
      </c>
      <c r="D311" s="19" t="s">
        <v>25</v>
      </c>
      <c r="E311" s="24">
        <v>3</v>
      </c>
      <c r="F311" s="19">
        <v>22</v>
      </c>
      <c r="G311" s="25">
        <v>45526</v>
      </c>
      <c r="H311" s="18">
        <v>234</v>
      </c>
      <c r="I311" s="19"/>
      <c r="J311" s="19" t="s">
        <v>107</v>
      </c>
      <c r="K311" s="48">
        <v>40800</v>
      </c>
      <c r="L311" s="19"/>
      <c r="M311" s="19"/>
      <c r="N311" s="19"/>
      <c r="O311" s="19"/>
      <c r="P311" s="19"/>
      <c r="Q311" s="19"/>
      <c r="R311" s="19"/>
      <c r="S311" s="19">
        <v>977.68000000000006</v>
      </c>
      <c r="T311" s="19">
        <v>10131.398963730571</v>
      </c>
      <c r="U311" s="19">
        <v>1</v>
      </c>
      <c r="V311" s="19">
        <v>0.96499999999999997</v>
      </c>
      <c r="W311" s="27">
        <f t="shared" si="1"/>
        <v>0.96499999999999997</v>
      </c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</row>
    <row r="312" spans="1:35" x14ac:dyDescent="0.25">
      <c r="A312">
        <v>2024</v>
      </c>
      <c r="B312" s="48">
        <v>2</v>
      </c>
      <c r="C312" s="24" t="s">
        <v>24</v>
      </c>
      <c r="D312" s="19" t="s">
        <v>25</v>
      </c>
      <c r="E312" s="24">
        <v>3</v>
      </c>
      <c r="F312" s="19">
        <v>23</v>
      </c>
      <c r="G312" s="25">
        <v>45526</v>
      </c>
      <c r="H312" s="18">
        <v>234</v>
      </c>
      <c r="I312" s="19"/>
      <c r="J312" s="19" t="s">
        <v>107</v>
      </c>
      <c r="K312" s="48">
        <v>40800</v>
      </c>
      <c r="L312" s="19"/>
      <c r="M312" s="19"/>
      <c r="N312" s="19"/>
      <c r="O312" s="19"/>
      <c r="P312" s="19"/>
      <c r="Q312" s="19"/>
      <c r="R312" s="19"/>
      <c r="S312" s="19">
        <v>0</v>
      </c>
      <c r="T312" s="19"/>
      <c r="U312" s="19">
        <v>1</v>
      </c>
      <c r="V312" s="19">
        <v>0.96499999999999997</v>
      </c>
      <c r="W312" s="27">
        <f t="shared" si="1"/>
        <v>0.96499999999999997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</row>
    <row r="313" spans="1:35" x14ac:dyDescent="0.25">
      <c r="A313">
        <v>2024</v>
      </c>
      <c r="B313" s="19">
        <v>2</v>
      </c>
      <c r="C313" s="24" t="s">
        <v>28</v>
      </c>
      <c r="D313" s="19" t="s">
        <v>25</v>
      </c>
      <c r="E313" s="24">
        <v>3</v>
      </c>
      <c r="F313" s="19">
        <v>24</v>
      </c>
      <c r="G313" s="26">
        <v>45526</v>
      </c>
      <c r="H313" s="18">
        <v>234</v>
      </c>
      <c r="I313" s="19"/>
      <c r="J313" s="19" t="s">
        <v>107</v>
      </c>
      <c r="K313" s="48">
        <v>40800</v>
      </c>
      <c r="L313" s="19"/>
      <c r="M313" s="19"/>
      <c r="N313" s="19"/>
      <c r="O313" s="19"/>
      <c r="P313" s="19"/>
      <c r="Q313" s="19"/>
      <c r="R313" s="19"/>
      <c r="S313" s="19">
        <v>0</v>
      </c>
      <c r="T313" s="19"/>
      <c r="U313" s="20">
        <v>1</v>
      </c>
      <c r="V313" s="20">
        <v>0.96499999999999997</v>
      </c>
      <c r="W313" s="28">
        <f t="shared" si="1"/>
        <v>0.96499999999999997</v>
      </c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</row>
    <row r="314" spans="1:35" x14ac:dyDescent="0.25">
      <c r="A314">
        <v>2024</v>
      </c>
      <c r="B314">
        <v>1</v>
      </c>
      <c r="C314" t="s">
        <v>24</v>
      </c>
      <c r="D314" t="s">
        <v>25</v>
      </c>
      <c r="E314">
        <v>1</v>
      </c>
      <c r="F314">
        <v>1</v>
      </c>
      <c r="G314" s="12">
        <v>45489</v>
      </c>
      <c r="H314">
        <v>197</v>
      </c>
      <c r="J314" t="s">
        <v>26</v>
      </c>
      <c r="K314" s="15">
        <v>37100</v>
      </c>
      <c r="L314">
        <v>14.1</v>
      </c>
      <c r="M314">
        <v>0</v>
      </c>
      <c r="N314">
        <v>14.159999999999997</v>
      </c>
      <c r="O314">
        <v>0</v>
      </c>
      <c r="P314">
        <v>0</v>
      </c>
      <c r="R314">
        <v>28.259999999999998</v>
      </c>
      <c r="S314">
        <v>35.590000000000003</v>
      </c>
      <c r="T314">
        <v>698.57768052516406</v>
      </c>
      <c r="U314">
        <v>1</v>
      </c>
      <c r="V314">
        <v>0.91400000000000003</v>
      </c>
      <c r="W314">
        <v>0.91400000000000003</v>
      </c>
      <c r="X314">
        <v>348.54725036818166</v>
      </c>
      <c r="Y314">
        <v>0</v>
      </c>
      <c r="Z314" s="16">
        <v>350.03043015698233</v>
      </c>
      <c r="AA314">
        <v>0</v>
      </c>
      <c r="AH314">
        <v>32.512</v>
      </c>
      <c r="AI314">
        <v>10.4</v>
      </c>
    </row>
    <row r="315" spans="1:35" x14ac:dyDescent="0.25">
      <c r="A315">
        <v>2024</v>
      </c>
      <c r="B315">
        <v>1</v>
      </c>
      <c r="C315" t="s">
        <v>27</v>
      </c>
      <c r="D315" t="s">
        <v>25</v>
      </c>
      <c r="E315">
        <v>1</v>
      </c>
      <c r="F315">
        <v>2</v>
      </c>
      <c r="G315" s="12">
        <v>45489</v>
      </c>
      <c r="H315">
        <v>197</v>
      </c>
      <c r="J315" t="s">
        <v>26</v>
      </c>
      <c r="K315" s="15">
        <v>37100</v>
      </c>
      <c r="L315">
        <v>8.1000000000000014</v>
      </c>
      <c r="M315">
        <v>0</v>
      </c>
      <c r="N315">
        <v>8.759999999999998</v>
      </c>
      <c r="O315">
        <v>0</v>
      </c>
      <c r="P315">
        <v>0</v>
      </c>
      <c r="R315">
        <v>16.86</v>
      </c>
      <c r="S315">
        <v>60.190000000000012</v>
      </c>
      <c r="T315">
        <v>842.99781181619267</v>
      </c>
      <c r="U315">
        <v>1</v>
      </c>
      <c r="V315">
        <v>0.91400000000000003</v>
      </c>
      <c r="W315">
        <v>0.91400000000000003</v>
      </c>
      <c r="X315">
        <v>404.99894873731682</v>
      </c>
      <c r="Y315">
        <v>0</v>
      </c>
      <c r="Z315" s="16">
        <v>437.99886307887579</v>
      </c>
      <c r="AA315">
        <v>0</v>
      </c>
      <c r="AH315">
        <v>32.003999999999998</v>
      </c>
      <c r="AI315">
        <v>9</v>
      </c>
    </row>
    <row r="316" spans="1:35" x14ac:dyDescent="0.25">
      <c r="A316">
        <v>2024</v>
      </c>
      <c r="B316">
        <v>1</v>
      </c>
      <c r="C316" t="s">
        <v>28</v>
      </c>
      <c r="D316" t="s">
        <v>25</v>
      </c>
      <c r="E316">
        <v>1</v>
      </c>
      <c r="F316">
        <v>3</v>
      </c>
      <c r="G316" s="12">
        <v>45489</v>
      </c>
      <c r="H316">
        <v>197</v>
      </c>
      <c r="J316" t="s">
        <v>26</v>
      </c>
      <c r="K316" s="15">
        <v>37100</v>
      </c>
      <c r="L316">
        <v>13.3</v>
      </c>
      <c r="M316">
        <v>0</v>
      </c>
      <c r="N316">
        <v>15.76</v>
      </c>
      <c r="O316">
        <v>0</v>
      </c>
      <c r="P316">
        <v>0</v>
      </c>
      <c r="R316">
        <v>29.060000000000002</v>
      </c>
      <c r="S316">
        <v>22.89</v>
      </c>
      <c r="T316">
        <v>568.38074398249455</v>
      </c>
      <c r="U316">
        <v>1</v>
      </c>
      <c r="V316">
        <v>0.91400000000000003</v>
      </c>
      <c r="W316">
        <v>0.91400000000000003</v>
      </c>
      <c r="X316">
        <v>260.13296266232544</v>
      </c>
      <c r="Y316">
        <v>0</v>
      </c>
      <c r="Z316" s="16">
        <v>308.24778132016905</v>
      </c>
      <c r="AA316">
        <v>0</v>
      </c>
      <c r="AH316">
        <v>34.798000000000002</v>
      </c>
      <c r="AI316">
        <v>10.6</v>
      </c>
    </row>
    <row r="317" spans="1:35" x14ac:dyDescent="0.25">
      <c r="A317">
        <v>2024</v>
      </c>
      <c r="B317">
        <v>1</v>
      </c>
      <c r="C317" t="s">
        <v>29</v>
      </c>
      <c r="D317" t="s">
        <v>25</v>
      </c>
      <c r="E317">
        <v>1</v>
      </c>
      <c r="F317">
        <v>4</v>
      </c>
      <c r="G317" s="12">
        <v>45489</v>
      </c>
      <c r="H317">
        <v>197</v>
      </c>
      <c r="J317" t="s">
        <v>26</v>
      </c>
      <c r="K317" s="15">
        <v>37100</v>
      </c>
      <c r="L317">
        <v>6.6000000000000014</v>
      </c>
      <c r="M317">
        <v>0</v>
      </c>
      <c r="N317">
        <v>8.36</v>
      </c>
      <c r="O317">
        <v>0</v>
      </c>
      <c r="P317">
        <v>0</v>
      </c>
      <c r="R317">
        <v>14.96</v>
      </c>
      <c r="S317">
        <v>48.09</v>
      </c>
      <c r="T317">
        <v>689.82494529540475</v>
      </c>
      <c r="U317">
        <v>1</v>
      </c>
      <c r="V317">
        <v>0.91400000000000003</v>
      </c>
      <c r="W317">
        <v>0.91400000000000003</v>
      </c>
      <c r="X317">
        <v>304.33453468914922</v>
      </c>
      <c r="Y317">
        <v>0</v>
      </c>
      <c r="Z317" s="16">
        <v>385.49041060625552</v>
      </c>
      <c r="AA317">
        <v>0</v>
      </c>
      <c r="AH317">
        <v>33.527999999999999</v>
      </c>
      <c r="AI317">
        <v>9.4</v>
      </c>
    </row>
    <row r="318" spans="1:35" x14ac:dyDescent="0.25">
      <c r="A318">
        <v>2024</v>
      </c>
      <c r="B318">
        <v>1</v>
      </c>
      <c r="C318" t="s">
        <v>30</v>
      </c>
      <c r="D318" t="s">
        <v>25</v>
      </c>
      <c r="E318">
        <v>1</v>
      </c>
      <c r="F318">
        <v>5</v>
      </c>
      <c r="G318" s="12">
        <v>45489</v>
      </c>
      <c r="H318">
        <v>197</v>
      </c>
      <c r="J318" t="s">
        <v>26</v>
      </c>
      <c r="K318" s="15">
        <v>37100</v>
      </c>
      <c r="L318">
        <v>12.599999999999998</v>
      </c>
      <c r="M318">
        <v>0</v>
      </c>
      <c r="N318">
        <v>12.759999999999998</v>
      </c>
      <c r="O318">
        <v>0</v>
      </c>
      <c r="P318">
        <v>0</v>
      </c>
      <c r="R318">
        <v>25.359999999999996</v>
      </c>
      <c r="S318">
        <v>40.03</v>
      </c>
      <c r="T318">
        <v>715.42669584245084</v>
      </c>
      <c r="U318">
        <v>1</v>
      </c>
      <c r="V318">
        <v>0.91400000000000003</v>
      </c>
      <c r="W318">
        <v>0.91400000000000003</v>
      </c>
      <c r="X318">
        <v>355.45648137282649</v>
      </c>
      <c r="Y318">
        <v>0</v>
      </c>
      <c r="Z318" s="16">
        <v>359.9702144696243</v>
      </c>
      <c r="AA318">
        <v>0</v>
      </c>
      <c r="AH318">
        <v>33.020000000000003</v>
      </c>
      <c r="AI318">
        <v>11.8</v>
      </c>
    </row>
    <row r="319" spans="1:35" x14ac:dyDescent="0.25">
      <c r="A319">
        <v>2024</v>
      </c>
      <c r="B319">
        <v>1</v>
      </c>
      <c r="C319" t="s">
        <v>31</v>
      </c>
      <c r="D319" t="s">
        <v>25</v>
      </c>
      <c r="E319">
        <v>1</v>
      </c>
      <c r="F319">
        <v>6</v>
      </c>
      <c r="G319" s="12">
        <v>45489</v>
      </c>
      <c r="H319">
        <v>197</v>
      </c>
      <c r="J319" t="s">
        <v>26</v>
      </c>
      <c r="K319" s="15">
        <v>37100</v>
      </c>
      <c r="L319">
        <v>11.400000000000002</v>
      </c>
      <c r="M319">
        <v>0</v>
      </c>
      <c r="N319">
        <v>10.86</v>
      </c>
      <c r="O319">
        <v>0</v>
      </c>
      <c r="P319">
        <v>0</v>
      </c>
      <c r="R319">
        <v>22.26</v>
      </c>
      <c r="S319">
        <v>47.09</v>
      </c>
      <c r="T319">
        <v>758.75273522975942</v>
      </c>
      <c r="U319">
        <v>1</v>
      </c>
      <c r="V319">
        <v>0.91400000000000003</v>
      </c>
      <c r="W319">
        <v>0.91400000000000003</v>
      </c>
      <c r="X319">
        <v>388.57956790742401</v>
      </c>
      <c r="Y319">
        <v>0</v>
      </c>
      <c r="Z319" s="16">
        <v>370.17316732233542</v>
      </c>
      <c r="AA319">
        <v>0</v>
      </c>
      <c r="AH319">
        <v>29.463999999999999</v>
      </c>
      <c r="AI319">
        <v>11</v>
      </c>
    </row>
    <row r="320" spans="1:35" x14ac:dyDescent="0.25">
      <c r="A320">
        <v>2024</v>
      </c>
      <c r="B320">
        <v>1</v>
      </c>
      <c r="C320" t="s">
        <v>32</v>
      </c>
      <c r="D320" t="s">
        <v>25</v>
      </c>
      <c r="E320">
        <v>1</v>
      </c>
      <c r="F320">
        <v>7</v>
      </c>
      <c r="G320" s="12">
        <v>45489</v>
      </c>
      <c r="H320">
        <v>197</v>
      </c>
      <c r="J320" t="s">
        <v>26</v>
      </c>
      <c r="K320" s="15">
        <v>37100</v>
      </c>
      <c r="L320">
        <v>13.8</v>
      </c>
      <c r="M320">
        <v>0</v>
      </c>
      <c r="N320">
        <v>13.86</v>
      </c>
      <c r="O320">
        <v>0</v>
      </c>
      <c r="P320">
        <v>0</v>
      </c>
      <c r="R320">
        <v>27.66</v>
      </c>
      <c r="S320">
        <v>32.090000000000003</v>
      </c>
      <c r="T320">
        <v>653.71991247264771</v>
      </c>
      <c r="U320">
        <v>1</v>
      </c>
      <c r="V320">
        <v>0.91400000000000003</v>
      </c>
      <c r="W320">
        <v>0.91400000000000003</v>
      </c>
      <c r="X320">
        <v>326.15093247008457</v>
      </c>
      <c r="Y320">
        <v>0</v>
      </c>
      <c r="Z320" s="16">
        <v>327.56898000256314</v>
      </c>
      <c r="AA320">
        <v>0</v>
      </c>
      <c r="AH320">
        <v>27.177999999999997</v>
      </c>
      <c r="AI320">
        <v>10.6</v>
      </c>
    </row>
    <row r="321" spans="1:35" x14ac:dyDescent="0.25">
      <c r="A321">
        <v>2024</v>
      </c>
      <c r="B321">
        <v>1</v>
      </c>
      <c r="C321" t="s">
        <v>33</v>
      </c>
      <c r="D321" t="s">
        <v>25</v>
      </c>
      <c r="E321">
        <v>1</v>
      </c>
      <c r="F321">
        <v>8</v>
      </c>
      <c r="G321" s="12">
        <v>45489</v>
      </c>
      <c r="H321">
        <v>197</v>
      </c>
      <c r="J321" t="s">
        <v>26</v>
      </c>
      <c r="K321" s="15">
        <v>37100</v>
      </c>
      <c r="L321">
        <v>12.100000000000001</v>
      </c>
      <c r="M321">
        <v>0</v>
      </c>
      <c r="N321">
        <v>13.86</v>
      </c>
      <c r="O321">
        <v>0</v>
      </c>
      <c r="P321">
        <v>0</v>
      </c>
      <c r="R321">
        <v>25.96</v>
      </c>
      <c r="S321">
        <v>43.09</v>
      </c>
      <c r="T321">
        <v>755.47045951859957</v>
      </c>
      <c r="U321">
        <v>1</v>
      </c>
      <c r="V321">
        <v>0.91400000000000003</v>
      </c>
      <c r="W321">
        <v>0.91400000000000003</v>
      </c>
      <c r="X321">
        <v>352.12606164002523</v>
      </c>
      <c r="Y321">
        <v>0</v>
      </c>
      <c r="Z321" s="16">
        <v>403.34439787857428</v>
      </c>
      <c r="AA321">
        <v>0</v>
      </c>
      <c r="AH321">
        <v>44.195999999999998</v>
      </c>
      <c r="AI321">
        <v>11.2</v>
      </c>
    </row>
    <row r="322" spans="1:35" x14ac:dyDescent="0.25">
      <c r="A322">
        <v>2024</v>
      </c>
      <c r="B322">
        <v>1</v>
      </c>
      <c r="C322" t="s">
        <v>34</v>
      </c>
      <c r="D322" t="s">
        <v>25</v>
      </c>
      <c r="E322">
        <v>1</v>
      </c>
      <c r="F322">
        <v>9</v>
      </c>
      <c r="G322" s="12">
        <v>45489</v>
      </c>
      <c r="H322">
        <v>197</v>
      </c>
      <c r="J322" t="s">
        <v>26</v>
      </c>
      <c r="K322" s="15">
        <v>37100</v>
      </c>
      <c r="L322">
        <v>8.4000000000000021</v>
      </c>
      <c r="M322">
        <v>0</v>
      </c>
      <c r="N322">
        <v>7.9599999999999929</v>
      </c>
      <c r="O322">
        <v>0</v>
      </c>
      <c r="P322">
        <v>0</v>
      </c>
      <c r="R322">
        <v>16.359999999999996</v>
      </c>
      <c r="S322">
        <v>21.590000000000003</v>
      </c>
      <c r="T322">
        <v>415.20787746170674</v>
      </c>
      <c r="U322">
        <v>1</v>
      </c>
      <c r="V322">
        <v>0.91400000000000003</v>
      </c>
      <c r="W322">
        <v>0.91400000000000003</v>
      </c>
      <c r="X322">
        <v>213.18741874561971</v>
      </c>
      <c r="Y322">
        <v>0</v>
      </c>
      <c r="Z322" s="16">
        <v>202.02045871608701</v>
      </c>
      <c r="AA322">
        <v>0</v>
      </c>
      <c r="AH322">
        <v>25.907999999999998</v>
      </c>
      <c r="AI322">
        <v>11</v>
      </c>
    </row>
    <row r="323" spans="1:35" x14ac:dyDescent="0.25">
      <c r="A323">
        <v>2024</v>
      </c>
      <c r="B323">
        <v>1</v>
      </c>
      <c r="C323" t="s">
        <v>35</v>
      </c>
      <c r="D323" t="s">
        <v>25</v>
      </c>
      <c r="E323">
        <v>1</v>
      </c>
      <c r="F323">
        <v>10</v>
      </c>
      <c r="G323" s="12">
        <v>45489</v>
      </c>
      <c r="H323">
        <v>197</v>
      </c>
      <c r="J323" t="s">
        <v>26</v>
      </c>
      <c r="K323" s="15">
        <v>37100</v>
      </c>
      <c r="L323">
        <v>10.400000000000002</v>
      </c>
      <c r="M323">
        <v>0</v>
      </c>
      <c r="N323">
        <v>11.059999999999995</v>
      </c>
      <c r="O323">
        <v>0</v>
      </c>
      <c r="P323">
        <v>0</v>
      </c>
      <c r="R323">
        <v>21.46</v>
      </c>
      <c r="S323">
        <v>42.19</v>
      </c>
      <c r="T323">
        <v>696.38949671772423</v>
      </c>
      <c r="U323">
        <v>1</v>
      </c>
      <c r="V323">
        <v>0.91400000000000003</v>
      </c>
      <c r="W323">
        <v>0.91400000000000003</v>
      </c>
      <c r="X323">
        <v>337.4860561912551</v>
      </c>
      <c r="Y323">
        <v>0</v>
      </c>
      <c r="Z323" s="16">
        <v>358.90344052646907</v>
      </c>
      <c r="AA323">
        <v>0</v>
      </c>
      <c r="AH323">
        <v>40.64</v>
      </c>
      <c r="AI323">
        <v>9.4</v>
      </c>
    </row>
    <row r="324" spans="1:35" x14ac:dyDescent="0.25">
      <c r="A324">
        <v>2024</v>
      </c>
      <c r="B324">
        <v>1</v>
      </c>
      <c r="C324" t="s">
        <v>36</v>
      </c>
      <c r="D324" t="s">
        <v>25</v>
      </c>
      <c r="E324">
        <v>1</v>
      </c>
      <c r="F324">
        <v>11</v>
      </c>
      <c r="G324" s="12">
        <v>45489</v>
      </c>
      <c r="H324">
        <v>197</v>
      </c>
      <c r="J324" t="s">
        <v>26</v>
      </c>
      <c r="K324" s="15">
        <v>37100</v>
      </c>
      <c r="L324">
        <v>14.7</v>
      </c>
      <c r="M324">
        <v>0</v>
      </c>
      <c r="N324">
        <v>15.459999999999994</v>
      </c>
      <c r="O324">
        <v>0.40000000000000213</v>
      </c>
      <c r="P324">
        <v>0</v>
      </c>
      <c r="R324">
        <v>30.559999999999995</v>
      </c>
      <c r="S324">
        <v>46.39</v>
      </c>
      <c r="T324">
        <v>841.90371991247252</v>
      </c>
      <c r="U324">
        <v>1</v>
      </c>
      <c r="V324">
        <v>0.91400000000000003</v>
      </c>
      <c r="W324">
        <v>0.91400000000000003</v>
      </c>
      <c r="X324">
        <v>404.97332076941586</v>
      </c>
      <c r="Y324">
        <v>0</v>
      </c>
      <c r="Z324" s="16">
        <v>425.91071694524948</v>
      </c>
      <c r="AA324">
        <v>11.019682197807294</v>
      </c>
      <c r="AH324">
        <v>42.164000000000001</v>
      </c>
      <c r="AI324">
        <v>12</v>
      </c>
    </row>
    <row r="325" spans="1:35" x14ac:dyDescent="0.25">
      <c r="A325">
        <v>2024</v>
      </c>
      <c r="B325">
        <v>1</v>
      </c>
      <c r="C325" t="s">
        <v>37</v>
      </c>
      <c r="D325" t="s">
        <v>25</v>
      </c>
      <c r="E325">
        <v>1</v>
      </c>
      <c r="F325">
        <v>12</v>
      </c>
      <c r="G325" s="12">
        <v>45489</v>
      </c>
      <c r="H325">
        <v>197</v>
      </c>
      <c r="J325" t="s">
        <v>26</v>
      </c>
      <c r="K325" s="15">
        <v>37100</v>
      </c>
      <c r="L325">
        <v>20.8</v>
      </c>
      <c r="M325">
        <v>0</v>
      </c>
      <c r="N325">
        <v>16.86</v>
      </c>
      <c r="O325">
        <v>0</v>
      </c>
      <c r="P325">
        <v>0</v>
      </c>
      <c r="R325">
        <v>37.659999999999997</v>
      </c>
      <c r="S325">
        <v>40.090000000000003</v>
      </c>
      <c r="T325">
        <v>850.65645514223195</v>
      </c>
      <c r="U325">
        <v>1</v>
      </c>
      <c r="V325">
        <v>0.91400000000000003</v>
      </c>
      <c r="W325">
        <v>0.91400000000000003</v>
      </c>
      <c r="X325">
        <v>469.82618871371278</v>
      </c>
      <c r="Y325">
        <v>0</v>
      </c>
      <c r="Z325" s="16">
        <v>380.83026642851917</v>
      </c>
      <c r="AA325">
        <v>0</v>
      </c>
      <c r="AH325">
        <v>36.576000000000001</v>
      </c>
      <c r="AI325">
        <v>14.2</v>
      </c>
    </row>
    <row r="326" spans="1:35" x14ac:dyDescent="0.25">
      <c r="A326">
        <v>2024</v>
      </c>
      <c r="B326">
        <v>1</v>
      </c>
      <c r="C326" t="s">
        <v>35</v>
      </c>
      <c r="D326" t="s">
        <v>25</v>
      </c>
      <c r="E326">
        <v>2</v>
      </c>
      <c r="F326">
        <v>13</v>
      </c>
      <c r="G326" s="12">
        <v>45489</v>
      </c>
      <c r="H326">
        <v>197</v>
      </c>
      <c r="J326" t="s">
        <v>26</v>
      </c>
      <c r="K326" s="15">
        <v>37100</v>
      </c>
      <c r="L326">
        <v>12.400000000000002</v>
      </c>
      <c r="M326">
        <v>0</v>
      </c>
      <c r="N326">
        <v>12.059999999999995</v>
      </c>
      <c r="O326">
        <v>0</v>
      </c>
      <c r="P326">
        <v>0</v>
      </c>
      <c r="R326">
        <v>24.459999999999997</v>
      </c>
      <c r="S326">
        <v>51.790000000000006</v>
      </c>
      <c r="T326">
        <v>834.24507658643336</v>
      </c>
      <c r="U326">
        <v>1</v>
      </c>
      <c r="V326">
        <v>0.91400000000000003</v>
      </c>
      <c r="W326">
        <v>0.91400000000000003</v>
      </c>
      <c r="X326">
        <v>422.92064389500314</v>
      </c>
      <c r="Y326">
        <v>0</v>
      </c>
      <c r="Z326" s="16">
        <v>411.32443269143022</v>
      </c>
      <c r="AA326">
        <v>0</v>
      </c>
      <c r="AH326">
        <v>41.402000000000001</v>
      </c>
      <c r="AI326">
        <v>10.6</v>
      </c>
    </row>
    <row r="327" spans="1:35" x14ac:dyDescent="0.25">
      <c r="A327">
        <v>2024</v>
      </c>
      <c r="B327">
        <v>1</v>
      </c>
      <c r="C327" t="s">
        <v>33</v>
      </c>
      <c r="D327" t="s">
        <v>25</v>
      </c>
      <c r="E327">
        <v>2</v>
      </c>
      <c r="F327">
        <v>14</v>
      </c>
      <c r="G327" s="12">
        <v>45489</v>
      </c>
      <c r="H327">
        <v>197</v>
      </c>
      <c r="J327" t="s">
        <v>26</v>
      </c>
      <c r="K327" s="15">
        <v>37100</v>
      </c>
      <c r="L327">
        <v>14.900000000000002</v>
      </c>
      <c r="M327">
        <v>0</v>
      </c>
      <c r="N327">
        <v>20.259999999999998</v>
      </c>
      <c r="O327">
        <v>0</v>
      </c>
      <c r="P327">
        <v>0</v>
      </c>
      <c r="R327">
        <v>35.159999999999997</v>
      </c>
      <c r="S327">
        <v>79.589999999999989</v>
      </c>
      <c r="T327">
        <v>1255.4704595185995</v>
      </c>
      <c r="U327">
        <v>1</v>
      </c>
      <c r="V327">
        <v>0.91400000000000003</v>
      </c>
      <c r="W327">
        <v>0.91400000000000003</v>
      </c>
      <c r="X327">
        <v>532.03952920441225</v>
      </c>
      <c r="Y327">
        <v>0</v>
      </c>
      <c r="Z327" s="16">
        <v>723.43093031418721</v>
      </c>
      <c r="AA327">
        <v>0</v>
      </c>
      <c r="AH327">
        <v>53.594000000000001</v>
      </c>
      <c r="AI327">
        <v>10.6</v>
      </c>
    </row>
    <row r="328" spans="1:35" x14ac:dyDescent="0.25">
      <c r="A328">
        <v>2024</v>
      </c>
      <c r="B328">
        <v>1</v>
      </c>
      <c r="C328" t="s">
        <v>34</v>
      </c>
      <c r="D328" t="s">
        <v>25</v>
      </c>
      <c r="E328">
        <v>2</v>
      </c>
      <c r="F328">
        <v>15</v>
      </c>
      <c r="G328" s="12">
        <v>45489</v>
      </c>
      <c r="H328">
        <v>197</v>
      </c>
      <c r="J328" t="s">
        <v>26</v>
      </c>
      <c r="K328" s="15">
        <v>37100</v>
      </c>
      <c r="L328">
        <v>19.000000000000004</v>
      </c>
      <c r="M328">
        <v>0</v>
      </c>
      <c r="N328">
        <v>18.259999999999998</v>
      </c>
      <c r="O328">
        <v>0</v>
      </c>
      <c r="P328">
        <v>0</v>
      </c>
      <c r="R328">
        <v>37.26</v>
      </c>
      <c r="S328">
        <v>12.689999999999998</v>
      </c>
      <c r="T328">
        <v>546.49890590809628</v>
      </c>
      <c r="U328">
        <v>1</v>
      </c>
      <c r="V328">
        <v>0.91400000000000003</v>
      </c>
      <c r="W328">
        <v>0.91400000000000003</v>
      </c>
      <c r="X328">
        <v>278.67630736054292</v>
      </c>
      <c r="Y328">
        <v>0</v>
      </c>
      <c r="Z328" s="16">
        <v>267.82259854755335</v>
      </c>
      <c r="AA328">
        <v>0</v>
      </c>
      <c r="AH328">
        <v>29.972000000000001</v>
      </c>
      <c r="AI328">
        <v>11.4</v>
      </c>
    </row>
    <row r="329" spans="1:35" x14ac:dyDescent="0.25">
      <c r="A329">
        <v>2024</v>
      </c>
      <c r="B329">
        <v>1</v>
      </c>
      <c r="C329" t="s">
        <v>27</v>
      </c>
      <c r="D329" t="s">
        <v>25</v>
      </c>
      <c r="E329">
        <v>2</v>
      </c>
      <c r="F329">
        <v>16</v>
      </c>
      <c r="G329" s="12">
        <v>45489</v>
      </c>
      <c r="H329">
        <v>197</v>
      </c>
      <c r="J329" t="s">
        <v>26</v>
      </c>
      <c r="K329" s="15">
        <v>37100</v>
      </c>
      <c r="L329">
        <v>18.500000000000004</v>
      </c>
      <c r="M329">
        <v>0</v>
      </c>
      <c r="N329">
        <v>20.86</v>
      </c>
      <c r="O329">
        <v>0.60000000000000142</v>
      </c>
      <c r="P329">
        <v>0</v>
      </c>
      <c r="R329">
        <v>39.960000000000008</v>
      </c>
      <c r="S329">
        <v>55.59</v>
      </c>
      <c r="T329">
        <v>1045.4048140043765</v>
      </c>
      <c r="U329">
        <v>1</v>
      </c>
      <c r="V329">
        <v>0.91400000000000003</v>
      </c>
      <c r="W329">
        <v>0.91400000000000003</v>
      </c>
      <c r="X329">
        <v>483.98371018721127</v>
      </c>
      <c r="Y329">
        <v>0</v>
      </c>
      <c r="Z329" s="16">
        <v>545.72433483812028</v>
      </c>
      <c r="AA329">
        <v>15.696768979044727</v>
      </c>
      <c r="AH329">
        <v>38.607999999999997</v>
      </c>
      <c r="AI329">
        <v>11.6</v>
      </c>
    </row>
    <row r="330" spans="1:35" x14ac:dyDescent="0.25">
      <c r="A330">
        <v>2024</v>
      </c>
      <c r="B330">
        <v>1</v>
      </c>
      <c r="C330" t="s">
        <v>32</v>
      </c>
      <c r="D330" t="s">
        <v>25</v>
      </c>
      <c r="E330">
        <v>2</v>
      </c>
      <c r="F330">
        <v>17</v>
      </c>
      <c r="G330" s="12">
        <v>45489</v>
      </c>
      <c r="H330">
        <v>197</v>
      </c>
      <c r="J330" t="s">
        <v>26</v>
      </c>
      <c r="K330" s="15">
        <v>37100</v>
      </c>
      <c r="L330">
        <v>13.500000000000004</v>
      </c>
      <c r="M330">
        <v>0</v>
      </c>
      <c r="N330">
        <v>13.659999999999997</v>
      </c>
      <c r="O330">
        <v>0</v>
      </c>
      <c r="P330">
        <v>0</v>
      </c>
      <c r="R330">
        <v>27.16</v>
      </c>
      <c r="S330">
        <v>94.99</v>
      </c>
      <c r="T330">
        <v>1336.4332603938731</v>
      </c>
      <c r="U330">
        <v>1</v>
      </c>
      <c r="V330">
        <v>0.91400000000000003</v>
      </c>
      <c r="W330">
        <v>0.91400000000000003</v>
      </c>
      <c r="X330">
        <v>664.28015520314034</v>
      </c>
      <c r="Y330">
        <v>0</v>
      </c>
      <c r="Z330" s="16">
        <v>672.15310519073273</v>
      </c>
      <c r="AA330">
        <v>0</v>
      </c>
      <c r="AH330">
        <v>30.988</v>
      </c>
      <c r="AI330">
        <v>9</v>
      </c>
    </row>
    <row r="331" spans="1:35" x14ac:dyDescent="0.25">
      <c r="A331">
        <v>2024</v>
      </c>
      <c r="B331">
        <v>1</v>
      </c>
      <c r="C331" t="s">
        <v>29</v>
      </c>
      <c r="D331" t="s">
        <v>25</v>
      </c>
      <c r="E331">
        <v>2</v>
      </c>
      <c r="F331">
        <v>18</v>
      </c>
      <c r="G331" s="12">
        <v>45489</v>
      </c>
      <c r="H331">
        <v>197</v>
      </c>
      <c r="J331" t="s">
        <v>26</v>
      </c>
      <c r="K331" s="15">
        <v>37100</v>
      </c>
      <c r="L331">
        <v>8.3000000000000007</v>
      </c>
      <c r="M331">
        <v>0</v>
      </c>
      <c r="N331">
        <v>8.86</v>
      </c>
      <c r="O331">
        <v>0.19999999999999929</v>
      </c>
      <c r="P331">
        <v>0</v>
      </c>
      <c r="R331">
        <v>17.36</v>
      </c>
      <c r="S331">
        <v>50.89</v>
      </c>
      <c r="T331">
        <v>746.71772428884026</v>
      </c>
      <c r="U331">
        <v>1</v>
      </c>
      <c r="V331">
        <v>0.91400000000000003</v>
      </c>
      <c r="W331">
        <v>0.91400000000000003</v>
      </c>
      <c r="X331">
        <v>357.01365850215291</v>
      </c>
      <c r="Y331">
        <v>0</v>
      </c>
      <c r="Z331" s="16">
        <v>381.10132702759927</v>
      </c>
      <c r="AA331">
        <v>8.6027387590879911</v>
      </c>
      <c r="AH331">
        <v>35.306000000000004</v>
      </c>
      <c r="AI331">
        <v>10.4</v>
      </c>
    </row>
    <row r="332" spans="1:35" x14ac:dyDescent="0.25">
      <c r="A332">
        <v>2024</v>
      </c>
      <c r="B332">
        <v>1</v>
      </c>
      <c r="C332" t="s">
        <v>30</v>
      </c>
      <c r="D332" t="s">
        <v>25</v>
      </c>
      <c r="E332">
        <v>2</v>
      </c>
      <c r="F332">
        <v>19</v>
      </c>
      <c r="G332" s="12">
        <v>45489</v>
      </c>
      <c r="H332">
        <v>197</v>
      </c>
      <c r="J332" t="s">
        <v>26</v>
      </c>
      <c r="K332" s="15">
        <v>37100</v>
      </c>
      <c r="L332">
        <v>12.3</v>
      </c>
      <c r="M332">
        <v>0</v>
      </c>
      <c r="N332">
        <v>14.059999999999995</v>
      </c>
      <c r="O332">
        <v>0</v>
      </c>
      <c r="P332">
        <v>0</v>
      </c>
      <c r="R332">
        <v>26.359999999999996</v>
      </c>
      <c r="S332">
        <v>44.89</v>
      </c>
      <c r="T332">
        <v>779.54048140043744</v>
      </c>
      <c r="U332">
        <v>1</v>
      </c>
      <c r="V332">
        <v>0.91400000000000003</v>
      </c>
      <c r="W332">
        <v>0.91400000000000003</v>
      </c>
      <c r="X332">
        <v>363.74612751234378</v>
      </c>
      <c r="Y332">
        <v>0</v>
      </c>
      <c r="Z332" s="16">
        <v>415.79435388809361</v>
      </c>
      <c r="AA332">
        <v>0</v>
      </c>
      <c r="AH332">
        <v>36.83</v>
      </c>
      <c r="AI332">
        <v>10.6</v>
      </c>
    </row>
    <row r="333" spans="1:35" x14ac:dyDescent="0.25">
      <c r="A333">
        <v>2024</v>
      </c>
      <c r="B333">
        <v>1</v>
      </c>
      <c r="C333" t="s">
        <v>36</v>
      </c>
      <c r="D333" t="s">
        <v>25</v>
      </c>
      <c r="E333">
        <v>2</v>
      </c>
      <c r="F333">
        <v>20</v>
      </c>
      <c r="G333" s="12">
        <v>45489</v>
      </c>
      <c r="H333">
        <v>197</v>
      </c>
      <c r="J333" t="s">
        <v>26</v>
      </c>
      <c r="K333" s="15">
        <v>37100</v>
      </c>
      <c r="L333">
        <v>10.199999999999999</v>
      </c>
      <c r="M333">
        <v>0</v>
      </c>
      <c r="N333">
        <v>9.6599999999999966</v>
      </c>
      <c r="O333">
        <v>0.5</v>
      </c>
      <c r="P333">
        <v>0</v>
      </c>
      <c r="R333">
        <v>20.359999999999996</v>
      </c>
      <c r="S333">
        <v>28.39</v>
      </c>
      <c r="T333">
        <v>533.36980306345731</v>
      </c>
      <c r="U333">
        <v>1</v>
      </c>
      <c r="V333">
        <v>0.91400000000000003</v>
      </c>
      <c r="W333">
        <v>0.91400000000000003</v>
      </c>
      <c r="X333">
        <v>267.20884043454151</v>
      </c>
      <c r="Y333">
        <v>0</v>
      </c>
      <c r="Z333" s="16">
        <v>253.06249005859513</v>
      </c>
      <c r="AA333">
        <v>13.098472570320665</v>
      </c>
      <c r="AH333">
        <v>32.765999999999998</v>
      </c>
      <c r="AI333">
        <v>10</v>
      </c>
    </row>
    <row r="334" spans="1:35" x14ac:dyDescent="0.25">
      <c r="A334">
        <v>2024</v>
      </c>
      <c r="B334">
        <v>1</v>
      </c>
      <c r="C334" t="s">
        <v>24</v>
      </c>
      <c r="D334" t="s">
        <v>25</v>
      </c>
      <c r="E334">
        <v>2</v>
      </c>
      <c r="F334">
        <v>21</v>
      </c>
      <c r="G334" s="12">
        <v>45489</v>
      </c>
      <c r="H334">
        <v>197</v>
      </c>
      <c r="J334" t="s">
        <v>26</v>
      </c>
      <c r="K334" s="15">
        <v>37100</v>
      </c>
      <c r="L334">
        <v>12.100000000000001</v>
      </c>
      <c r="M334">
        <v>0</v>
      </c>
      <c r="N334">
        <v>11.959999999999994</v>
      </c>
      <c r="O334">
        <v>0.19999999999999929</v>
      </c>
      <c r="P334">
        <v>0</v>
      </c>
      <c r="R334">
        <v>24.259999999999994</v>
      </c>
      <c r="S334">
        <v>48.89</v>
      </c>
      <c r="T334">
        <v>800.3282275711158</v>
      </c>
      <c r="U334">
        <v>1</v>
      </c>
      <c r="V334">
        <v>0.91400000000000003</v>
      </c>
      <c r="W334">
        <v>0.91400000000000003</v>
      </c>
      <c r="X334">
        <v>399.17442512821538</v>
      </c>
      <c r="Y334">
        <v>0</v>
      </c>
      <c r="Z334" s="16">
        <v>394.55587806061595</v>
      </c>
      <c r="AA334">
        <v>6.5979243822845266</v>
      </c>
      <c r="AH334">
        <v>30.48</v>
      </c>
      <c r="AI334">
        <v>10</v>
      </c>
    </row>
    <row r="335" spans="1:35" x14ac:dyDescent="0.25">
      <c r="A335">
        <v>2024</v>
      </c>
      <c r="B335">
        <v>1</v>
      </c>
      <c r="C335" t="s">
        <v>37</v>
      </c>
      <c r="D335" t="s">
        <v>25</v>
      </c>
      <c r="E335">
        <v>2</v>
      </c>
      <c r="F335">
        <v>22</v>
      </c>
      <c r="G335" s="12">
        <v>45489</v>
      </c>
      <c r="H335">
        <v>197</v>
      </c>
      <c r="J335" t="s">
        <v>26</v>
      </c>
      <c r="K335" s="15">
        <v>37100</v>
      </c>
      <c r="L335">
        <v>18.400000000000002</v>
      </c>
      <c r="M335">
        <v>0</v>
      </c>
      <c r="N335">
        <v>15.459999999999994</v>
      </c>
      <c r="O335">
        <v>0</v>
      </c>
      <c r="P335">
        <v>0</v>
      </c>
      <c r="R335">
        <v>33.86</v>
      </c>
      <c r="S335">
        <v>51.290000000000006</v>
      </c>
      <c r="T335">
        <v>931.61925601750545</v>
      </c>
      <c r="U335">
        <v>1</v>
      </c>
      <c r="V335">
        <v>0.91400000000000003</v>
      </c>
      <c r="W335">
        <v>0.91400000000000003</v>
      </c>
      <c r="X335">
        <v>506.2550003166599</v>
      </c>
      <c r="Y335">
        <v>0</v>
      </c>
      <c r="Z335" s="16">
        <v>425.36425570084549</v>
      </c>
      <c r="AA335">
        <v>0</v>
      </c>
      <c r="AH335">
        <v>38.353999999999999</v>
      </c>
      <c r="AI335">
        <v>14.6</v>
      </c>
    </row>
    <row r="336" spans="1:35" x14ac:dyDescent="0.25">
      <c r="A336">
        <v>2024</v>
      </c>
      <c r="B336">
        <v>1</v>
      </c>
      <c r="C336" t="s">
        <v>31</v>
      </c>
      <c r="D336" t="s">
        <v>25</v>
      </c>
      <c r="E336">
        <v>2</v>
      </c>
      <c r="F336">
        <v>23</v>
      </c>
      <c r="G336" s="12">
        <v>45489</v>
      </c>
      <c r="H336">
        <v>197</v>
      </c>
      <c r="J336" t="s">
        <v>26</v>
      </c>
      <c r="K336" s="15">
        <v>37100</v>
      </c>
      <c r="L336">
        <v>11</v>
      </c>
      <c r="M336">
        <v>0</v>
      </c>
      <c r="N336">
        <v>10.659999999999997</v>
      </c>
      <c r="O336">
        <v>0</v>
      </c>
      <c r="P336">
        <v>0</v>
      </c>
      <c r="R336">
        <v>21.659999999999997</v>
      </c>
      <c r="S336">
        <v>36.590000000000003</v>
      </c>
      <c r="T336">
        <v>637.308533916849</v>
      </c>
      <c r="U336">
        <v>1</v>
      </c>
      <c r="V336">
        <v>0.91400000000000003</v>
      </c>
      <c r="W336">
        <v>0.91400000000000003</v>
      </c>
      <c r="X336">
        <v>323.656226827578</v>
      </c>
      <c r="Y336">
        <v>0</v>
      </c>
      <c r="Z336" s="16">
        <v>313.65230708927095</v>
      </c>
      <c r="AA336">
        <v>0</v>
      </c>
      <c r="AH336">
        <v>28.447999999999997</v>
      </c>
      <c r="AI336">
        <v>10.8</v>
      </c>
    </row>
    <row r="337" spans="1:35" x14ac:dyDescent="0.25">
      <c r="A337">
        <v>2024</v>
      </c>
      <c r="B337">
        <v>1</v>
      </c>
      <c r="C337" t="s">
        <v>28</v>
      </c>
      <c r="D337" t="s">
        <v>25</v>
      </c>
      <c r="E337">
        <v>2</v>
      </c>
      <c r="F337">
        <v>24</v>
      </c>
      <c r="G337" s="12">
        <v>45489</v>
      </c>
      <c r="H337">
        <v>197</v>
      </c>
      <c r="J337" t="s">
        <v>26</v>
      </c>
      <c r="K337" s="15">
        <v>37100</v>
      </c>
      <c r="L337">
        <v>13.599999999999998</v>
      </c>
      <c r="M337">
        <v>0</v>
      </c>
      <c r="N337">
        <v>17.059999999999995</v>
      </c>
      <c r="O337">
        <v>0</v>
      </c>
      <c r="P337">
        <v>0</v>
      </c>
      <c r="R337">
        <v>30.659999999999993</v>
      </c>
      <c r="S337">
        <v>58.290000000000006</v>
      </c>
      <c r="T337">
        <v>973.19474835886206</v>
      </c>
      <c r="U337">
        <v>1</v>
      </c>
      <c r="V337">
        <v>0.91400000000000003</v>
      </c>
      <c r="W337">
        <v>0.91400000000000003</v>
      </c>
      <c r="X337">
        <v>431.68455895892123</v>
      </c>
      <c r="Y337">
        <v>0</v>
      </c>
      <c r="Z337" s="16">
        <v>541.51018939994083</v>
      </c>
      <c r="AA337">
        <v>0</v>
      </c>
      <c r="AH337">
        <v>39.369999999999997</v>
      </c>
      <c r="AI337">
        <v>10.8</v>
      </c>
    </row>
    <row r="338" spans="1:35" x14ac:dyDescent="0.25">
      <c r="A338">
        <v>2024</v>
      </c>
      <c r="B338">
        <v>1</v>
      </c>
      <c r="C338" t="s">
        <v>27</v>
      </c>
      <c r="D338" t="s">
        <v>25</v>
      </c>
      <c r="E338">
        <v>3</v>
      </c>
      <c r="F338">
        <v>25</v>
      </c>
      <c r="G338" s="14">
        <v>45489</v>
      </c>
      <c r="H338">
        <v>197</v>
      </c>
      <c r="J338" t="s">
        <v>26</v>
      </c>
      <c r="K338" s="15">
        <v>37100</v>
      </c>
      <c r="L338">
        <v>7.5</v>
      </c>
      <c r="M338">
        <v>0</v>
      </c>
      <c r="N338">
        <v>8.1599999999999966</v>
      </c>
      <c r="O338">
        <v>0</v>
      </c>
      <c r="P338">
        <v>0</v>
      </c>
      <c r="R338">
        <v>15.659999999999997</v>
      </c>
      <c r="S338">
        <v>54.790000000000006</v>
      </c>
      <c r="T338">
        <v>770.78774617067836</v>
      </c>
      <c r="U338">
        <v>1</v>
      </c>
      <c r="V338">
        <v>0.91400000000000003</v>
      </c>
      <c r="W338">
        <v>0.91400000000000003</v>
      </c>
      <c r="X338">
        <v>369.15121943040157</v>
      </c>
      <c r="Y338">
        <v>0</v>
      </c>
      <c r="Z338" s="16">
        <v>401.63652674027679</v>
      </c>
      <c r="AA338">
        <v>0</v>
      </c>
      <c r="AH338">
        <v>29.21</v>
      </c>
      <c r="AI338">
        <v>9.1999999999999993</v>
      </c>
    </row>
    <row r="339" spans="1:35" x14ac:dyDescent="0.25">
      <c r="A339">
        <v>2024</v>
      </c>
      <c r="B339">
        <v>1</v>
      </c>
      <c r="C339" t="s">
        <v>24</v>
      </c>
      <c r="D339" t="s">
        <v>25</v>
      </c>
      <c r="E339">
        <v>3</v>
      </c>
      <c r="F339">
        <v>26</v>
      </c>
      <c r="G339" s="12">
        <v>45489</v>
      </c>
      <c r="H339">
        <v>197</v>
      </c>
      <c r="J339" t="s">
        <v>26</v>
      </c>
      <c r="K339" s="15">
        <v>37100</v>
      </c>
      <c r="L339">
        <v>10.900000000000002</v>
      </c>
      <c r="M339">
        <v>0</v>
      </c>
      <c r="N339">
        <v>10.86</v>
      </c>
      <c r="O339">
        <v>0</v>
      </c>
      <c r="P339">
        <v>0</v>
      </c>
      <c r="R339">
        <v>21.76</v>
      </c>
      <c r="S339">
        <v>64.589999999999989</v>
      </c>
      <c r="T339">
        <v>944.74835886214441</v>
      </c>
      <c r="U339">
        <v>1</v>
      </c>
      <c r="V339">
        <v>0.91400000000000003</v>
      </c>
      <c r="W339">
        <v>0.91400000000000003</v>
      </c>
      <c r="X339">
        <v>473.24251431973232</v>
      </c>
      <c r="Y339">
        <v>0</v>
      </c>
      <c r="Z339" s="16">
        <v>471.50584454241209</v>
      </c>
      <c r="AA339">
        <v>0</v>
      </c>
      <c r="AH339">
        <v>31.242000000000001</v>
      </c>
      <c r="AI339">
        <v>9</v>
      </c>
    </row>
    <row r="340" spans="1:35" x14ac:dyDescent="0.25">
      <c r="A340">
        <v>2024</v>
      </c>
      <c r="B340">
        <v>1</v>
      </c>
      <c r="C340" t="s">
        <v>33</v>
      </c>
      <c r="D340" t="s">
        <v>25</v>
      </c>
      <c r="E340">
        <v>3</v>
      </c>
      <c r="F340">
        <v>27</v>
      </c>
      <c r="G340" s="12">
        <v>45489</v>
      </c>
      <c r="H340">
        <v>197</v>
      </c>
      <c r="J340" t="s">
        <v>26</v>
      </c>
      <c r="K340" s="15">
        <v>37100</v>
      </c>
      <c r="L340">
        <v>13.599999999999998</v>
      </c>
      <c r="M340">
        <v>0</v>
      </c>
      <c r="N340">
        <v>16.259999999999998</v>
      </c>
      <c r="O340">
        <v>0</v>
      </c>
      <c r="P340">
        <v>0</v>
      </c>
      <c r="R340">
        <v>29.859999999999996</v>
      </c>
      <c r="S340">
        <v>89.29</v>
      </c>
      <c r="T340">
        <v>1303.6105032822757</v>
      </c>
      <c r="U340">
        <v>1</v>
      </c>
      <c r="V340">
        <v>0.91400000000000003</v>
      </c>
      <c r="W340">
        <v>0.91400000000000003</v>
      </c>
      <c r="X340">
        <v>593.74088562086229</v>
      </c>
      <c r="Y340">
        <v>0</v>
      </c>
      <c r="Z340" s="16">
        <v>709.86961766141326</v>
      </c>
      <c r="AA340">
        <v>0</v>
      </c>
      <c r="AH340">
        <v>47.244000000000007</v>
      </c>
      <c r="AI340">
        <v>10.6</v>
      </c>
    </row>
    <row r="341" spans="1:35" x14ac:dyDescent="0.25">
      <c r="A341">
        <v>2024</v>
      </c>
      <c r="B341">
        <v>1</v>
      </c>
      <c r="C341" t="s">
        <v>34</v>
      </c>
      <c r="D341" t="s">
        <v>25</v>
      </c>
      <c r="E341">
        <v>3</v>
      </c>
      <c r="F341">
        <v>28</v>
      </c>
      <c r="G341" s="12">
        <v>45489</v>
      </c>
      <c r="H341">
        <v>197</v>
      </c>
      <c r="J341" t="s">
        <v>26</v>
      </c>
      <c r="K341" s="15">
        <v>37100</v>
      </c>
      <c r="L341">
        <v>16.500000000000004</v>
      </c>
      <c r="M341">
        <v>0</v>
      </c>
      <c r="N341">
        <v>9.36</v>
      </c>
      <c r="O341">
        <v>0</v>
      </c>
      <c r="P341">
        <v>0</v>
      </c>
      <c r="R341">
        <v>25.860000000000003</v>
      </c>
      <c r="S341">
        <v>19.189999999999998</v>
      </c>
      <c r="T341">
        <v>492.88840262582062</v>
      </c>
      <c r="U341">
        <v>1</v>
      </c>
      <c r="V341">
        <v>0.91400000000000003</v>
      </c>
      <c r="W341">
        <v>0.91400000000000003</v>
      </c>
      <c r="X341">
        <v>314.48795991206657</v>
      </c>
      <c r="Y341">
        <v>0</v>
      </c>
      <c r="Z341" s="16">
        <v>178.40044271375407</v>
      </c>
      <c r="AA341">
        <v>0</v>
      </c>
      <c r="AH341">
        <v>30.48</v>
      </c>
      <c r="AI341">
        <v>11.6</v>
      </c>
    </row>
    <row r="342" spans="1:35" x14ac:dyDescent="0.25">
      <c r="A342">
        <v>2024</v>
      </c>
      <c r="B342">
        <v>1</v>
      </c>
      <c r="C342" t="s">
        <v>37</v>
      </c>
      <c r="D342" t="s">
        <v>25</v>
      </c>
      <c r="E342">
        <v>3</v>
      </c>
      <c r="F342">
        <v>29</v>
      </c>
      <c r="G342" s="12">
        <v>45489</v>
      </c>
      <c r="H342">
        <v>197</v>
      </c>
      <c r="J342" t="s">
        <v>26</v>
      </c>
      <c r="K342" s="15">
        <v>37100</v>
      </c>
      <c r="L342">
        <v>20.500000000000004</v>
      </c>
      <c r="M342">
        <v>0</v>
      </c>
      <c r="N342">
        <v>17.159999999999997</v>
      </c>
      <c r="O342">
        <v>0</v>
      </c>
      <c r="P342">
        <v>0</v>
      </c>
      <c r="R342">
        <v>37.659999999999997</v>
      </c>
      <c r="S342">
        <v>43.489999999999995</v>
      </c>
      <c r="T342">
        <v>887.8555798687089</v>
      </c>
      <c r="U342">
        <v>1</v>
      </c>
      <c r="V342">
        <v>0.91400000000000003</v>
      </c>
      <c r="W342">
        <v>0.91400000000000003</v>
      </c>
      <c r="X342">
        <v>483.2989747028289</v>
      </c>
      <c r="Y342">
        <v>0</v>
      </c>
      <c r="Z342" s="16">
        <v>404.55660516588006</v>
      </c>
      <c r="AA342">
        <v>0</v>
      </c>
      <c r="AH342">
        <v>41.655999999999999</v>
      </c>
      <c r="AI342">
        <v>13.4</v>
      </c>
    </row>
    <row r="343" spans="1:35" x14ac:dyDescent="0.25">
      <c r="A343">
        <v>2024</v>
      </c>
      <c r="B343">
        <v>1</v>
      </c>
      <c r="C343" t="s">
        <v>36</v>
      </c>
      <c r="D343" t="s">
        <v>25</v>
      </c>
      <c r="E343">
        <v>3</v>
      </c>
      <c r="F343">
        <v>30</v>
      </c>
      <c r="G343" s="12">
        <v>45489</v>
      </c>
      <c r="H343">
        <v>197</v>
      </c>
      <c r="J343" t="s">
        <v>26</v>
      </c>
      <c r="K343" s="15">
        <v>37100</v>
      </c>
      <c r="L343">
        <v>16.3</v>
      </c>
      <c r="M343">
        <v>0</v>
      </c>
      <c r="N343">
        <v>16.36</v>
      </c>
      <c r="O343">
        <v>0</v>
      </c>
      <c r="P343">
        <v>0</v>
      </c>
      <c r="R343">
        <v>32.660000000000004</v>
      </c>
      <c r="S343">
        <v>54.09</v>
      </c>
      <c r="T343">
        <v>949.12472647702418</v>
      </c>
      <c r="U343">
        <v>1</v>
      </c>
      <c r="V343">
        <v>0.91400000000000003</v>
      </c>
      <c r="W343">
        <v>0.91400000000000003</v>
      </c>
      <c r="X343">
        <v>473.69054015846586</v>
      </c>
      <c r="Y343">
        <v>0</v>
      </c>
      <c r="Z343" s="16">
        <v>475.43418631855832</v>
      </c>
      <c r="AA343">
        <v>0</v>
      </c>
      <c r="AH343">
        <v>37.083999999999996</v>
      </c>
      <c r="AI343">
        <v>11.8</v>
      </c>
    </row>
    <row r="344" spans="1:35" x14ac:dyDescent="0.25">
      <c r="A344">
        <v>2024</v>
      </c>
      <c r="B344">
        <v>1</v>
      </c>
      <c r="C344" t="s">
        <v>35</v>
      </c>
      <c r="D344" t="s">
        <v>25</v>
      </c>
      <c r="E344">
        <v>3</v>
      </c>
      <c r="F344">
        <v>31</v>
      </c>
      <c r="G344" s="12">
        <v>45489</v>
      </c>
      <c r="H344">
        <v>197</v>
      </c>
      <c r="J344" t="s">
        <v>26</v>
      </c>
      <c r="K344" s="15">
        <v>37100</v>
      </c>
      <c r="L344">
        <v>10.3</v>
      </c>
      <c r="M344">
        <v>0</v>
      </c>
      <c r="N344">
        <v>9.4599999999999937</v>
      </c>
      <c r="O344">
        <v>0</v>
      </c>
      <c r="P344">
        <v>0</v>
      </c>
      <c r="R344">
        <v>19.759999999999994</v>
      </c>
      <c r="S344">
        <v>22.89</v>
      </c>
      <c r="T344">
        <v>466.63019693654257</v>
      </c>
      <c r="U344">
        <v>1</v>
      </c>
      <c r="V344">
        <v>0.91400000000000003</v>
      </c>
      <c r="W344">
        <v>0.91400000000000003</v>
      </c>
      <c r="X344">
        <v>243.23335164202382</v>
      </c>
      <c r="Y344">
        <v>0</v>
      </c>
      <c r="Z344" s="16">
        <v>223.39684529451881</v>
      </c>
      <c r="AA344">
        <v>0</v>
      </c>
      <c r="AH344">
        <v>36.576000000000001</v>
      </c>
      <c r="AI344">
        <v>10</v>
      </c>
    </row>
    <row r="345" spans="1:35" x14ac:dyDescent="0.25">
      <c r="A345">
        <v>2024</v>
      </c>
      <c r="B345">
        <v>1</v>
      </c>
      <c r="C345" t="s">
        <v>28</v>
      </c>
      <c r="D345" t="s">
        <v>25</v>
      </c>
      <c r="E345">
        <v>3</v>
      </c>
      <c r="F345">
        <v>32</v>
      </c>
      <c r="G345" s="12">
        <v>45489</v>
      </c>
      <c r="H345">
        <v>197</v>
      </c>
      <c r="J345" t="s">
        <v>26</v>
      </c>
      <c r="K345" s="15">
        <v>37100</v>
      </c>
      <c r="L345">
        <v>17.400000000000002</v>
      </c>
      <c r="M345">
        <v>0</v>
      </c>
      <c r="N345">
        <v>22.559999999999995</v>
      </c>
      <c r="O345">
        <v>0.5</v>
      </c>
      <c r="P345">
        <v>0</v>
      </c>
      <c r="R345">
        <v>40.459999999999994</v>
      </c>
      <c r="S345">
        <v>87.89</v>
      </c>
      <c r="T345">
        <v>1404.2669584245075</v>
      </c>
      <c r="U345">
        <v>1</v>
      </c>
      <c r="V345">
        <v>0.91400000000000003</v>
      </c>
      <c r="W345">
        <v>0.91400000000000003</v>
      </c>
      <c r="X345">
        <v>603.91114870455851</v>
      </c>
      <c r="Y345">
        <v>0</v>
      </c>
      <c r="Z345" s="16">
        <v>783.00204107901357</v>
      </c>
      <c r="AA345">
        <v>17.353768640935584</v>
      </c>
      <c r="AH345">
        <v>43.687999999999995</v>
      </c>
      <c r="AI345">
        <v>11.8</v>
      </c>
    </row>
    <row r="346" spans="1:35" x14ac:dyDescent="0.25">
      <c r="A346">
        <v>2024</v>
      </c>
      <c r="B346">
        <v>1</v>
      </c>
      <c r="C346" t="s">
        <v>29</v>
      </c>
      <c r="D346" t="s">
        <v>25</v>
      </c>
      <c r="E346">
        <v>3</v>
      </c>
      <c r="F346">
        <v>33</v>
      </c>
      <c r="G346" s="12">
        <v>45489</v>
      </c>
      <c r="H346">
        <v>197</v>
      </c>
      <c r="J346" t="s">
        <v>26</v>
      </c>
      <c r="K346" s="15">
        <v>37100</v>
      </c>
      <c r="L346">
        <v>9.6999999999999993</v>
      </c>
      <c r="M346">
        <v>0</v>
      </c>
      <c r="N346">
        <v>12.459999999999994</v>
      </c>
      <c r="O346">
        <v>0</v>
      </c>
      <c r="P346">
        <v>0</v>
      </c>
      <c r="R346">
        <v>22.159999999999993</v>
      </c>
      <c r="S346">
        <v>58.290000000000006</v>
      </c>
      <c r="T346">
        <v>880.19693654266939</v>
      </c>
      <c r="U346">
        <v>1</v>
      </c>
      <c r="V346">
        <v>0.91400000000000003</v>
      </c>
      <c r="W346">
        <v>0.91400000000000003</v>
      </c>
      <c r="X346">
        <v>385.28476012923716</v>
      </c>
      <c r="Y346">
        <v>0</v>
      </c>
      <c r="Z346" s="16">
        <v>494.91217641343223</v>
      </c>
      <c r="AA346">
        <v>0</v>
      </c>
      <c r="AH346">
        <v>36.83</v>
      </c>
      <c r="AI346">
        <v>9.6</v>
      </c>
    </row>
    <row r="347" spans="1:35" x14ac:dyDescent="0.25">
      <c r="A347">
        <v>2024</v>
      </c>
      <c r="B347">
        <v>1</v>
      </c>
      <c r="C347" t="s">
        <v>31</v>
      </c>
      <c r="D347" t="s">
        <v>25</v>
      </c>
      <c r="E347">
        <v>3</v>
      </c>
      <c r="F347">
        <v>34</v>
      </c>
      <c r="G347" s="12">
        <v>45489</v>
      </c>
      <c r="H347">
        <v>197</v>
      </c>
      <c r="J347" t="s">
        <v>26</v>
      </c>
      <c r="K347" s="15">
        <v>37100</v>
      </c>
      <c r="L347">
        <v>10.3</v>
      </c>
      <c r="M347">
        <v>0</v>
      </c>
      <c r="N347">
        <v>11.059999999999995</v>
      </c>
      <c r="O347">
        <v>0</v>
      </c>
      <c r="P347">
        <v>0</v>
      </c>
      <c r="R347">
        <v>21.359999999999996</v>
      </c>
      <c r="S347">
        <v>33.89</v>
      </c>
      <c r="T347">
        <v>604.48577680525159</v>
      </c>
      <c r="U347">
        <v>1</v>
      </c>
      <c r="V347">
        <v>0.91400000000000003</v>
      </c>
      <c r="W347">
        <v>0.91400000000000003</v>
      </c>
      <c r="X347">
        <v>291.48892795384324</v>
      </c>
      <c r="Y347">
        <v>0</v>
      </c>
      <c r="Z347" s="16">
        <v>312.99684885140829</v>
      </c>
      <c r="AA347">
        <v>0</v>
      </c>
      <c r="AH347">
        <v>29.718</v>
      </c>
      <c r="AI347">
        <v>12.2</v>
      </c>
    </row>
    <row r="348" spans="1:35" x14ac:dyDescent="0.25">
      <c r="A348">
        <v>2024</v>
      </c>
      <c r="B348">
        <v>1</v>
      </c>
      <c r="C348" t="s">
        <v>30</v>
      </c>
      <c r="D348" t="s">
        <v>25</v>
      </c>
      <c r="E348">
        <v>3</v>
      </c>
      <c r="F348">
        <v>35</v>
      </c>
      <c r="G348" s="12">
        <v>45489</v>
      </c>
      <c r="H348">
        <v>197</v>
      </c>
      <c r="J348" t="s">
        <v>26</v>
      </c>
      <c r="K348" s="15">
        <v>37100</v>
      </c>
      <c r="L348">
        <v>17.500000000000004</v>
      </c>
      <c r="M348">
        <v>0</v>
      </c>
      <c r="N348">
        <v>21.759999999999998</v>
      </c>
      <c r="O348">
        <v>0.30000000000000071</v>
      </c>
      <c r="P348">
        <v>0</v>
      </c>
      <c r="R348">
        <v>39.56</v>
      </c>
      <c r="S348">
        <v>42.89</v>
      </c>
      <c r="T348">
        <v>902.07877461706778</v>
      </c>
      <c r="U348">
        <v>1</v>
      </c>
      <c r="V348">
        <v>0.91400000000000003</v>
      </c>
      <c r="W348">
        <v>0.91400000000000003</v>
      </c>
      <c r="X348">
        <v>399.04900292716604</v>
      </c>
      <c r="Y348">
        <v>0</v>
      </c>
      <c r="Z348" s="16">
        <v>496.18893163972166</v>
      </c>
      <c r="AA348">
        <v>6.8408400501800042</v>
      </c>
      <c r="AH348">
        <v>38.353999999999999</v>
      </c>
      <c r="AI348">
        <v>12</v>
      </c>
    </row>
    <row r="349" spans="1:35" x14ac:dyDescent="0.25">
      <c r="A349">
        <v>2024</v>
      </c>
      <c r="B349">
        <v>1</v>
      </c>
      <c r="C349" t="s">
        <v>32</v>
      </c>
      <c r="D349" t="s">
        <v>25</v>
      </c>
      <c r="E349">
        <v>3</v>
      </c>
      <c r="F349">
        <v>36</v>
      </c>
      <c r="G349" s="12">
        <v>45489</v>
      </c>
      <c r="H349">
        <v>197</v>
      </c>
      <c r="J349" t="s">
        <v>26</v>
      </c>
      <c r="K349" s="15">
        <v>37100</v>
      </c>
      <c r="L349">
        <v>19.2</v>
      </c>
      <c r="M349">
        <v>0</v>
      </c>
      <c r="N349">
        <v>21.36</v>
      </c>
      <c r="O349">
        <v>0</v>
      </c>
      <c r="P349">
        <v>0</v>
      </c>
      <c r="R349">
        <v>40.56</v>
      </c>
      <c r="S349">
        <v>80.290000000000006</v>
      </c>
      <c r="T349">
        <v>1322.2100656455141</v>
      </c>
      <c r="U349">
        <v>1</v>
      </c>
      <c r="V349">
        <v>0.91400000000000003</v>
      </c>
      <c r="W349">
        <v>0.91400000000000003</v>
      </c>
      <c r="X349">
        <v>625.89825592687055</v>
      </c>
      <c r="Y349">
        <v>0</v>
      </c>
      <c r="Z349" s="16">
        <v>696.31180971864353</v>
      </c>
      <c r="AA349">
        <v>0</v>
      </c>
      <c r="AH349">
        <v>34.29</v>
      </c>
      <c r="AI349">
        <v>12.2</v>
      </c>
    </row>
    <row r="350" spans="1:35" x14ac:dyDescent="0.25">
      <c r="A350">
        <v>2024</v>
      </c>
      <c r="B350">
        <v>1</v>
      </c>
      <c r="C350" t="s">
        <v>24</v>
      </c>
      <c r="D350" t="s">
        <v>38</v>
      </c>
      <c r="E350">
        <v>1</v>
      </c>
      <c r="F350">
        <v>37</v>
      </c>
      <c r="G350" s="12">
        <v>45489</v>
      </c>
      <c r="H350">
        <v>197</v>
      </c>
      <c r="J350" t="s">
        <v>26</v>
      </c>
      <c r="K350" s="15">
        <v>37100</v>
      </c>
      <c r="L350">
        <v>25.2</v>
      </c>
      <c r="M350">
        <v>0</v>
      </c>
      <c r="N350">
        <v>29.659999999999997</v>
      </c>
      <c r="O350">
        <v>0.10000000000000142</v>
      </c>
      <c r="P350">
        <v>0</v>
      </c>
      <c r="R350">
        <v>54.959999999999994</v>
      </c>
      <c r="S350">
        <v>145.79000000000002</v>
      </c>
      <c r="T350">
        <v>2196.3894967177248</v>
      </c>
      <c r="U350">
        <v>1</v>
      </c>
      <c r="V350">
        <v>0.91400000000000003</v>
      </c>
      <c r="W350">
        <v>0.91400000000000003</v>
      </c>
      <c r="X350">
        <v>1007.0781535168609</v>
      </c>
      <c r="Y350">
        <v>0</v>
      </c>
      <c r="Z350" s="16">
        <v>1185.3150013218287</v>
      </c>
      <c r="AA350">
        <v>3.996341879035219</v>
      </c>
      <c r="AH350">
        <v>42.672000000000004</v>
      </c>
      <c r="AI350">
        <v>12.6</v>
      </c>
    </row>
    <row r="351" spans="1:35" x14ac:dyDescent="0.25">
      <c r="A351">
        <v>2024</v>
      </c>
      <c r="B351">
        <v>1</v>
      </c>
      <c r="C351" t="s">
        <v>27</v>
      </c>
      <c r="D351" t="s">
        <v>38</v>
      </c>
      <c r="E351">
        <v>1</v>
      </c>
      <c r="F351">
        <v>38</v>
      </c>
      <c r="G351" s="12">
        <v>45489</v>
      </c>
      <c r="H351">
        <v>197</v>
      </c>
      <c r="J351" t="s">
        <v>26</v>
      </c>
      <c r="K351" s="15">
        <v>37100</v>
      </c>
      <c r="L351">
        <v>19.599999999999998</v>
      </c>
      <c r="M351">
        <v>0</v>
      </c>
      <c r="N351">
        <v>24.159999999999997</v>
      </c>
      <c r="O351">
        <v>0</v>
      </c>
      <c r="P351">
        <v>0</v>
      </c>
      <c r="R351">
        <v>43.759999999999991</v>
      </c>
      <c r="S351">
        <v>150.08999999999997</v>
      </c>
      <c r="T351">
        <v>2120.89715536105</v>
      </c>
      <c r="U351">
        <v>1</v>
      </c>
      <c r="V351">
        <v>0.91400000000000003</v>
      </c>
      <c r="W351">
        <v>0.91400000000000003</v>
      </c>
      <c r="X351">
        <v>949.94479536281051</v>
      </c>
      <c r="Y351">
        <v>0</v>
      </c>
      <c r="Z351" s="16">
        <v>1170.9523599982397</v>
      </c>
      <c r="AA351">
        <v>0</v>
      </c>
      <c r="AH351">
        <v>44.45</v>
      </c>
      <c r="AI351">
        <v>10.6</v>
      </c>
    </row>
    <row r="352" spans="1:35" x14ac:dyDescent="0.25">
      <c r="A352">
        <v>2024</v>
      </c>
      <c r="B352">
        <v>1</v>
      </c>
      <c r="C352" t="s">
        <v>28</v>
      </c>
      <c r="D352" t="s">
        <v>38</v>
      </c>
      <c r="E352">
        <v>1</v>
      </c>
      <c r="F352">
        <v>39</v>
      </c>
      <c r="G352" s="12">
        <v>45489</v>
      </c>
      <c r="H352">
        <v>197</v>
      </c>
      <c r="J352" t="s">
        <v>26</v>
      </c>
      <c r="K352" s="15">
        <v>37100</v>
      </c>
      <c r="L352">
        <v>24.3</v>
      </c>
      <c r="M352">
        <v>0</v>
      </c>
      <c r="N352">
        <v>31.060000000000002</v>
      </c>
      <c r="O352">
        <v>0</v>
      </c>
      <c r="P352">
        <v>0</v>
      </c>
      <c r="R352">
        <v>55.360000000000007</v>
      </c>
      <c r="S352">
        <v>134.88999999999999</v>
      </c>
      <c r="T352">
        <v>2081.5098468271331</v>
      </c>
      <c r="U352">
        <v>1</v>
      </c>
      <c r="V352">
        <v>0.91400000000000003</v>
      </c>
      <c r="W352">
        <v>0.91400000000000003</v>
      </c>
      <c r="X352">
        <v>913.66852019326836</v>
      </c>
      <c r="Y352">
        <v>0</v>
      </c>
      <c r="Z352" s="16">
        <v>1167.8413266338646</v>
      </c>
      <c r="AA352">
        <v>0</v>
      </c>
      <c r="AH352">
        <v>49.275999999999996</v>
      </c>
      <c r="AI352">
        <v>12.4</v>
      </c>
    </row>
    <row r="353" spans="1:35" x14ac:dyDescent="0.25">
      <c r="A353">
        <v>2024</v>
      </c>
      <c r="B353">
        <v>1</v>
      </c>
      <c r="C353" t="s">
        <v>29</v>
      </c>
      <c r="D353" t="s">
        <v>38</v>
      </c>
      <c r="E353">
        <v>1</v>
      </c>
      <c r="F353">
        <v>40</v>
      </c>
      <c r="G353" s="12">
        <v>45489</v>
      </c>
      <c r="H353">
        <v>197</v>
      </c>
      <c r="J353" t="s">
        <v>26</v>
      </c>
      <c r="K353" s="15">
        <v>37100</v>
      </c>
      <c r="L353">
        <v>26.599999999999998</v>
      </c>
      <c r="M353">
        <v>0</v>
      </c>
      <c r="N353">
        <v>35.36</v>
      </c>
      <c r="O353">
        <v>0</v>
      </c>
      <c r="P353">
        <v>0</v>
      </c>
      <c r="R353">
        <v>61.96</v>
      </c>
      <c r="S353">
        <v>155.08999999999997</v>
      </c>
      <c r="T353">
        <v>2374.7264770240695</v>
      </c>
      <c r="U353">
        <v>1</v>
      </c>
      <c r="V353">
        <v>0.91400000000000003</v>
      </c>
      <c r="W353">
        <v>0.91400000000000003</v>
      </c>
      <c r="X353">
        <v>1019.4919994970988</v>
      </c>
      <c r="Y353">
        <v>0</v>
      </c>
      <c r="Z353" s="16">
        <v>1355.2344775269707</v>
      </c>
      <c r="AA353">
        <v>0</v>
      </c>
      <c r="AH353">
        <v>53.594000000000001</v>
      </c>
      <c r="AI353">
        <v>12.2</v>
      </c>
    </row>
    <row r="354" spans="1:35" x14ac:dyDescent="0.25">
      <c r="A354">
        <v>2024</v>
      </c>
      <c r="B354">
        <v>1</v>
      </c>
      <c r="C354" t="s">
        <v>30</v>
      </c>
      <c r="D354" t="s">
        <v>38</v>
      </c>
      <c r="E354">
        <v>1</v>
      </c>
      <c r="F354">
        <v>41</v>
      </c>
      <c r="G354" s="12">
        <v>45489</v>
      </c>
      <c r="H354">
        <v>197</v>
      </c>
      <c r="J354" t="s">
        <v>26</v>
      </c>
      <c r="K354" s="15">
        <v>37100</v>
      </c>
      <c r="L354">
        <v>22.900000000000002</v>
      </c>
      <c r="M354">
        <v>0.19999999999999929</v>
      </c>
      <c r="N354">
        <v>29.959999999999994</v>
      </c>
      <c r="O354">
        <v>0</v>
      </c>
      <c r="P354">
        <v>0</v>
      </c>
      <c r="R354">
        <v>53.059999999999995</v>
      </c>
      <c r="S354">
        <v>215.49</v>
      </c>
      <c r="T354">
        <v>2938.1838074398247</v>
      </c>
      <c r="U354">
        <v>1</v>
      </c>
      <c r="V354">
        <v>0.91400000000000003</v>
      </c>
      <c r="W354">
        <v>0.91400000000000003</v>
      </c>
      <c r="X354">
        <v>1268.0815904706371</v>
      </c>
      <c r="Y354">
        <v>11.074948388389801</v>
      </c>
      <c r="Z354" s="16">
        <v>1659.0272685807981</v>
      </c>
      <c r="AA354">
        <v>0</v>
      </c>
      <c r="AH354">
        <v>51.815999999999995</v>
      </c>
      <c r="AI354">
        <v>12.4</v>
      </c>
    </row>
    <row r="355" spans="1:35" x14ac:dyDescent="0.25">
      <c r="A355">
        <v>2024</v>
      </c>
      <c r="B355">
        <v>1</v>
      </c>
      <c r="C355" t="s">
        <v>31</v>
      </c>
      <c r="D355" t="s">
        <v>38</v>
      </c>
      <c r="E355">
        <v>1</v>
      </c>
      <c r="F355">
        <v>42</v>
      </c>
      <c r="G355" s="12">
        <v>45489</v>
      </c>
      <c r="H355">
        <v>197</v>
      </c>
      <c r="J355" t="s">
        <v>26</v>
      </c>
      <c r="K355" s="15">
        <v>37100</v>
      </c>
      <c r="L355">
        <v>37</v>
      </c>
      <c r="M355">
        <v>0.30000000000000071</v>
      </c>
      <c r="N355">
        <v>42.259999999999991</v>
      </c>
      <c r="O355">
        <v>0</v>
      </c>
      <c r="P355">
        <v>0</v>
      </c>
      <c r="R355">
        <v>79.559999999999988</v>
      </c>
      <c r="S355">
        <v>100.08999999999999</v>
      </c>
      <c r="T355">
        <v>1965.5361050328224</v>
      </c>
      <c r="U355">
        <v>1</v>
      </c>
      <c r="V355">
        <v>0.91400000000000003</v>
      </c>
      <c r="W355">
        <v>0.91400000000000003</v>
      </c>
      <c r="X355">
        <v>914.08793220480686</v>
      </c>
      <c r="Y355">
        <v>7.4115237746335874</v>
      </c>
      <c r="Z355" s="16">
        <v>1044.036649053382</v>
      </c>
      <c r="AA355">
        <v>0</v>
      </c>
      <c r="AH355">
        <v>42.672000000000004</v>
      </c>
      <c r="AI355">
        <v>12.2</v>
      </c>
    </row>
    <row r="356" spans="1:35" x14ac:dyDescent="0.25">
      <c r="A356">
        <v>2024</v>
      </c>
      <c r="B356">
        <v>1</v>
      </c>
      <c r="C356" t="s">
        <v>32</v>
      </c>
      <c r="D356" t="s">
        <v>38</v>
      </c>
      <c r="E356">
        <v>1</v>
      </c>
      <c r="F356">
        <v>43</v>
      </c>
      <c r="G356" s="12">
        <v>45489</v>
      </c>
      <c r="H356">
        <v>197</v>
      </c>
      <c r="J356" t="s">
        <v>26</v>
      </c>
      <c r="K356" s="15">
        <v>37100</v>
      </c>
      <c r="L356">
        <v>26.099999999999998</v>
      </c>
      <c r="M356">
        <v>0</v>
      </c>
      <c r="N356">
        <v>30.36</v>
      </c>
      <c r="O356">
        <v>0</v>
      </c>
      <c r="P356">
        <v>0</v>
      </c>
      <c r="R356">
        <v>56.459999999999994</v>
      </c>
      <c r="S356">
        <v>168.69</v>
      </c>
      <c r="T356">
        <v>2463.3479212253828</v>
      </c>
      <c r="U356">
        <v>1</v>
      </c>
      <c r="V356">
        <v>0.91400000000000003</v>
      </c>
      <c r="W356">
        <v>0.91400000000000003</v>
      </c>
      <c r="X356">
        <v>1138.7421314910112</v>
      </c>
      <c r="Y356">
        <v>0</v>
      </c>
      <c r="Z356" s="16">
        <v>1324.6057897343715</v>
      </c>
      <c r="AA356">
        <v>0</v>
      </c>
      <c r="AH356">
        <v>42.417999999999999</v>
      </c>
      <c r="AI356">
        <v>14.2</v>
      </c>
    </row>
    <row r="357" spans="1:35" x14ac:dyDescent="0.25">
      <c r="A357">
        <v>2024</v>
      </c>
      <c r="B357">
        <v>1</v>
      </c>
      <c r="C357" t="s">
        <v>33</v>
      </c>
      <c r="D357" t="s">
        <v>38</v>
      </c>
      <c r="E357">
        <v>1</v>
      </c>
      <c r="F357">
        <v>44</v>
      </c>
      <c r="G357" s="12">
        <v>45489</v>
      </c>
      <c r="H357">
        <v>197</v>
      </c>
      <c r="J357" t="s">
        <v>26</v>
      </c>
      <c r="K357" s="15">
        <v>37100</v>
      </c>
      <c r="L357">
        <v>24.7</v>
      </c>
      <c r="M357">
        <v>0</v>
      </c>
      <c r="N357">
        <v>29.159999999999997</v>
      </c>
      <c r="O357">
        <v>0</v>
      </c>
      <c r="P357">
        <v>0</v>
      </c>
      <c r="R357">
        <v>53.859999999999992</v>
      </c>
      <c r="S357">
        <v>129.88999999999999</v>
      </c>
      <c r="T357">
        <v>2010.3938730853388</v>
      </c>
      <c r="U357">
        <v>1</v>
      </c>
      <c r="V357">
        <v>0.91400000000000003</v>
      </c>
      <c r="W357">
        <v>0.91400000000000003</v>
      </c>
      <c r="X357">
        <v>921.95931424448338</v>
      </c>
      <c r="Y357">
        <v>0</v>
      </c>
      <c r="Z357" s="16">
        <v>1088.4345588408555</v>
      </c>
      <c r="AA357">
        <v>0</v>
      </c>
      <c r="AH357">
        <v>57.658000000000001</v>
      </c>
      <c r="AI357">
        <v>13</v>
      </c>
    </row>
    <row r="358" spans="1:35" x14ac:dyDescent="0.25">
      <c r="A358">
        <v>2024</v>
      </c>
      <c r="B358">
        <v>1</v>
      </c>
      <c r="C358" t="s">
        <v>34</v>
      </c>
      <c r="D358" t="s">
        <v>38</v>
      </c>
      <c r="E358">
        <v>1</v>
      </c>
      <c r="F358">
        <v>45</v>
      </c>
      <c r="G358" s="12">
        <v>45489</v>
      </c>
      <c r="H358">
        <v>197</v>
      </c>
      <c r="J358" t="s">
        <v>26</v>
      </c>
      <c r="K358" s="15">
        <v>37100</v>
      </c>
      <c r="L358">
        <v>47.3</v>
      </c>
      <c r="M358">
        <v>0.10000000000000142</v>
      </c>
      <c r="N358">
        <v>53.759999999999991</v>
      </c>
      <c r="O358">
        <v>0.10000000000000142</v>
      </c>
      <c r="P358">
        <v>0</v>
      </c>
      <c r="R358">
        <v>101.25999999999999</v>
      </c>
      <c r="S358">
        <v>108.58999999999999</v>
      </c>
      <c r="T358">
        <v>2295.9518599562361</v>
      </c>
      <c r="U358">
        <v>1</v>
      </c>
      <c r="V358">
        <v>0.91400000000000003</v>
      </c>
      <c r="W358">
        <v>0.91400000000000003</v>
      </c>
      <c r="X358">
        <v>1072.4720815319965</v>
      </c>
      <c r="Y358">
        <v>2.2673828362198982</v>
      </c>
      <c r="Z358" s="16">
        <v>1218.9450127517996</v>
      </c>
      <c r="AA358">
        <v>2.2673828362198982</v>
      </c>
      <c r="AH358">
        <v>44.45</v>
      </c>
      <c r="AI358">
        <v>14.6</v>
      </c>
    </row>
    <row r="359" spans="1:35" x14ac:dyDescent="0.25">
      <c r="A359">
        <v>2024</v>
      </c>
      <c r="B359">
        <v>1</v>
      </c>
      <c r="C359" t="s">
        <v>35</v>
      </c>
      <c r="D359" t="s">
        <v>38</v>
      </c>
      <c r="E359">
        <v>1</v>
      </c>
      <c r="F359">
        <v>46</v>
      </c>
      <c r="G359" s="12">
        <v>45489</v>
      </c>
      <c r="H359">
        <v>197</v>
      </c>
      <c r="J359" t="s">
        <v>26</v>
      </c>
      <c r="K359" s="15">
        <v>37100</v>
      </c>
      <c r="L359">
        <v>24.400000000000002</v>
      </c>
      <c r="M359">
        <v>0</v>
      </c>
      <c r="N359">
        <v>29.059999999999995</v>
      </c>
      <c r="O359">
        <v>0</v>
      </c>
      <c r="P359">
        <v>0</v>
      </c>
      <c r="R359">
        <v>53.459999999999994</v>
      </c>
      <c r="S359">
        <v>107.29</v>
      </c>
      <c r="T359">
        <v>1758.7527352297593</v>
      </c>
      <c r="U359">
        <v>1</v>
      </c>
      <c r="V359">
        <v>0.91400000000000003</v>
      </c>
      <c r="W359">
        <v>0.91400000000000003</v>
      </c>
      <c r="X359">
        <v>802.72290945765315</v>
      </c>
      <c r="Y359">
        <v>0</v>
      </c>
      <c r="Z359" s="16">
        <v>956.02982577210628</v>
      </c>
      <c r="AA359">
        <v>0</v>
      </c>
      <c r="AH359">
        <v>61.722000000000001</v>
      </c>
      <c r="AI359">
        <v>14</v>
      </c>
    </row>
    <row r="360" spans="1:35" x14ac:dyDescent="0.25">
      <c r="A360">
        <v>2024</v>
      </c>
      <c r="B360">
        <v>1</v>
      </c>
      <c r="C360" t="s">
        <v>36</v>
      </c>
      <c r="D360" t="s">
        <v>38</v>
      </c>
      <c r="E360">
        <v>1</v>
      </c>
      <c r="F360">
        <v>47</v>
      </c>
      <c r="G360" s="12">
        <v>45489</v>
      </c>
      <c r="H360">
        <v>197</v>
      </c>
      <c r="J360" t="s">
        <v>26</v>
      </c>
      <c r="K360" s="15">
        <v>37100</v>
      </c>
      <c r="L360">
        <v>47.2</v>
      </c>
      <c r="M360">
        <v>0.5</v>
      </c>
      <c r="N360">
        <v>49.36</v>
      </c>
      <c r="O360">
        <v>0.60000000000000142</v>
      </c>
      <c r="P360">
        <v>0</v>
      </c>
      <c r="R360">
        <v>97.660000000000011</v>
      </c>
      <c r="S360">
        <v>127.08999999999997</v>
      </c>
      <c r="T360">
        <v>2458.9715536105032</v>
      </c>
      <c r="U360">
        <v>1</v>
      </c>
      <c r="V360">
        <v>0.91400000000000003</v>
      </c>
      <c r="W360">
        <v>0.91400000000000003</v>
      </c>
      <c r="X360">
        <v>1188.4441668074519</v>
      </c>
      <c r="Y360">
        <v>12.589450919570464</v>
      </c>
      <c r="Z360" s="16">
        <v>1242.8305947799961</v>
      </c>
      <c r="AA360">
        <v>15.107341103484593</v>
      </c>
      <c r="AH360">
        <v>50.8</v>
      </c>
      <c r="AI360">
        <v>15</v>
      </c>
    </row>
    <row r="361" spans="1:35" x14ac:dyDescent="0.25">
      <c r="A361">
        <v>2024</v>
      </c>
      <c r="B361">
        <v>1</v>
      </c>
      <c r="C361" t="s">
        <v>37</v>
      </c>
      <c r="D361" t="s">
        <v>38</v>
      </c>
      <c r="E361">
        <v>1</v>
      </c>
      <c r="F361">
        <v>48</v>
      </c>
      <c r="G361" s="12">
        <v>45489</v>
      </c>
      <c r="H361">
        <v>197</v>
      </c>
      <c r="J361" t="s">
        <v>26</v>
      </c>
      <c r="K361" s="15">
        <v>37100</v>
      </c>
      <c r="L361">
        <v>29.7</v>
      </c>
      <c r="M361">
        <v>0</v>
      </c>
      <c r="N361">
        <v>31.659999999999993</v>
      </c>
      <c r="O361">
        <v>0</v>
      </c>
      <c r="P361">
        <v>0</v>
      </c>
      <c r="R361">
        <v>61.36</v>
      </c>
      <c r="S361">
        <v>185.58999999999997</v>
      </c>
      <c r="T361">
        <v>2701.8599562363233</v>
      </c>
      <c r="U361">
        <v>1</v>
      </c>
      <c r="V361">
        <v>0.91400000000000003</v>
      </c>
      <c r="W361">
        <v>0.91400000000000003</v>
      </c>
      <c r="X361">
        <v>1307.7777167571514</v>
      </c>
      <c r="Y361">
        <v>0</v>
      </c>
      <c r="Z361" s="16">
        <v>1394.0822394791719</v>
      </c>
      <c r="AA361">
        <v>0</v>
      </c>
      <c r="AH361">
        <v>56.895999999999994</v>
      </c>
      <c r="AI361">
        <v>13.2</v>
      </c>
    </row>
    <row r="362" spans="1:35" s="19" customFormat="1" x14ac:dyDescent="0.25">
      <c r="A362">
        <v>2024</v>
      </c>
      <c r="B362">
        <v>1</v>
      </c>
      <c r="C362" t="s">
        <v>35</v>
      </c>
      <c r="D362" t="s">
        <v>38</v>
      </c>
      <c r="E362">
        <v>2</v>
      </c>
      <c r="F362">
        <v>49</v>
      </c>
      <c r="G362" s="12">
        <v>45489</v>
      </c>
      <c r="H362">
        <v>197</v>
      </c>
      <c r="I362"/>
      <c r="J362" t="s">
        <v>26</v>
      </c>
      <c r="K362">
        <v>37100</v>
      </c>
      <c r="L362">
        <v>30.099999999999998</v>
      </c>
      <c r="M362">
        <v>0</v>
      </c>
      <c r="N362">
        <v>37.659999999999997</v>
      </c>
      <c r="O362">
        <v>0</v>
      </c>
      <c r="P362">
        <v>0</v>
      </c>
      <c r="Q362"/>
      <c r="R362">
        <v>67.760000000000005</v>
      </c>
      <c r="S362">
        <v>109.08999999999999</v>
      </c>
      <c r="T362">
        <v>1934.9015317286651</v>
      </c>
      <c r="U362">
        <v>1</v>
      </c>
      <c r="V362">
        <v>0.91400000000000003</v>
      </c>
      <c r="W362">
        <v>0.91400000000000003</v>
      </c>
      <c r="X362">
        <v>859.51204405302269</v>
      </c>
      <c r="Y362">
        <v>0</v>
      </c>
      <c r="Z362" s="16">
        <v>1075.3894876756424</v>
      </c>
      <c r="AA362">
        <v>0</v>
      </c>
      <c r="AB362"/>
      <c r="AC362"/>
      <c r="AD362"/>
      <c r="AE362"/>
      <c r="AF362"/>
      <c r="AG362"/>
      <c r="AH362">
        <v>62.992000000000004</v>
      </c>
      <c r="AI362">
        <v>14.6</v>
      </c>
    </row>
    <row r="363" spans="1:35" s="19" customFormat="1" x14ac:dyDescent="0.25">
      <c r="A363">
        <v>2024</v>
      </c>
      <c r="B363">
        <v>1</v>
      </c>
      <c r="C363" t="s">
        <v>33</v>
      </c>
      <c r="D363" t="s">
        <v>38</v>
      </c>
      <c r="E363">
        <v>2</v>
      </c>
      <c r="F363">
        <v>50</v>
      </c>
      <c r="G363" s="12">
        <v>45489</v>
      </c>
      <c r="H363">
        <v>197</v>
      </c>
      <c r="I363"/>
      <c r="J363" t="s">
        <v>26</v>
      </c>
      <c r="K363">
        <v>37100</v>
      </c>
      <c r="L363">
        <v>28.599999999999998</v>
      </c>
      <c r="M363">
        <v>0</v>
      </c>
      <c r="N363">
        <v>36.06</v>
      </c>
      <c r="O363">
        <v>0</v>
      </c>
      <c r="P363">
        <v>0</v>
      </c>
      <c r="Q363"/>
      <c r="R363">
        <v>64.66</v>
      </c>
      <c r="S363">
        <v>151.58999999999997</v>
      </c>
      <c r="T363">
        <v>2365.9737417943102</v>
      </c>
      <c r="U363">
        <v>1</v>
      </c>
      <c r="V363">
        <v>0.91400000000000003</v>
      </c>
      <c r="W363">
        <v>0.91400000000000003</v>
      </c>
      <c r="X363">
        <v>1046.502459253283</v>
      </c>
      <c r="Y363">
        <v>0</v>
      </c>
      <c r="Z363" s="16">
        <v>1319.4712825410277</v>
      </c>
      <c r="AA363">
        <v>0</v>
      </c>
      <c r="AB363"/>
      <c r="AC363"/>
      <c r="AD363"/>
      <c r="AE363"/>
      <c r="AF363"/>
      <c r="AG363"/>
      <c r="AH363">
        <v>59.436</v>
      </c>
      <c r="AI363">
        <v>13.6</v>
      </c>
    </row>
    <row r="364" spans="1:35" s="19" customFormat="1" x14ac:dyDescent="0.25">
      <c r="A364">
        <v>2024</v>
      </c>
      <c r="B364">
        <v>1</v>
      </c>
      <c r="C364" t="s">
        <v>34</v>
      </c>
      <c r="D364" t="s">
        <v>38</v>
      </c>
      <c r="E364">
        <v>2</v>
      </c>
      <c r="F364">
        <v>51</v>
      </c>
      <c r="G364" s="12">
        <v>45489</v>
      </c>
      <c r="H364">
        <v>197</v>
      </c>
      <c r="I364"/>
      <c r="J364" t="s">
        <v>26</v>
      </c>
      <c r="K364">
        <v>37100</v>
      </c>
      <c r="L364">
        <v>46.899999999999991</v>
      </c>
      <c r="M364">
        <v>0.60000000000000142</v>
      </c>
      <c r="N364">
        <v>28.86</v>
      </c>
      <c r="O364">
        <v>0</v>
      </c>
      <c r="P364">
        <v>0</v>
      </c>
      <c r="Q364"/>
      <c r="R364">
        <v>76.36</v>
      </c>
      <c r="S364">
        <v>54.09</v>
      </c>
      <c r="T364">
        <v>1427.2428884026258</v>
      </c>
      <c r="U364">
        <v>1</v>
      </c>
      <c r="V364">
        <v>0.91400000000000003</v>
      </c>
      <c r="W364">
        <v>0.91400000000000003</v>
      </c>
      <c r="X364">
        <v>876.60675047253972</v>
      </c>
      <c r="Y364">
        <v>11.214585293891798</v>
      </c>
      <c r="Z364" s="16">
        <v>539.42155263619418</v>
      </c>
      <c r="AA364">
        <v>0</v>
      </c>
      <c r="AB364"/>
      <c r="AC364"/>
      <c r="AD364"/>
      <c r="AE364"/>
      <c r="AF364"/>
      <c r="AG364"/>
      <c r="AH364">
        <v>35.052</v>
      </c>
      <c r="AI364">
        <v>11.6</v>
      </c>
    </row>
    <row r="365" spans="1:35" s="19" customFormat="1" x14ac:dyDescent="0.25">
      <c r="A365">
        <v>2024</v>
      </c>
      <c r="B365">
        <v>1</v>
      </c>
      <c r="C365" t="s">
        <v>27</v>
      </c>
      <c r="D365" t="s">
        <v>38</v>
      </c>
      <c r="E365">
        <v>2</v>
      </c>
      <c r="F365">
        <v>52</v>
      </c>
      <c r="G365" s="12">
        <v>45489</v>
      </c>
      <c r="H365">
        <v>197</v>
      </c>
      <c r="I365"/>
      <c r="J365" t="s">
        <v>26</v>
      </c>
      <c r="K365">
        <v>37100</v>
      </c>
      <c r="L365">
        <v>23.8</v>
      </c>
      <c r="M365">
        <v>0</v>
      </c>
      <c r="N365">
        <v>30.36</v>
      </c>
      <c r="O365">
        <v>0.90000000000000213</v>
      </c>
      <c r="P365">
        <v>0</v>
      </c>
      <c r="Q365"/>
      <c r="R365">
        <v>55.06</v>
      </c>
      <c r="S365">
        <v>190.49</v>
      </c>
      <c r="T365">
        <v>2686.5426695842448</v>
      </c>
      <c r="U365">
        <v>1</v>
      </c>
      <c r="V365">
        <v>0.91400000000000003</v>
      </c>
      <c r="W365">
        <v>0.91400000000000003</v>
      </c>
      <c r="X365">
        <v>1161.2734387233022</v>
      </c>
      <c r="Y365">
        <v>0</v>
      </c>
      <c r="Z365" s="16">
        <v>1481.3555293966156</v>
      </c>
      <c r="AA365">
        <v>43.913701464326657</v>
      </c>
      <c r="AB365"/>
      <c r="AC365"/>
      <c r="AD365"/>
      <c r="AE365"/>
      <c r="AF365"/>
      <c r="AG365"/>
      <c r="AH365">
        <v>48.26</v>
      </c>
      <c r="AI365">
        <v>12.6</v>
      </c>
    </row>
    <row r="366" spans="1:35" s="19" customFormat="1" x14ac:dyDescent="0.25">
      <c r="A366">
        <v>2024</v>
      </c>
      <c r="B366">
        <v>1</v>
      </c>
      <c r="C366" t="s">
        <v>32</v>
      </c>
      <c r="D366" t="s">
        <v>38</v>
      </c>
      <c r="E366">
        <v>2</v>
      </c>
      <c r="F366">
        <v>53</v>
      </c>
      <c r="G366" s="12">
        <v>45489</v>
      </c>
      <c r="H366">
        <v>197</v>
      </c>
      <c r="I366"/>
      <c r="J366" t="s">
        <v>26</v>
      </c>
      <c r="K366">
        <v>37100</v>
      </c>
      <c r="L366">
        <v>16.099999999999998</v>
      </c>
      <c r="M366">
        <v>0</v>
      </c>
      <c r="N366">
        <v>18.959999999999994</v>
      </c>
      <c r="O366">
        <v>0</v>
      </c>
      <c r="P366">
        <v>0</v>
      </c>
      <c r="Q366"/>
      <c r="R366">
        <v>35.059999999999995</v>
      </c>
      <c r="S366">
        <v>129.99</v>
      </c>
      <c r="T366">
        <v>1805.7986870897157</v>
      </c>
      <c r="U366">
        <v>1</v>
      </c>
      <c r="V366">
        <v>0.91400000000000003</v>
      </c>
      <c r="W366">
        <v>0.91400000000000003</v>
      </c>
      <c r="X366">
        <v>829.2458317782208</v>
      </c>
      <c r="Y366">
        <v>0</v>
      </c>
      <c r="Z366" s="16">
        <v>976.5528553114948</v>
      </c>
      <c r="AA366">
        <v>0</v>
      </c>
      <c r="AB366"/>
      <c r="AC366"/>
      <c r="AD366"/>
      <c r="AE366"/>
      <c r="AF366"/>
      <c r="AG366"/>
      <c r="AH366">
        <v>36.067999999999998</v>
      </c>
      <c r="AI366">
        <v>12.6</v>
      </c>
    </row>
    <row r="367" spans="1:35" s="19" customFormat="1" x14ac:dyDescent="0.25">
      <c r="A367">
        <v>2024</v>
      </c>
      <c r="B367">
        <v>1</v>
      </c>
      <c r="C367" t="s">
        <v>29</v>
      </c>
      <c r="D367" t="s">
        <v>38</v>
      </c>
      <c r="E367">
        <v>2</v>
      </c>
      <c r="F367">
        <v>54</v>
      </c>
      <c r="G367" s="12">
        <v>45489</v>
      </c>
      <c r="H367">
        <v>197</v>
      </c>
      <c r="I367"/>
      <c r="J367" t="s">
        <v>26</v>
      </c>
      <c r="K367">
        <v>37100</v>
      </c>
      <c r="L367">
        <v>27.099999999999998</v>
      </c>
      <c r="M367">
        <v>0.69999999999999929</v>
      </c>
      <c r="N367">
        <v>33.759999999999991</v>
      </c>
      <c r="O367">
        <v>0.40000000000000213</v>
      </c>
      <c r="P367">
        <v>0</v>
      </c>
      <c r="Q367"/>
      <c r="R367">
        <v>61.959999999999994</v>
      </c>
      <c r="S367">
        <v>115.79</v>
      </c>
      <c r="T367">
        <v>1944.7483588621444</v>
      </c>
      <c r="U367">
        <v>1</v>
      </c>
      <c r="V367">
        <v>0.91400000000000003</v>
      </c>
      <c r="W367">
        <v>0.91400000000000003</v>
      </c>
      <c r="X367">
        <v>850.59200331123486</v>
      </c>
      <c r="Y367">
        <v>21.971011155640735</v>
      </c>
      <c r="Z367" s="16">
        <v>1059.6304808777595</v>
      </c>
      <c r="AA367">
        <v>12.554863517509069</v>
      </c>
      <c r="AB367"/>
      <c r="AC367"/>
      <c r="AD367"/>
      <c r="AE367"/>
      <c r="AF367"/>
      <c r="AG367"/>
      <c r="AH367">
        <v>48.768000000000001</v>
      </c>
      <c r="AI367">
        <v>12.8</v>
      </c>
    </row>
    <row r="368" spans="1:35" s="19" customFormat="1" x14ac:dyDescent="0.25">
      <c r="A368">
        <v>2024</v>
      </c>
      <c r="B368">
        <v>1</v>
      </c>
      <c r="C368" t="s">
        <v>30</v>
      </c>
      <c r="D368" t="s">
        <v>38</v>
      </c>
      <c r="E368">
        <v>2</v>
      </c>
      <c r="F368">
        <v>55</v>
      </c>
      <c r="G368" s="12">
        <v>45489</v>
      </c>
      <c r="H368">
        <v>197</v>
      </c>
      <c r="I368"/>
      <c r="J368" t="s">
        <v>26</v>
      </c>
      <c r="K368">
        <v>37100</v>
      </c>
      <c r="L368">
        <v>30.7</v>
      </c>
      <c r="M368">
        <v>0</v>
      </c>
      <c r="N368">
        <v>38.86</v>
      </c>
      <c r="O368">
        <v>0.80000000000000071</v>
      </c>
      <c r="P368">
        <v>0</v>
      </c>
      <c r="Q368"/>
      <c r="R368">
        <v>70.359999999999985</v>
      </c>
      <c r="S368">
        <v>121.58999999999999</v>
      </c>
      <c r="T368">
        <v>2100.1094091903715</v>
      </c>
      <c r="U368">
        <v>1</v>
      </c>
      <c r="V368">
        <v>0.91400000000000003</v>
      </c>
      <c r="W368">
        <v>0.91400000000000003</v>
      </c>
      <c r="X368">
        <v>916.33540167914168</v>
      </c>
      <c r="Y368">
        <v>0</v>
      </c>
      <c r="Z368" s="16">
        <v>1159.8955605619365</v>
      </c>
      <c r="AA368">
        <v>23.878446949293615</v>
      </c>
      <c r="AB368"/>
      <c r="AC368"/>
      <c r="AD368"/>
      <c r="AE368"/>
      <c r="AF368"/>
      <c r="AG368"/>
      <c r="AH368">
        <v>46.99</v>
      </c>
      <c r="AI368">
        <v>15.2</v>
      </c>
    </row>
    <row r="369" spans="1:35" s="19" customFormat="1" x14ac:dyDescent="0.25">
      <c r="A369">
        <v>2024</v>
      </c>
      <c r="B369">
        <v>1</v>
      </c>
      <c r="C369" t="s">
        <v>36</v>
      </c>
      <c r="D369" t="s">
        <v>38</v>
      </c>
      <c r="E369">
        <v>2</v>
      </c>
      <c r="F369">
        <v>56</v>
      </c>
      <c r="G369" s="12">
        <v>45489</v>
      </c>
      <c r="H369">
        <v>197</v>
      </c>
      <c r="I369"/>
      <c r="J369" t="s">
        <v>26</v>
      </c>
      <c r="K369">
        <v>37100</v>
      </c>
      <c r="L369">
        <v>43.2</v>
      </c>
      <c r="M369">
        <v>0.10000000000000142</v>
      </c>
      <c r="N369">
        <v>47.759999999999991</v>
      </c>
      <c r="O369">
        <v>0.69999999999999929</v>
      </c>
      <c r="P369">
        <v>0</v>
      </c>
      <c r="Q369"/>
      <c r="R369">
        <v>91.76</v>
      </c>
      <c r="S369">
        <v>128.29000000000002</v>
      </c>
      <c r="T369">
        <v>2407.5492341356676</v>
      </c>
      <c r="U369">
        <v>1</v>
      </c>
      <c r="V369">
        <v>0.91400000000000003</v>
      </c>
      <c r="W369">
        <v>0.91400000000000003</v>
      </c>
      <c r="X369">
        <v>1133.458227056025</v>
      </c>
      <c r="Y369">
        <v>2.623745895963058</v>
      </c>
      <c r="Z369" s="16">
        <v>1253.1010399119382</v>
      </c>
      <c r="AA369">
        <v>18.366221271741125</v>
      </c>
      <c r="AB369"/>
      <c r="AC369"/>
      <c r="AD369"/>
      <c r="AE369"/>
      <c r="AF369"/>
      <c r="AG369"/>
      <c r="AH369">
        <v>53.34</v>
      </c>
      <c r="AI369">
        <v>15.2</v>
      </c>
    </row>
    <row r="370" spans="1:35" s="19" customFormat="1" x14ac:dyDescent="0.25">
      <c r="A370">
        <v>2024</v>
      </c>
      <c r="B370">
        <v>1</v>
      </c>
      <c r="C370" t="s">
        <v>24</v>
      </c>
      <c r="D370" t="s">
        <v>38</v>
      </c>
      <c r="E370">
        <v>2</v>
      </c>
      <c r="F370">
        <v>57</v>
      </c>
      <c r="G370" s="12">
        <v>45489</v>
      </c>
      <c r="H370">
        <v>197</v>
      </c>
      <c r="I370"/>
      <c r="J370" t="s">
        <v>26</v>
      </c>
      <c r="K370">
        <v>37100</v>
      </c>
      <c r="L370">
        <v>25.8</v>
      </c>
      <c r="M370">
        <v>0</v>
      </c>
      <c r="N370">
        <v>31.459999999999994</v>
      </c>
      <c r="O370">
        <v>0.40000000000000213</v>
      </c>
      <c r="P370">
        <v>0</v>
      </c>
      <c r="Q370"/>
      <c r="R370">
        <v>57.66</v>
      </c>
      <c r="S370">
        <v>128.58999999999997</v>
      </c>
      <c r="T370">
        <v>2037.7461706783367</v>
      </c>
      <c r="U370">
        <v>1</v>
      </c>
      <c r="V370">
        <v>0.91400000000000003</v>
      </c>
      <c r="W370">
        <v>0.91400000000000003</v>
      </c>
      <c r="X370">
        <v>911.79069031392805</v>
      </c>
      <c r="Y370">
        <v>0</v>
      </c>
      <c r="Z370" s="16">
        <v>1111.8191905920996</v>
      </c>
      <c r="AA370">
        <v>14.136289772309038</v>
      </c>
      <c r="AB370"/>
      <c r="AC370"/>
      <c r="AD370"/>
      <c r="AE370"/>
      <c r="AF370"/>
      <c r="AG370"/>
      <c r="AH370">
        <v>42.925999999999995</v>
      </c>
      <c r="AI370">
        <v>13.6</v>
      </c>
    </row>
    <row r="371" spans="1:35" s="19" customFormat="1" x14ac:dyDescent="0.25">
      <c r="A371">
        <v>2024</v>
      </c>
      <c r="B371">
        <v>1</v>
      </c>
      <c r="C371" t="s">
        <v>37</v>
      </c>
      <c r="D371" t="s">
        <v>38</v>
      </c>
      <c r="E371">
        <v>2</v>
      </c>
      <c r="F371">
        <v>58</v>
      </c>
      <c r="G371" s="12">
        <v>45489</v>
      </c>
      <c r="H371">
        <v>197</v>
      </c>
      <c r="I371"/>
      <c r="J371" t="s">
        <v>26</v>
      </c>
      <c r="K371">
        <v>37100</v>
      </c>
      <c r="L371">
        <v>42.7</v>
      </c>
      <c r="M371">
        <v>0.30000000000000071</v>
      </c>
      <c r="N371">
        <v>41.86</v>
      </c>
      <c r="O371">
        <v>0</v>
      </c>
      <c r="P371">
        <v>0</v>
      </c>
      <c r="Q371"/>
      <c r="R371">
        <v>84.86</v>
      </c>
      <c r="S371">
        <v>158.58999999999997</v>
      </c>
      <c r="T371">
        <v>2663.5667396061267</v>
      </c>
      <c r="U371">
        <v>1</v>
      </c>
      <c r="V371">
        <v>0.91400000000000003</v>
      </c>
      <c r="W371">
        <v>0.91400000000000003</v>
      </c>
      <c r="X371">
        <v>1340.2580695402028</v>
      </c>
      <c r="Y371">
        <v>9.4163330412660855</v>
      </c>
      <c r="Z371" s="16">
        <v>1313.8923370246578</v>
      </c>
      <c r="AA371">
        <v>0</v>
      </c>
      <c r="AB371"/>
      <c r="AC371"/>
      <c r="AD371"/>
      <c r="AE371"/>
      <c r="AF371"/>
      <c r="AG371"/>
      <c r="AH371">
        <v>52.832000000000001</v>
      </c>
      <c r="AI371">
        <v>14.2</v>
      </c>
    </row>
    <row r="372" spans="1:35" s="19" customFormat="1" x14ac:dyDescent="0.25">
      <c r="A372">
        <v>2024</v>
      </c>
      <c r="B372">
        <v>1</v>
      </c>
      <c r="C372" t="s">
        <v>31</v>
      </c>
      <c r="D372" t="s">
        <v>38</v>
      </c>
      <c r="E372">
        <v>2</v>
      </c>
      <c r="F372">
        <v>59</v>
      </c>
      <c r="G372" s="12">
        <v>45489</v>
      </c>
      <c r="H372">
        <v>197</v>
      </c>
      <c r="I372"/>
      <c r="J372" t="s">
        <v>26</v>
      </c>
      <c r="K372">
        <v>37100</v>
      </c>
      <c r="L372">
        <v>28.3</v>
      </c>
      <c r="M372">
        <v>0</v>
      </c>
      <c r="N372">
        <v>32.56</v>
      </c>
      <c r="O372">
        <v>0</v>
      </c>
      <c r="P372">
        <v>0</v>
      </c>
      <c r="Q372"/>
      <c r="R372">
        <v>60.860000000000014</v>
      </c>
      <c r="S372">
        <v>196.08999999999997</v>
      </c>
      <c r="T372">
        <v>2811.2691466083152</v>
      </c>
      <c r="U372">
        <v>1</v>
      </c>
      <c r="V372">
        <v>0.91400000000000003</v>
      </c>
      <c r="W372">
        <v>0.91400000000000003</v>
      </c>
      <c r="X372">
        <v>1307.2447724123449</v>
      </c>
      <c r="Y372">
        <v>0</v>
      </c>
      <c r="Z372" s="16">
        <v>1504.02437419597</v>
      </c>
      <c r="AA372">
        <v>0</v>
      </c>
      <c r="AB372"/>
      <c r="AC372"/>
      <c r="AD372"/>
      <c r="AE372"/>
      <c r="AF372"/>
      <c r="AG372"/>
      <c r="AH372">
        <v>41.147999999999996</v>
      </c>
      <c r="AI372">
        <v>12.4</v>
      </c>
    </row>
    <row r="373" spans="1:35" s="19" customFormat="1" x14ac:dyDescent="0.25">
      <c r="A373">
        <v>2024</v>
      </c>
      <c r="B373">
        <v>1</v>
      </c>
      <c r="C373" t="s">
        <v>28</v>
      </c>
      <c r="D373" t="s">
        <v>38</v>
      </c>
      <c r="E373">
        <v>2</v>
      </c>
      <c r="F373">
        <v>60</v>
      </c>
      <c r="G373" s="12">
        <v>45489</v>
      </c>
      <c r="H373">
        <v>197</v>
      </c>
      <c r="I373"/>
      <c r="J373" t="s">
        <v>26</v>
      </c>
      <c r="K373">
        <v>37100</v>
      </c>
      <c r="L373">
        <v>30.099999999999998</v>
      </c>
      <c r="M373">
        <v>0.30000000000000071</v>
      </c>
      <c r="N373">
        <v>41.36</v>
      </c>
      <c r="O373">
        <v>0</v>
      </c>
      <c r="P373">
        <v>0</v>
      </c>
      <c r="Q373"/>
      <c r="R373">
        <v>71.760000000000005</v>
      </c>
      <c r="S373">
        <v>177.89</v>
      </c>
      <c r="T373">
        <v>2731.4004376367616</v>
      </c>
      <c r="U373">
        <v>1</v>
      </c>
      <c r="V373">
        <v>0.91400000000000003</v>
      </c>
      <c r="W373">
        <v>0.91400000000000003</v>
      </c>
      <c r="X373">
        <v>1145.6961144490874</v>
      </c>
      <c r="Y373">
        <v>11.418898150655385</v>
      </c>
      <c r="Z373" s="16">
        <v>1574.2854250370187</v>
      </c>
      <c r="AA373">
        <v>0</v>
      </c>
      <c r="AB373"/>
      <c r="AC373"/>
      <c r="AD373"/>
      <c r="AE373"/>
      <c r="AF373"/>
      <c r="AG373"/>
      <c r="AH373">
        <v>51.562000000000005</v>
      </c>
      <c r="AI373">
        <v>12.8</v>
      </c>
    </row>
    <row r="374" spans="1:35" s="19" customFormat="1" x14ac:dyDescent="0.25">
      <c r="A374">
        <v>2024</v>
      </c>
      <c r="B374">
        <v>1</v>
      </c>
      <c r="C374" t="s">
        <v>27</v>
      </c>
      <c r="D374" t="s">
        <v>38</v>
      </c>
      <c r="E374">
        <v>3</v>
      </c>
      <c r="F374">
        <v>61</v>
      </c>
      <c r="G374" s="12">
        <v>45489</v>
      </c>
      <c r="H374">
        <v>197</v>
      </c>
      <c r="I374"/>
      <c r="J374" t="s">
        <v>26</v>
      </c>
      <c r="K374">
        <v>37100</v>
      </c>
      <c r="L374">
        <v>24.599999999999998</v>
      </c>
      <c r="M374">
        <v>0</v>
      </c>
      <c r="N374">
        <v>30.959999999999994</v>
      </c>
      <c r="O374">
        <v>0.69999999999999929</v>
      </c>
      <c r="P374">
        <v>0</v>
      </c>
      <c r="Q374"/>
      <c r="R374">
        <v>56.259999999999991</v>
      </c>
      <c r="S374">
        <v>100.39</v>
      </c>
      <c r="T374">
        <v>1713.894967177243</v>
      </c>
      <c r="U374">
        <v>1</v>
      </c>
      <c r="V374">
        <v>0.91400000000000003</v>
      </c>
      <c r="W374">
        <v>0.91400000000000003</v>
      </c>
      <c r="X374">
        <v>749.4101705040913</v>
      </c>
      <c r="Y374">
        <v>0</v>
      </c>
      <c r="Z374" s="16">
        <v>943.1601170246613</v>
      </c>
      <c r="AA374">
        <v>21.324679648490388</v>
      </c>
      <c r="AB374"/>
      <c r="AC374"/>
      <c r="AD374"/>
      <c r="AE374"/>
      <c r="AF374"/>
      <c r="AG374"/>
      <c r="AH374">
        <v>41.655999999999999</v>
      </c>
      <c r="AI374">
        <v>11.8</v>
      </c>
    </row>
    <row r="375" spans="1:35" s="19" customFormat="1" x14ac:dyDescent="0.25">
      <c r="A375">
        <v>2024</v>
      </c>
      <c r="B375">
        <v>1</v>
      </c>
      <c r="C375" t="s">
        <v>24</v>
      </c>
      <c r="D375" t="s">
        <v>38</v>
      </c>
      <c r="E375">
        <v>3</v>
      </c>
      <c r="F375">
        <v>62</v>
      </c>
      <c r="G375" s="12">
        <v>45489</v>
      </c>
      <c r="H375">
        <v>197</v>
      </c>
      <c r="I375"/>
      <c r="J375" t="s">
        <v>26</v>
      </c>
      <c r="K375">
        <v>37100</v>
      </c>
      <c r="L375">
        <v>19.3</v>
      </c>
      <c r="M375">
        <v>0</v>
      </c>
      <c r="N375">
        <v>20.759999999999998</v>
      </c>
      <c r="O375">
        <v>0.69999999999999929</v>
      </c>
      <c r="P375">
        <v>0</v>
      </c>
      <c r="Q375"/>
      <c r="R375">
        <v>40.76</v>
      </c>
      <c r="S375">
        <v>101.08999999999999</v>
      </c>
      <c r="T375">
        <v>1551.9693654266955</v>
      </c>
      <c r="U375">
        <v>1</v>
      </c>
      <c r="V375">
        <v>0.91400000000000003</v>
      </c>
      <c r="W375">
        <v>0.91400000000000003</v>
      </c>
      <c r="X375">
        <v>734.86282514070717</v>
      </c>
      <c r="Y375">
        <v>0</v>
      </c>
      <c r="Z375" s="16">
        <v>790.45348445186949</v>
      </c>
      <c r="AA375">
        <v>26.653055834118891</v>
      </c>
      <c r="AB375"/>
      <c r="AC375"/>
      <c r="AD375"/>
      <c r="AE375"/>
      <c r="AF375"/>
      <c r="AG375"/>
      <c r="AH375">
        <v>36.322000000000003</v>
      </c>
      <c r="AI375">
        <v>11.8</v>
      </c>
    </row>
    <row r="376" spans="1:35" s="19" customFormat="1" x14ac:dyDescent="0.25">
      <c r="A376">
        <v>2024</v>
      </c>
      <c r="B376">
        <v>1</v>
      </c>
      <c r="C376" t="s">
        <v>33</v>
      </c>
      <c r="D376" t="s">
        <v>38</v>
      </c>
      <c r="E376">
        <v>3</v>
      </c>
      <c r="F376">
        <v>63</v>
      </c>
      <c r="G376" s="12">
        <v>45489</v>
      </c>
      <c r="H376">
        <v>197</v>
      </c>
      <c r="I376"/>
      <c r="J376" t="s">
        <v>26</v>
      </c>
      <c r="K376">
        <v>37100</v>
      </c>
      <c r="L376">
        <v>19.099999999999998</v>
      </c>
      <c r="M376">
        <v>0</v>
      </c>
      <c r="N376">
        <v>23.959999999999994</v>
      </c>
      <c r="O376">
        <v>0</v>
      </c>
      <c r="P376">
        <v>0</v>
      </c>
      <c r="Q376"/>
      <c r="R376">
        <v>43.059999999999995</v>
      </c>
      <c r="S376">
        <v>184.08999999999997</v>
      </c>
      <c r="T376">
        <v>2485.2297592997807</v>
      </c>
      <c r="U376">
        <v>1</v>
      </c>
      <c r="V376">
        <v>0.91400000000000003</v>
      </c>
      <c r="W376">
        <v>0.91400000000000003</v>
      </c>
      <c r="X376">
        <v>1102.366196066554</v>
      </c>
      <c r="Y376">
        <v>0</v>
      </c>
      <c r="Z376" s="16">
        <v>1382.8635632332268</v>
      </c>
      <c r="AA376">
        <v>0</v>
      </c>
      <c r="AB376"/>
      <c r="AC376"/>
      <c r="AD376"/>
      <c r="AE376"/>
      <c r="AF376"/>
      <c r="AG376"/>
      <c r="AH376">
        <v>65.024000000000001</v>
      </c>
      <c r="AI376">
        <v>12.8</v>
      </c>
    </row>
    <row r="377" spans="1:35" s="19" customFormat="1" x14ac:dyDescent="0.25">
      <c r="A377">
        <v>2024</v>
      </c>
      <c r="B377">
        <v>1</v>
      </c>
      <c r="C377" t="s">
        <v>34</v>
      </c>
      <c r="D377" t="s">
        <v>38</v>
      </c>
      <c r="E377">
        <v>3</v>
      </c>
      <c r="F377">
        <v>64</v>
      </c>
      <c r="G377" s="12">
        <v>45489</v>
      </c>
      <c r="H377">
        <v>197</v>
      </c>
      <c r="I377"/>
      <c r="J377" t="s">
        <v>26</v>
      </c>
      <c r="K377">
        <v>37100</v>
      </c>
      <c r="L377">
        <v>31.900000000000006</v>
      </c>
      <c r="M377">
        <v>0.60000000000000142</v>
      </c>
      <c r="N377">
        <v>32.259999999999991</v>
      </c>
      <c r="O377">
        <v>0.10000000000000142</v>
      </c>
      <c r="P377">
        <v>0</v>
      </c>
      <c r="Q377"/>
      <c r="R377">
        <v>64.86</v>
      </c>
      <c r="S377">
        <v>71.589999999999989</v>
      </c>
      <c r="T377">
        <v>1492.8884026258202</v>
      </c>
      <c r="U377">
        <v>1</v>
      </c>
      <c r="V377">
        <v>0.91400000000000003</v>
      </c>
      <c r="W377">
        <v>0.91400000000000003</v>
      </c>
      <c r="X377">
        <v>734.24514406049445</v>
      </c>
      <c r="Y377">
        <v>13.810253493300868</v>
      </c>
      <c r="Z377" s="16">
        <v>742.53129615647458</v>
      </c>
      <c r="AA377">
        <v>2.3017089155501718</v>
      </c>
      <c r="AB377"/>
      <c r="AC377"/>
      <c r="AD377"/>
      <c r="AE377"/>
      <c r="AF377"/>
      <c r="AG377"/>
      <c r="AH377">
        <v>35.814</v>
      </c>
      <c r="AI377">
        <v>12.4</v>
      </c>
    </row>
    <row r="378" spans="1:35" s="19" customFormat="1" x14ac:dyDescent="0.25">
      <c r="A378">
        <v>2024</v>
      </c>
      <c r="B378">
        <v>1</v>
      </c>
      <c r="C378" t="s">
        <v>37</v>
      </c>
      <c r="D378" t="s">
        <v>38</v>
      </c>
      <c r="E378">
        <v>3</v>
      </c>
      <c r="F378">
        <v>65</v>
      </c>
      <c r="G378" s="12">
        <v>45489</v>
      </c>
      <c r="H378">
        <v>197</v>
      </c>
      <c r="I378"/>
      <c r="J378" t="s">
        <v>26</v>
      </c>
      <c r="K378">
        <v>37100</v>
      </c>
      <c r="L378">
        <v>32.099999999999994</v>
      </c>
      <c r="M378">
        <v>0.30000000000000071</v>
      </c>
      <c r="N378">
        <v>30.059999999999995</v>
      </c>
      <c r="O378">
        <v>0</v>
      </c>
      <c r="P378">
        <v>0</v>
      </c>
      <c r="Q378"/>
      <c r="R378">
        <v>62.459999999999994</v>
      </c>
      <c r="S378">
        <v>125.99</v>
      </c>
      <c r="T378">
        <v>2061.8161925601748</v>
      </c>
      <c r="U378">
        <v>1</v>
      </c>
      <c r="V378">
        <v>0.91400000000000003</v>
      </c>
      <c r="W378">
        <v>0.91400000000000003</v>
      </c>
      <c r="X378">
        <v>1059.6269577518669</v>
      </c>
      <c r="Y378">
        <v>9.9030556799240159</v>
      </c>
      <c r="Z378" s="16">
        <v>992.28617912838388</v>
      </c>
      <c r="AA378">
        <v>0</v>
      </c>
      <c r="AB378"/>
      <c r="AC378"/>
      <c r="AD378"/>
      <c r="AE378"/>
      <c r="AF378"/>
      <c r="AG378"/>
      <c r="AH378">
        <v>52.07</v>
      </c>
      <c r="AI378">
        <v>15.2</v>
      </c>
    </row>
    <row r="379" spans="1:35" s="19" customFormat="1" x14ac:dyDescent="0.25">
      <c r="A379">
        <v>2024</v>
      </c>
      <c r="B379">
        <v>1</v>
      </c>
      <c r="C379" t="s">
        <v>36</v>
      </c>
      <c r="D379" t="s">
        <v>38</v>
      </c>
      <c r="E379">
        <v>3</v>
      </c>
      <c r="F379">
        <v>66</v>
      </c>
      <c r="G379" s="12">
        <v>45489</v>
      </c>
      <c r="H379">
        <v>197</v>
      </c>
      <c r="I379"/>
      <c r="J379" t="s">
        <v>26</v>
      </c>
      <c r="K379">
        <v>37100</v>
      </c>
      <c r="L379">
        <v>36.700000000000003</v>
      </c>
      <c r="M379">
        <v>0</v>
      </c>
      <c r="N379">
        <v>37.459999999999994</v>
      </c>
      <c r="O379">
        <v>0</v>
      </c>
      <c r="P379">
        <v>0</v>
      </c>
      <c r="Q379"/>
      <c r="R379">
        <v>74.16</v>
      </c>
      <c r="S379">
        <v>106.79</v>
      </c>
      <c r="T379">
        <v>1979.7592997811817</v>
      </c>
      <c r="U379">
        <v>1</v>
      </c>
      <c r="V379">
        <v>0.91400000000000003</v>
      </c>
      <c r="W379">
        <v>0.91400000000000003</v>
      </c>
      <c r="X379">
        <v>979.73525218405291</v>
      </c>
      <c r="Y379">
        <v>0</v>
      </c>
      <c r="Z379" s="16">
        <v>1000.0240475971284</v>
      </c>
      <c r="AA379">
        <v>0</v>
      </c>
      <c r="AB379"/>
      <c r="AC379"/>
      <c r="AD379"/>
      <c r="AE379"/>
      <c r="AF379"/>
      <c r="AG379"/>
      <c r="AH379">
        <v>49.784000000000006</v>
      </c>
      <c r="AI379">
        <v>14.4</v>
      </c>
    </row>
    <row r="380" spans="1:35" s="19" customFormat="1" x14ac:dyDescent="0.25">
      <c r="A380">
        <v>2024</v>
      </c>
      <c r="B380">
        <v>1</v>
      </c>
      <c r="C380" t="s">
        <v>35</v>
      </c>
      <c r="D380" t="s">
        <v>38</v>
      </c>
      <c r="E380">
        <v>3</v>
      </c>
      <c r="F380">
        <v>67</v>
      </c>
      <c r="G380" s="12">
        <v>45489</v>
      </c>
      <c r="H380">
        <v>197</v>
      </c>
      <c r="I380"/>
      <c r="J380" t="s">
        <v>26</v>
      </c>
      <c r="K380">
        <v>37100</v>
      </c>
      <c r="L380">
        <v>20.2</v>
      </c>
      <c r="M380">
        <v>0</v>
      </c>
      <c r="N380">
        <v>23.659999999999997</v>
      </c>
      <c r="O380">
        <v>0</v>
      </c>
      <c r="P380">
        <v>0</v>
      </c>
      <c r="Q380"/>
      <c r="R380">
        <v>43.86</v>
      </c>
      <c r="S380">
        <v>115.39</v>
      </c>
      <c r="T380">
        <v>1742.3413566739605</v>
      </c>
      <c r="U380">
        <v>1</v>
      </c>
      <c r="V380">
        <v>0.91400000000000003</v>
      </c>
      <c r="W380">
        <v>0.91400000000000003</v>
      </c>
      <c r="X380">
        <v>802.44631565923396</v>
      </c>
      <c r="Y380">
        <v>0</v>
      </c>
      <c r="Z380" s="16">
        <v>939.89504101472653</v>
      </c>
      <c r="AA380">
        <v>0</v>
      </c>
      <c r="AB380"/>
      <c r="AC380"/>
      <c r="AD380"/>
      <c r="AE380"/>
      <c r="AF380"/>
      <c r="AG380"/>
      <c r="AH380">
        <v>56.134000000000007</v>
      </c>
      <c r="AI380">
        <v>13.2</v>
      </c>
    </row>
    <row r="381" spans="1:35" s="19" customFormat="1" x14ac:dyDescent="0.25">
      <c r="A381">
        <v>2024</v>
      </c>
      <c r="B381">
        <v>1</v>
      </c>
      <c r="C381" t="s">
        <v>28</v>
      </c>
      <c r="D381" t="s">
        <v>38</v>
      </c>
      <c r="E381">
        <v>3</v>
      </c>
      <c r="F381">
        <v>68</v>
      </c>
      <c r="G381" s="12">
        <v>45489</v>
      </c>
      <c r="H381">
        <v>197</v>
      </c>
      <c r="I381"/>
      <c r="J381" t="s">
        <v>26</v>
      </c>
      <c r="K381">
        <v>37100</v>
      </c>
      <c r="L381">
        <v>28.7</v>
      </c>
      <c r="M381">
        <v>0</v>
      </c>
      <c r="N381">
        <v>40.86</v>
      </c>
      <c r="O381">
        <v>0</v>
      </c>
      <c r="P381">
        <v>0</v>
      </c>
      <c r="Q381"/>
      <c r="R381">
        <v>69.56</v>
      </c>
      <c r="S381">
        <v>156.69</v>
      </c>
      <c r="T381">
        <v>2475.382932166302</v>
      </c>
      <c r="U381">
        <v>1</v>
      </c>
      <c r="V381">
        <v>0.91400000000000003</v>
      </c>
      <c r="W381">
        <v>0.91400000000000003</v>
      </c>
      <c r="X381">
        <v>1021.3267704596444</v>
      </c>
      <c r="Y381">
        <v>0</v>
      </c>
      <c r="Z381" s="16">
        <v>1454.0561617066576</v>
      </c>
      <c r="AA381">
        <v>0</v>
      </c>
      <c r="AB381"/>
      <c r="AC381"/>
      <c r="AD381"/>
      <c r="AE381"/>
      <c r="AF381"/>
      <c r="AG381"/>
      <c r="AH381">
        <v>52.324000000000005</v>
      </c>
      <c r="AI381">
        <v>12.8</v>
      </c>
    </row>
    <row r="382" spans="1:35" s="19" customFormat="1" x14ac:dyDescent="0.25">
      <c r="A382">
        <v>2024</v>
      </c>
      <c r="B382">
        <v>1</v>
      </c>
      <c r="C382" t="s">
        <v>29</v>
      </c>
      <c r="D382" t="s">
        <v>38</v>
      </c>
      <c r="E382">
        <v>3</v>
      </c>
      <c r="F382">
        <v>69</v>
      </c>
      <c r="G382" s="12">
        <v>45489</v>
      </c>
      <c r="H382">
        <v>197</v>
      </c>
      <c r="I382"/>
      <c r="J382" t="s">
        <v>26</v>
      </c>
      <c r="K382">
        <v>37100</v>
      </c>
      <c r="L382">
        <v>20.599999999999998</v>
      </c>
      <c r="M382">
        <v>0</v>
      </c>
      <c r="N382">
        <v>29.659999999999997</v>
      </c>
      <c r="O382">
        <v>0</v>
      </c>
      <c r="P382">
        <v>0</v>
      </c>
      <c r="Q382"/>
      <c r="R382">
        <v>50.259999999999991</v>
      </c>
      <c r="S382">
        <v>194.39</v>
      </c>
      <c r="T382">
        <v>2676.6958424507657</v>
      </c>
      <c r="U382">
        <v>1</v>
      </c>
      <c r="V382">
        <v>0.91400000000000003</v>
      </c>
      <c r="W382">
        <v>0.91400000000000003</v>
      </c>
      <c r="X382">
        <v>1097.0937993331829</v>
      </c>
      <c r="Y382">
        <v>0</v>
      </c>
      <c r="Z382" s="16">
        <v>1579.6020431175828</v>
      </c>
      <c r="AA382">
        <v>0</v>
      </c>
      <c r="AB382"/>
      <c r="AC382"/>
      <c r="AD382"/>
      <c r="AE382"/>
      <c r="AF382"/>
      <c r="AG382"/>
      <c r="AH382">
        <v>52.324000000000005</v>
      </c>
      <c r="AI382">
        <v>11.8</v>
      </c>
    </row>
    <row r="383" spans="1:35" s="19" customFormat="1" x14ac:dyDescent="0.25">
      <c r="A383">
        <v>2024</v>
      </c>
      <c r="B383">
        <v>1</v>
      </c>
      <c r="C383" t="s">
        <v>31</v>
      </c>
      <c r="D383" t="s">
        <v>38</v>
      </c>
      <c r="E383">
        <v>3</v>
      </c>
      <c r="F383">
        <v>70</v>
      </c>
      <c r="G383" s="12">
        <v>45489</v>
      </c>
      <c r="H383">
        <v>197</v>
      </c>
      <c r="I383"/>
      <c r="J383" t="s">
        <v>26</v>
      </c>
      <c r="K383">
        <v>37100</v>
      </c>
      <c r="L383">
        <v>24.000000000000004</v>
      </c>
      <c r="M383">
        <v>0</v>
      </c>
      <c r="N383">
        <v>24.559999999999995</v>
      </c>
      <c r="O383">
        <v>0</v>
      </c>
      <c r="P383">
        <v>0</v>
      </c>
      <c r="Q383"/>
      <c r="R383">
        <v>48.56</v>
      </c>
      <c r="S383">
        <v>100.29</v>
      </c>
      <c r="T383">
        <v>1628.5557986870897</v>
      </c>
      <c r="U383">
        <v>1</v>
      </c>
      <c r="V383">
        <v>0.91400000000000003</v>
      </c>
      <c r="W383">
        <v>0.91400000000000003</v>
      </c>
      <c r="X383">
        <v>804.88754465589295</v>
      </c>
      <c r="Y383">
        <v>0</v>
      </c>
      <c r="Z383" s="16">
        <v>823.66825403119674</v>
      </c>
      <c r="AA383">
        <v>0</v>
      </c>
      <c r="AB383"/>
      <c r="AC383"/>
      <c r="AD383"/>
      <c r="AE383"/>
      <c r="AF383"/>
      <c r="AG383"/>
      <c r="AH383">
        <v>38.353999999999999</v>
      </c>
      <c r="AI383">
        <v>13.2</v>
      </c>
    </row>
    <row r="384" spans="1:35" s="19" customFormat="1" x14ac:dyDescent="0.25">
      <c r="A384">
        <v>2024</v>
      </c>
      <c r="B384">
        <v>1</v>
      </c>
      <c r="C384" t="s">
        <v>30</v>
      </c>
      <c r="D384" t="s">
        <v>38</v>
      </c>
      <c r="E384">
        <v>3</v>
      </c>
      <c r="F384">
        <v>71</v>
      </c>
      <c r="G384" s="12">
        <v>45489</v>
      </c>
      <c r="H384">
        <v>197</v>
      </c>
      <c r="I384"/>
      <c r="J384" t="s">
        <v>26</v>
      </c>
      <c r="K384">
        <v>37100</v>
      </c>
      <c r="L384">
        <v>24.900000000000002</v>
      </c>
      <c r="M384">
        <v>0.10000000000000142</v>
      </c>
      <c r="N384">
        <v>31.560000000000006</v>
      </c>
      <c r="O384">
        <v>0.40000000000000213</v>
      </c>
      <c r="P384">
        <v>0</v>
      </c>
      <c r="Q384"/>
      <c r="R384">
        <v>56.960000000000015</v>
      </c>
      <c r="S384">
        <v>117.49</v>
      </c>
      <c r="T384">
        <v>1908.6433260393874</v>
      </c>
      <c r="U384">
        <v>1</v>
      </c>
      <c r="V384">
        <v>0.91400000000000003</v>
      </c>
      <c r="W384">
        <v>0.91400000000000003</v>
      </c>
      <c r="X384">
        <v>834.36128543505504</v>
      </c>
      <c r="Y384">
        <v>3.3508485358838027</v>
      </c>
      <c r="Z384" s="16">
        <v>1057.5277979249133</v>
      </c>
      <c r="AA384">
        <v>13.403394143535092</v>
      </c>
      <c r="AB384"/>
      <c r="AC384"/>
      <c r="AD384"/>
      <c r="AE384"/>
      <c r="AF384"/>
      <c r="AG384"/>
      <c r="AH384">
        <v>45.974000000000004</v>
      </c>
      <c r="AI384">
        <v>12.6</v>
      </c>
    </row>
    <row r="385" spans="1:35" s="20" customFormat="1" x14ac:dyDescent="0.25">
      <c r="A385">
        <v>2024</v>
      </c>
      <c r="B385">
        <v>1</v>
      </c>
      <c r="C385" s="49" t="s">
        <v>32</v>
      </c>
      <c r="D385" s="49" t="s">
        <v>38</v>
      </c>
      <c r="E385" s="49">
        <v>3</v>
      </c>
      <c r="F385" s="49">
        <v>72</v>
      </c>
      <c r="G385" s="13">
        <v>45489</v>
      </c>
      <c r="H385">
        <v>197</v>
      </c>
      <c r="I385" s="49"/>
      <c r="J385" t="s">
        <v>26</v>
      </c>
      <c r="K385">
        <v>37100</v>
      </c>
      <c r="L385">
        <v>20.099999999999998</v>
      </c>
      <c r="M385">
        <v>0</v>
      </c>
      <c r="N385">
        <v>22.159999999999997</v>
      </c>
      <c r="O385">
        <v>0</v>
      </c>
      <c r="P385" s="49">
        <v>0</v>
      </c>
      <c r="Q385" s="49"/>
      <c r="R385" s="49">
        <v>42.259999999999991</v>
      </c>
      <c r="S385" s="49">
        <v>111.99</v>
      </c>
      <c r="T385" s="49">
        <v>1687.636761487965</v>
      </c>
      <c r="U385">
        <v>1</v>
      </c>
      <c r="V385" s="49">
        <v>0.91400000000000003</v>
      </c>
      <c r="W385" s="49">
        <v>0.91400000000000003</v>
      </c>
      <c r="X385" s="49">
        <v>802.68572896138426</v>
      </c>
      <c r="Y385" s="49">
        <v>0</v>
      </c>
      <c r="Z385" s="53">
        <v>884.95103252658078</v>
      </c>
      <c r="AA385" s="49">
        <v>0</v>
      </c>
      <c r="AB385" s="49"/>
      <c r="AC385" s="49"/>
      <c r="AD385" s="49"/>
      <c r="AE385" s="49"/>
      <c r="AF385" s="49"/>
      <c r="AG385" s="49"/>
      <c r="AH385" s="49">
        <v>37.592000000000006</v>
      </c>
      <c r="AI385" s="49">
        <v>13</v>
      </c>
    </row>
    <row r="386" spans="1:35" s="19" customFormat="1" x14ac:dyDescent="0.25">
      <c r="A386">
        <v>2024</v>
      </c>
      <c r="B386">
        <v>1</v>
      </c>
      <c r="C386" t="s">
        <v>24</v>
      </c>
      <c r="D386" t="s">
        <v>25</v>
      </c>
      <c r="E386">
        <v>1</v>
      </c>
      <c r="F386">
        <v>1</v>
      </c>
      <c r="G386" s="12">
        <v>45483</v>
      </c>
      <c r="H386">
        <v>191</v>
      </c>
      <c r="I386"/>
      <c r="J386" t="s">
        <v>97</v>
      </c>
      <c r="K386">
        <v>37100</v>
      </c>
      <c r="L386">
        <v>30.000000000000004</v>
      </c>
      <c r="M386">
        <v>0</v>
      </c>
      <c r="N386">
        <v>32.86</v>
      </c>
      <c r="O386">
        <v>0</v>
      </c>
      <c r="P386">
        <v>0</v>
      </c>
      <c r="Q386"/>
      <c r="R386">
        <v>62.86</v>
      </c>
      <c r="S386">
        <v>128.99</v>
      </c>
      <c r="T386">
        <v>1988.0829015544045</v>
      </c>
      <c r="U386" s="19">
        <v>1</v>
      </c>
      <c r="V386" s="19">
        <v>0.96499999999999997</v>
      </c>
      <c r="W386" s="19">
        <f t="shared" ref="W386:W433" si="2">V386*U386</f>
        <v>0.96499999999999997</v>
      </c>
      <c r="X386">
        <v>948.81462053185078</v>
      </c>
      <c r="Y386"/>
      <c r="Z386">
        <v>1039.2682810225538</v>
      </c>
      <c r="AA386"/>
      <c r="AB386"/>
      <c r="AC386"/>
      <c r="AD386"/>
      <c r="AE386"/>
      <c r="AF386"/>
      <c r="AG386"/>
      <c r="AH386">
        <v>0</v>
      </c>
      <c r="AI386">
        <v>12.8</v>
      </c>
    </row>
    <row r="387" spans="1:35" s="19" customFormat="1" x14ac:dyDescent="0.25">
      <c r="A387">
        <v>2024</v>
      </c>
      <c r="B387">
        <v>1</v>
      </c>
      <c r="C387" t="s">
        <v>27</v>
      </c>
      <c r="D387" t="s">
        <v>25</v>
      </c>
      <c r="E387">
        <v>1</v>
      </c>
      <c r="F387">
        <v>2</v>
      </c>
      <c r="G387" s="12">
        <v>45483</v>
      </c>
      <c r="H387">
        <v>191</v>
      </c>
      <c r="I387"/>
      <c r="J387" t="s">
        <v>97</v>
      </c>
      <c r="K387">
        <v>37100</v>
      </c>
      <c r="L387">
        <v>16.400000000000002</v>
      </c>
      <c r="M387">
        <v>0</v>
      </c>
      <c r="N387">
        <v>18.659999999999997</v>
      </c>
      <c r="O387">
        <v>0</v>
      </c>
      <c r="P387">
        <v>0</v>
      </c>
      <c r="Q387"/>
      <c r="R387">
        <v>35.059999999999995</v>
      </c>
      <c r="S387">
        <v>173.49</v>
      </c>
      <c r="T387">
        <v>2161.1398963730571</v>
      </c>
      <c r="U387" s="19">
        <v>1</v>
      </c>
      <c r="V387" s="19">
        <v>0.96499999999999997</v>
      </c>
      <c r="W387" s="19">
        <f t="shared" si="2"/>
        <v>0.96499999999999997</v>
      </c>
      <c r="X387">
        <v>1010.9154107392511</v>
      </c>
      <c r="Y387"/>
      <c r="Z387">
        <v>1150.2244856338061</v>
      </c>
      <c r="AA387"/>
      <c r="AB387"/>
      <c r="AC387"/>
      <c r="AD387"/>
      <c r="AE387"/>
      <c r="AF387"/>
      <c r="AG387"/>
      <c r="AH387">
        <v>41.655999999999999</v>
      </c>
      <c r="AI387">
        <v>12</v>
      </c>
    </row>
    <row r="388" spans="1:35" s="19" customFormat="1" x14ac:dyDescent="0.25">
      <c r="A388">
        <v>2024</v>
      </c>
      <c r="B388">
        <v>1</v>
      </c>
      <c r="C388" t="s">
        <v>28</v>
      </c>
      <c r="D388" t="s">
        <v>25</v>
      </c>
      <c r="E388">
        <v>1</v>
      </c>
      <c r="F388">
        <v>3</v>
      </c>
      <c r="G388" s="12">
        <v>45483</v>
      </c>
      <c r="H388">
        <v>191</v>
      </c>
      <c r="I388"/>
      <c r="J388" t="s">
        <v>97</v>
      </c>
      <c r="K388">
        <v>37100</v>
      </c>
      <c r="L388">
        <v>17.400000000000002</v>
      </c>
      <c r="M388">
        <v>0</v>
      </c>
      <c r="N388">
        <v>16.559999999999995</v>
      </c>
      <c r="O388">
        <v>0</v>
      </c>
      <c r="P388">
        <v>0</v>
      </c>
      <c r="Q388"/>
      <c r="R388">
        <v>33.959999999999994</v>
      </c>
      <c r="S388">
        <v>89.190000000000012</v>
      </c>
      <c r="T388">
        <v>1276.1658031088084</v>
      </c>
      <c r="U388" s="19">
        <v>1</v>
      </c>
      <c r="V388" s="19">
        <v>0.96499999999999997</v>
      </c>
      <c r="W388" s="19">
        <f t="shared" si="2"/>
        <v>0.96499999999999997</v>
      </c>
      <c r="X388">
        <v>653.86587085080305</v>
      </c>
      <c r="Y388"/>
      <c r="Z388">
        <v>622.29993225800536</v>
      </c>
      <c r="AA388"/>
      <c r="AB388"/>
      <c r="AC388"/>
      <c r="AD388"/>
      <c r="AE388"/>
      <c r="AF388"/>
      <c r="AG388"/>
      <c r="AH388">
        <v>30.226000000000003</v>
      </c>
      <c r="AI388">
        <v>11.8</v>
      </c>
    </row>
    <row r="389" spans="1:35" s="19" customFormat="1" x14ac:dyDescent="0.25">
      <c r="A389">
        <v>2024</v>
      </c>
      <c r="B389">
        <v>1</v>
      </c>
      <c r="C389" t="s">
        <v>29</v>
      </c>
      <c r="D389" t="s">
        <v>25</v>
      </c>
      <c r="E389">
        <v>1</v>
      </c>
      <c r="F389">
        <v>4</v>
      </c>
      <c r="G389" s="12">
        <v>45483</v>
      </c>
      <c r="H389">
        <v>191</v>
      </c>
      <c r="I389"/>
      <c r="J389" t="s">
        <v>97</v>
      </c>
      <c r="K389">
        <v>37100</v>
      </c>
      <c r="L389">
        <v>21.8</v>
      </c>
      <c r="M389">
        <v>0</v>
      </c>
      <c r="N389">
        <v>25.159999999999997</v>
      </c>
      <c r="O389">
        <v>0</v>
      </c>
      <c r="P389">
        <v>0</v>
      </c>
      <c r="Q389"/>
      <c r="R389">
        <v>46.959999999999994</v>
      </c>
      <c r="S389">
        <v>101.69000000000001</v>
      </c>
      <c r="T389">
        <v>1540.4145077720207</v>
      </c>
      <c r="U389" s="19">
        <v>1</v>
      </c>
      <c r="V389" s="19">
        <v>0.96499999999999997</v>
      </c>
      <c r="W389" s="19">
        <f t="shared" si="2"/>
        <v>0.96499999999999997</v>
      </c>
      <c r="X389">
        <v>715.09872805430268</v>
      </c>
      <c r="Y389"/>
      <c r="Z389">
        <v>825.31577971771799</v>
      </c>
      <c r="AA389"/>
      <c r="AB389"/>
      <c r="AC389"/>
      <c r="AD389"/>
      <c r="AE389"/>
      <c r="AF389"/>
      <c r="AG389"/>
      <c r="AH389">
        <v>48.514000000000003</v>
      </c>
      <c r="AI389">
        <v>14.8</v>
      </c>
    </row>
    <row r="390" spans="1:35" s="19" customFormat="1" x14ac:dyDescent="0.25">
      <c r="A390">
        <v>2024</v>
      </c>
      <c r="B390">
        <v>1</v>
      </c>
      <c r="C390" t="s">
        <v>30</v>
      </c>
      <c r="D390" t="s">
        <v>25</v>
      </c>
      <c r="E390">
        <v>1</v>
      </c>
      <c r="F390">
        <v>5</v>
      </c>
      <c r="G390" s="12">
        <v>45483</v>
      </c>
      <c r="H390">
        <v>191</v>
      </c>
      <c r="I390"/>
      <c r="J390" t="s">
        <v>97</v>
      </c>
      <c r="K390">
        <v>37100</v>
      </c>
      <c r="L390">
        <v>24.000000000000004</v>
      </c>
      <c r="M390">
        <v>0</v>
      </c>
      <c r="N390">
        <v>27.059999999999995</v>
      </c>
      <c r="O390">
        <v>0</v>
      </c>
      <c r="P390">
        <v>0</v>
      </c>
      <c r="Q390"/>
      <c r="R390">
        <v>51.059999999999995</v>
      </c>
      <c r="S390">
        <v>112.08999999999999</v>
      </c>
      <c r="T390">
        <v>1690.6735751295337</v>
      </c>
      <c r="U390" s="19">
        <v>1</v>
      </c>
      <c r="V390" s="19">
        <v>0.96499999999999997</v>
      </c>
      <c r="W390" s="19">
        <f t="shared" si="2"/>
        <v>0.96499999999999997</v>
      </c>
      <c r="X390">
        <v>794.67618102445783</v>
      </c>
      <c r="Y390"/>
      <c r="Z390">
        <v>895.99739410507584</v>
      </c>
      <c r="AA390"/>
      <c r="AB390"/>
      <c r="AC390"/>
      <c r="AD390"/>
      <c r="AE390"/>
      <c r="AF390"/>
      <c r="AG390"/>
      <c r="AH390">
        <v>42.164000000000001</v>
      </c>
      <c r="AI390">
        <v>12.6</v>
      </c>
    </row>
    <row r="391" spans="1:35" s="19" customFormat="1" x14ac:dyDescent="0.25">
      <c r="A391">
        <v>2024</v>
      </c>
      <c r="B391">
        <v>1</v>
      </c>
      <c r="C391" t="s">
        <v>31</v>
      </c>
      <c r="D391" t="s">
        <v>25</v>
      </c>
      <c r="E391">
        <v>1</v>
      </c>
      <c r="F391">
        <v>6</v>
      </c>
      <c r="G391" s="12">
        <v>45483</v>
      </c>
      <c r="H391">
        <v>191</v>
      </c>
      <c r="I391"/>
      <c r="J391" t="s">
        <v>97</v>
      </c>
      <c r="K391">
        <v>37100</v>
      </c>
      <c r="L391">
        <v>19.000000000000004</v>
      </c>
      <c r="M391">
        <v>0</v>
      </c>
      <c r="N391">
        <v>20.36</v>
      </c>
      <c r="O391">
        <v>0</v>
      </c>
      <c r="P391">
        <v>0</v>
      </c>
      <c r="Q391"/>
      <c r="R391">
        <v>39.360000000000007</v>
      </c>
      <c r="S391">
        <v>87.690000000000012</v>
      </c>
      <c r="T391">
        <v>1316.5803108808293</v>
      </c>
      <c r="U391" s="19">
        <v>1</v>
      </c>
      <c r="V391" s="19">
        <v>0.96499999999999997</v>
      </c>
      <c r="W391" s="19">
        <f t="shared" si="2"/>
        <v>0.96499999999999997</v>
      </c>
      <c r="X391">
        <v>635.54435738657924</v>
      </c>
      <c r="Y391"/>
      <c r="Z391">
        <v>681.03595349425007</v>
      </c>
      <c r="AA391"/>
      <c r="AB391"/>
      <c r="AC391"/>
      <c r="AD391"/>
      <c r="AE391"/>
      <c r="AF391"/>
      <c r="AG391"/>
      <c r="AH391">
        <v>38.1</v>
      </c>
      <c r="AI391">
        <v>12</v>
      </c>
    </row>
    <row r="392" spans="1:35" s="19" customFormat="1" x14ac:dyDescent="0.25">
      <c r="A392">
        <v>2024</v>
      </c>
      <c r="B392">
        <v>1</v>
      </c>
      <c r="C392" t="s">
        <v>32</v>
      </c>
      <c r="D392" t="s">
        <v>25</v>
      </c>
      <c r="E392">
        <v>1</v>
      </c>
      <c r="F392">
        <v>7</v>
      </c>
      <c r="G392" s="12">
        <v>45483</v>
      </c>
      <c r="H392">
        <v>191</v>
      </c>
      <c r="I392"/>
      <c r="J392" t="s">
        <v>97</v>
      </c>
      <c r="K392">
        <v>37100</v>
      </c>
      <c r="L392">
        <v>15.099999999999998</v>
      </c>
      <c r="M392">
        <v>0</v>
      </c>
      <c r="N392">
        <v>15.259999999999998</v>
      </c>
      <c r="O392">
        <v>0</v>
      </c>
      <c r="P392">
        <v>0</v>
      </c>
      <c r="Q392"/>
      <c r="R392">
        <v>30.359999999999996</v>
      </c>
      <c r="S392">
        <v>139.58999999999997</v>
      </c>
      <c r="T392">
        <v>1761.1398963730567</v>
      </c>
      <c r="U392" s="19">
        <v>1</v>
      </c>
      <c r="V392" s="19">
        <v>0.96499999999999997</v>
      </c>
      <c r="W392" s="19">
        <f t="shared" si="2"/>
        <v>0.96499999999999997</v>
      </c>
      <c r="X392">
        <v>875.92926334760057</v>
      </c>
      <c r="Y392"/>
      <c r="Z392">
        <v>885.2106330254561</v>
      </c>
      <c r="AA392"/>
      <c r="AB392"/>
      <c r="AC392"/>
      <c r="AD392"/>
      <c r="AE392"/>
      <c r="AF392"/>
      <c r="AG392"/>
      <c r="AH392">
        <v>40.64</v>
      </c>
      <c r="AI392">
        <v>13.8</v>
      </c>
    </row>
    <row r="393" spans="1:35" s="19" customFormat="1" x14ac:dyDescent="0.25">
      <c r="A393">
        <v>2024</v>
      </c>
      <c r="B393">
        <v>1</v>
      </c>
      <c r="C393" t="s">
        <v>33</v>
      </c>
      <c r="D393" t="s">
        <v>25</v>
      </c>
      <c r="E393">
        <v>1</v>
      </c>
      <c r="F393">
        <v>8</v>
      </c>
      <c r="G393" s="12">
        <v>45483</v>
      </c>
      <c r="H393">
        <v>191</v>
      </c>
      <c r="I393"/>
      <c r="J393" t="s">
        <v>97</v>
      </c>
      <c r="K393">
        <v>37100</v>
      </c>
      <c r="L393">
        <v>25.400000000000002</v>
      </c>
      <c r="M393">
        <v>0</v>
      </c>
      <c r="N393">
        <v>28.759999999999998</v>
      </c>
      <c r="O393">
        <v>0</v>
      </c>
      <c r="P393">
        <v>0</v>
      </c>
      <c r="Q393"/>
      <c r="R393">
        <v>54.16</v>
      </c>
      <c r="S393">
        <v>111.49</v>
      </c>
      <c r="T393">
        <v>1716.5803108808291</v>
      </c>
      <c r="U393" s="19">
        <v>1</v>
      </c>
      <c r="V393" s="19">
        <v>0.96499999999999997</v>
      </c>
      <c r="W393" s="19">
        <f t="shared" si="2"/>
        <v>0.96499999999999997</v>
      </c>
      <c r="X393">
        <v>805.04320340422942</v>
      </c>
      <c r="Y393"/>
      <c r="Z393">
        <v>911.53710747659966</v>
      </c>
      <c r="AA393"/>
      <c r="AB393"/>
      <c r="AC393"/>
      <c r="AD393"/>
      <c r="AE393"/>
      <c r="AF393"/>
      <c r="AG393"/>
      <c r="AH393">
        <v>57.658000000000001</v>
      </c>
      <c r="AI393">
        <v>14.4</v>
      </c>
    </row>
    <row r="394" spans="1:35" s="19" customFormat="1" x14ac:dyDescent="0.25">
      <c r="A394">
        <v>2024</v>
      </c>
      <c r="B394">
        <v>1</v>
      </c>
      <c r="C394" t="s">
        <v>27</v>
      </c>
      <c r="D394" t="s">
        <v>25</v>
      </c>
      <c r="E394">
        <v>2</v>
      </c>
      <c r="F394">
        <v>9</v>
      </c>
      <c r="G394" s="12">
        <v>45483</v>
      </c>
      <c r="H394">
        <v>191</v>
      </c>
      <c r="I394"/>
      <c r="J394" t="s">
        <v>97</v>
      </c>
      <c r="K394">
        <v>37100</v>
      </c>
      <c r="L394">
        <v>20.400000000000002</v>
      </c>
      <c r="M394">
        <v>0</v>
      </c>
      <c r="N394">
        <v>23.159999999999997</v>
      </c>
      <c r="O394">
        <v>0</v>
      </c>
      <c r="P394">
        <v>0</v>
      </c>
      <c r="Q394"/>
      <c r="R394">
        <v>43.56</v>
      </c>
      <c r="S394">
        <v>232.28999999999996</v>
      </c>
      <c r="T394">
        <v>2858.5492227979275</v>
      </c>
      <c r="U394" s="19">
        <v>1</v>
      </c>
      <c r="V394" s="19">
        <v>0.96499999999999997</v>
      </c>
      <c r="W394" s="19">
        <f t="shared" si="2"/>
        <v>0.96499999999999997</v>
      </c>
      <c r="X394">
        <v>1338.7145120541259</v>
      </c>
      <c r="Y394"/>
      <c r="Z394">
        <v>1519.8347107438015</v>
      </c>
      <c r="AA394"/>
      <c r="AB394"/>
      <c r="AC394"/>
      <c r="AD394"/>
      <c r="AE394"/>
      <c r="AF394"/>
      <c r="AG394"/>
      <c r="AH394">
        <v>41.910000000000004</v>
      </c>
      <c r="AI394">
        <v>12.2</v>
      </c>
    </row>
    <row r="395" spans="1:35" s="19" customFormat="1" x14ac:dyDescent="0.25">
      <c r="A395">
        <v>2024</v>
      </c>
      <c r="B395">
        <v>1</v>
      </c>
      <c r="C395" t="s">
        <v>33</v>
      </c>
      <c r="D395" t="s">
        <v>25</v>
      </c>
      <c r="E395">
        <v>2</v>
      </c>
      <c r="F395">
        <v>10</v>
      </c>
      <c r="G395" s="12">
        <v>45483</v>
      </c>
      <c r="H395">
        <v>191</v>
      </c>
      <c r="I395"/>
      <c r="J395" t="s">
        <v>97</v>
      </c>
      <c r="K395">
        <v>37100</v>
      </c>
      <c r="L395">
        <v>27.599999999999998</v>
      </c>
      <c r="M395">
        <v>0</v>
      </c>
      <c r="N395">
        <v>31.86</v>
      </c>
      <c r="O395">
        <v>0</v>
      </c>
      <c r="P395">
        <v>0</v>
      </c>
      <c r="Q395"/>
      <c r="R395">
        <v>59.46</v>
      </c>
      <c r="S395">
        <v>125.49</v>
      </c>
      <c r="T395">
        <v>1916.5803108808291</v>
      </c>
      <c r="U395" s="19">
        <v>1</v>
      </c>
      <c r="V395" s="19">
        <v>0.96499999999999997</v>
      </c>
      <c r="W395" s="19">
        <f t="shared" si="2"/>
        <v>0.96499999999999997</v>
      </c>
      <c r="X395">
        <v>889.63364581753922</v>
      </c>
      <c r="Y395"/>
      <c r="Z395">
        <v>1026.9466650632899</v>
      </c>
      <c r="AA395"/>
      <c r="AB395"/>
      <c r="AC395"/>
      <c r="AD395"/>
      <c r="AE395"/>
      <c r="AF395"/>
      <c r="AG395"/>
      <c r="AH395">
        <v>53.594000000000001</v>
      </c>
      <c r="AI395">
        <v>13.2</v>
      </c>
    </row>
    <row r="396" spans="1:35" s="19" customFormat="1" x14ac:dyDescent="0.25">
      <c r="A396">
        <v>2024</v>
      </c>
      <c r="B396">
        <v>1</v>
      </c>
      <c r="C396" t="s">
        <v>32</v>
      </c>
      <c r="D396" t="s">
        <v>25</v>
      </c>
      <c r="E396">
        <v>2</v>
      </c>
      <c r="F396">
        <v>11</v>
      </c>
      <c r="G396" s="12">
        <v>45483</v>
      </c>
      <c r="H396">
        <v>191</v>
      </c>
      <c r="I396"/>
      <c r="J396" t="s">
        <v>97</v>
      </c>
      <c r="K396">
        <v>37100</v>
      </c>
      <c r="L396">
        <v>20.400000000000002</v>
      </c>
      <c r="M396">
        <v>0</v>
      </c>
      <c r="N396">
        <v>21.659999999999997</v>
      </c>
      <c r="O396">
        <v>0</v>
      </c>
      <c r="P396">
        <v>0</v>
      </c>
      <c r="Q396"/>
      <c r="R396">
        <v>42.06</v>
      </c>
      <c r="S396">
        <v>165.49</v>
      </c>
      <c r="T396">
        <v>2150.7772020725388</v>
      </c>
      <c r="U396" s="19">
        <v>1</v>
      </c>
      <c r="V396" s="19">
        <v>0.96499999999999997</v>
      </c>
      <c r="W396" s="19">
        <f t="shared" si="2"/>
        <v>0.96499999999999997</v>
      </c>
      <c r="X396">
        <v>1043.1729653418877</v>
      </c>
      <c r="Y396"/>
      <c r="Z396">
        <v>1107.6042367306511</v>
      </c>
      <c r="AA396"/>
      <c r="AB396"/>
      <c r="AC396"/>
      <c r="AD396"/>
      <c r="AE396"/>
      <c r="AF396"/>
      <c r="AG396"/>
      <c r="AH396">
        <v>40.894000000000005</v>
      </c>
      <c r="AI396">
        <v>11.6</v>
      </c>
    </row>
    <row r="397" spans="1:35" s="19" customFormat="1" x14ac:dyDescent="0.25">
      <c r="A397">
        <v>2024</v>
      </c>
      <c r="B397">
        <v>1</v>
      </c>
      <c r="C397" t="s">
        <v>28</v>
      </c>
      <c r="D397" t="s">
        <v>25</v>
      </c>
      <c r="E397">
        <v>2</v>
      </c>
      <c r="F397">
        <v>12</v>
      </c>
      <c r="G397" s="12">
        <v>45483</v>
      </c>
      <c r="H397">
        <v>191</v>
      </c>
      <c r="I397"/>
      <c r="J397" t="s">
        <v>97</v>
      </c>
      <c r="K397">
        <v>37100</v>
      </c>
      <c r="L397">
        <v>23.3</v>
      </c>
      <c r="M397">
        <v>0</v>
      </c>
      <c r="N397">
        <v>25.659999999999997</v>
      </c>
      <c r="O397">
        <v>0</v>
      </c>
      <c r="P397">
        <v>0</v>
      </c>
      <c r="Q397"/>
      <c r="R397">
        <v>49.36</v>
      </c>
      <c r="S397">
        <v>74.589999999999989</v>
      </c>
      <c r="T397">
        <v>1284.4559585492229</v>
      </c>
      <c r="U397" s="19">
        <v>1</v>
      </c>
      <c r="V397" s="19">
        <v>0.96499999999999997</v>
      </c>
      <c r="W397" s="19">
        <f t="shared" si="2"/>
        <v>0.96499999999999997</v>
      </c>
      <c r="X397">
        <v>606.31733861825148</v>
      </c>
      <c r="Y397"/>
      <c r="Z397">
        <v>667.72973858130183</v>
      </c>
      <c r="AA397"/>
      <c r="AB397"/>
      <c r="AC397"/>
      <c r="AD397"/>
      <c r="AE397"/>
      <c r="AF397"/>
      <c r="AG397"/>
      <c r="AH397">
        <v>38.862000000000002</v>
      </c>
      <c r="AI397">
        <v>14.4</v>
      </c>
    </row>
    <row r="398" spans="1:35" s="19" customFormat="1" x14ac:dyDescent="0.25">
      <c r="A398">
        <v>2024</v>
      </c>
      <c r="B398">
        <v>1</v>
      </c>
      <c r="C398" t="s">
        <v>31</v>
      </c>
      <c r="D398" t="s">
        <v>25</v>
      </c>
      <c r="E398">
        <v>2</v>
      </c>
      <c r="F398">
        <v>13</v>
      </c>
      <c r="G398" s="12">
        <v>45483</v>
      </c>
      <c r="H398">
        <v>191</v>
      </c>
      <c r="I398"/>
      <c r="J398" t="s">
        <v>97</v>
      </c>
      <c r="K398">
        <v>37100</v>
      </c>
      <c r="L398">
        <v>17.400000000000002</v>
      </c>
      <c r="M398">
        <v>0</v>
      </c>
      <c r="N398">
        <v>19.36</v>
      </c>
      <c r="O398">
        <v>0</v>
      </c>
      <c r="P398">
        <v>0</v>
      </c>
      <c r="Q398"/>
      <c r="R398">
        <v>36.76</v>
      </c>
      <c r="S398">
        <v>114.39</v>
      </c>
      <c r="T398">
        <v>1566.3212435233161</v>
      </c>
      <c r="U398" s="19">
        <v>1</v>
      </c>
      <c r="V398" s="19">
        <v>0.96499999999999997</v>
      </c>
      <c r="W398" s="19">
        <f t="shared" si="2"/>
        <v>0.96499999999999997</v>
      </c>
      <c r="X398">
        <v>741.40341777218998</v>
      </c>
      <c r="Y398"/>
      <c r="Z398">
        <v>824.91782575112609</v>
      </c>
      <c r="AA398"/>
      <c r="AB398"/>
      <c r="AC398"/>
      <c r="AD398"/>
      <c r="AE398"/>
      <c r="AF398"/>
      <c r="AG398"/>
      <c r="AH398">
        <v>40.132000000000005</v>
      </c>
      <c r="AI398">
        <v>13.6</v>
      </c>
    </row>
    <row r="399" spans="1:35" s="19" customFormat="1" x14ac:dyDescent="0.25">
      <c r="A399">
        <v>2024</v>
      </c>
      <c r="B399">
        <v>1</v>
      </c>
      <c r="C399" t="s">
        <v>24</v>
      </c>
      <c r="D399" t="s">
        <v>25</v>
      </c>
      <c r="E399">
        <v>2</v>
      </c>
      <c r="F399">
        <v>14</v>
      </c>
      <c r="G399" s="12">
        <v>45483</v>
      </c>
      <c r="H399">
        <v>191</v>
      </c>
      <c r="I399"/>
      <c r="J399" t="s">
        <v>97</v>
      </c>
      <c r="K399">
        <v>37100</v>
      </c>
      <c r="L399">
        <v>19.000000000000004</v>
      </c>
      <c r="M399">
        <v>0</v>
      </c>
      <c r="N399">
        <v>20.259999999999998</v>
      </c>
      <c r="O399">
        <v>0</v>
      </c>
      <c r="P399">
        <v>0</v>
      </c>
      <c r="Q399"/>
      <c r="R399">
        <v>39.260000000000005</v>
      </c>
      <c r="S399">
        <v>111.39</v>
      </c>
      <c r="T399">
        <v>1561.1398963730571</v>
      </c>
      <c r="U399" s="19">
        <v>1</v>
      </c>
      <c r="V399" s="19">
        <v>0.96499999999999997</v>
      </c>
      <c r="W399" s="19">
        <f t="shared" si="2"/>
        <v>0.96499999999999997</v>
      </c>
      <c r="X399">
        <v>755.5185438382091</v>
      </c>
      <c r="Y399"/>
      <c r="Z399">
        <v>805.62135253484792</v>
      </c>
      <c r="AA399"/>
      <c r="AB399"/>
      <c r="AC399"/>
      <c r="AD399"/>
      <c r="AE399"/>
      <c r="AF399"/>
      <c r="AG399"/>
      <c r="AH399">
        <v>39.624000000000002</v>
      </c>
      <c r="AI399">
        <v>13.6</v>
      </c>
    </row>
    <row r="400" spans="1:35" s="19" customFormat="1" x14ac:dyDescent="0.25">
      <c r="A400">
        <v>2024</v>
      </c>
      <c r="B400">
        <v>1</v>
      </c>
      <c r="C400" t="s">
        <v>30</v>
      </c>
      <c r="D400" t="s">
        <v>25</v>
      </c>
      <c r="E400">
        <v>2</v>
      </c>
      <c r="F400">
        <v>15</v>
      </c>
      <c r="G400" s="12">
        <v>45483</v>
      </c>
      <c r="H400">
        <v>191</v>
      </c>
      <c r="I400"/>
      <c r="J400" t="s">
        <v>97</v>
      </c>
      <c r="K400">
        <v>37100</v>
      </c>
      <c r="L400">
        <v>26.400000000000002</v>
      </c>
      <c r="M400">
        <v>0</v>
      </c>
      <c r="N400">
        <v>29.259999999999998</v>
      </c>
      <c r="O400">
        <v>0</v>
      </c>
      <c r="P400">
        <v>0</v>
      </c>
      <c r="Q400"/>
      <c r="R400">
        <v>55.660000000000004</v>
      </c>
      <c r="S400">
        <v>67.089999999999989</v>
      </c>
      <c r="T400">
        <v>1272.0207253886008</v>
      </c>
      <c r="U400" s="19">
        <v>1</v>
      </c>
      <c r="V400" s="19">
        <v>0.96499999999999997</v>
      </c>
      <c r="W400" s="19">
        <f t="shared" si="2"/>
        <v>0.96499999999999997</v>
      </c>
      <c r="X400">
        <v>603.32998832660917</v>
      </c>
      <c r="Y400"/>
      <c r="Z400">
        <v>668.69073706199163</v>
      </c>
      <c r="AA400"/>
      <c r="AB400"/>
      <c r="AC400"/>
      <c r="AD400"/>
      <c r="AE400"/>
      <c r="AF400"/>
      <c r="AG400"/>
      <c r="AH400">
        <v>44.704000000000008</v>
      </c>
      <c r="AI400">
        <v>14</v>
      </c>
    </row>
    <row r="401" spans="1:35" s="19" customFormat="1" x14ac:dyDescent="0.25">
      <c r="A401">
        <v>2024</v>
      </c>
      <c r="B401">
        <v>1</v>
      </c>
      <c r="C401" t="s">
        <v>29</v>
      </c>
      <c r="D401" t="s">
        <v>25</v>
      </c>
      <c r="E401">
        <v>2</v>
      </c>
      <c r="F401">
        <v>16</v>
      </c>
      <c r="G401" s="12">
        <v>45483</v>
      </c>
      <c r="H401">
        <v>191</v>
      </c>
      <c r="I401"/>
      <c r="J401" t="s">
        <v>97</v>
      </c>
      <c r="K401">
        <v>37100</v>
      </c>
      <c r="L401">
        <v>16.900000000000002</v>
      </c>
      <c r="M401">
        <v>0</v>
      </c>
      <c r="N401">
        <v>18.659999999999997</v>
      </c>
      <c r="O401">
        <v>0</v>
      </c>
      <c r="P401">
        <v>0</v>
      </c>
      <c r="Q401"/>
      <c r="R401">
        <v>35.559999999999995</v>
      </c>
      <c r="S401">
        <v>72.989999999999995</v>
      </c>
      <c r="T401">
        <v>1124.8704663212436</v>
      </c>
      <c r="U401" s="19">
        <v>1</v>
      </c>
      <c r="V401" s="19">
        <v>0.96499999999999997</v>
      </c>
      <c r="W401" s="19">
        <f t="shared" si="2"/>
        <v>0.96499999999999997</v>
      </c>
      <c r="X401">
        <v>534.59816875222225</v>
      </c>
      <c r="Y401"/>
      <c r="Z401">
        <v>590.27229756902148</v>
      </c>
      <c r="AA401"/>
      <c r="AB401"/>
      <c r="AC401"/>
      <c r="AD401"/>
      <c r="AE401"/>
      <c r="AF401"/>
      <c r="AG401"/>
      <c r="AH401">
        <v>37.592000000000006</v>
      </c>
      <c r="AI401">
        <v>10.8</v>
      </c>
    </row>
    <row r="402" spans="1:35" s="19" customFormat="1" x14ac:dyDescent="0.25">
      <c r="A402">
        <v>2024</v>
      </c>
      <c r="B402">
        <v>1</v>
      </c>
      <c r="C402" t="s">
        <v>33</v>
      </c>
      <c r="D402" t="s">
        <v>25</v>
      </c>
      <c r="E402">
        <v>3</v>
      </c>
      <c r="F402">
        <v>17</v>
      </c>
      <c r="G402" s="12">
        <v>45483</v>
      </c>
      <c r="H402">
        <v>191</v>
      </c>
      <c r="I402"/>
      <c r="J402" t="s">
        <v>97</v>
      </c>
      <c r="K402">
        <v>37100</v>
      </c>
      <c r="L402">
        <v>19.400000000000002</v>
      </c>
      <c r="M402">
        <v>0</v>
      </c>
      <c r="N402">
        <v>23.059999999999995</v>
      </c>
      <c r="O402">
        <v>0</v>
      </c>
      <c r="P402">
        <v>0</v>
      </c>
      <c r="Q402"/>
      <c r="R402">
        <v>42.46</v>
      </c>
      <c r="S402">
        <v>92.29</v>
      </c>
      <c r="T402">
        <v>1396.3730569948186</v>
      </c>
      <c r="U402" s="19">
        <v>1</v>
      </c>
      <c r="V402" s="19">
        <v>0.96499999999999997</v>
      </c>
      <c r="W402" s="19">
        <f t="shared" si="2"/>
        <v>0.96499999999999997</v>
      </c>
      <c r="X402">
        <v>638.00370479744436</v>
      </c>
      <c r="Y402"/>
      <c r="Z402">
        <v>758.36935219737427</v>
      </c>
      <c r="AA402"/>
      <c r="AB402"/>
      <c r="AC402"/>
      <c r="AD402"/>
      <c r="AE402"/>
      <c r="AF402"/>
      <c r="AG402"/>
      <c r="AH402">
        <v>53.085999999999999</v>
      </c>
      <c r="AI402">
        <v>13.2</v>
      </c>
    </row>
    <row r="403" spans="1:35" s="19" customFormat="1" x14ac:dyDescent="0.25">
      <c r="A403">
        <v>2024</v>
      </c>
      <c r="B403">
        <v>1</v>
      </c>
      <c r="C403" t="s">
        <v>27</v>
      </c>
      <c r="D403" t="s">
        <v>25</v>
      </c>
      <c r="E403">
        <v>3</v>
      </c>
      <c r="F403">
        <v>18</v>
      </c>
      <c r="G403" s="12">
        <v>45483</v>
      </c>
      <c r="H403">
        <v>191</v>
      </c>
      <c r="I403"/>
      <c r="J403" t="s">
        <v>97</v>
      </c>
      <c r="K403">
        <v>37100</v>
      </c>
      <c r="L403">
        <v>20.8</v>
      </c>
      <c r="M403">
        <v>0</v>
      </c>
      <c r="N403">
        <v>24.659999999999997</v>
      </c>
      <c r="O403">
        <v>0</v>
      </c>
      <c r="P403">
        <v>0</v>
      </c>
      <c r="Q403"/>
      <c r="R403">
        <v>45.46</v>
      </c>
      <c r="S403">
        <v>117.69000000000001</v>
      </c>
      <c r="T403">
        <v>1690.6735751295339</v>
      </c>
      <c r="U403" s="19">
        <v>1</v>
      </c>
      <c r="V403" s="19">
        <v>0.96499999999999997</v>
      </c>
      <c r="W403" s="19">
        <f t="shared" si="2"/>
        <v>0.96499999999999997</v>
      </c>
      <c r="X403">
        <v>773.55940085117254</v>
      </c>
      <c r="Y403"/>
      <c r="Z403">
        <v>917.11417427836113</v>
      </c>
      <c r="AA403"/>
      <c r="AB403"/>
      <c r="AC403"/>
      <c r="AD403"/>
      <c r="AE403"/>
      <c r="AF403"/>
      <c r="AG403"/>
      <c r="AH403">
        <v>40.132000000000005</v>
      </c>
      <c r="AI403">
        <v>11.4</v>
      </c>
    </row>
    <row r="404" spans="1:35" s="19" customFormat="1" x14ac:dyDescent="0.25">
      <c r="A404">
        <v>2024</v>
      </c>
      <c r="B404">
        <v>1</v>
      </c>
      <c r="C404" t="s">
        <v>29</v>
      </c>
      <c r="D404" t="s">
        <v>25</v>
      </c>
      <c r="E404">
        <v>3</v>
      </c>
      <c r="F404">
        <v>19</v>
      </c>
      <c r="G404" s="12">
        <v>45483</v>
      </c>
      <c r="H404">
        <v>191</v>
      </c>
      <c r="I404"/>
      <c r="J404" t="s">
        <v>97</v>
      </c>
      <c r="K404">
        <v>37100</v>
      </c>
      <c r="L404">
        <v>21.900000000000002</v>
      </c>
      <c r="M404">
        <v>0</v>
      </c>
      <c r="N404">
        <v>25.259999999999998</v>
      </c>
      <c r="O404">
        <v>0</v>
      </c>
      <c r="P404">
        <v>0</v>
      </c>
      <c r="Q404"/>
      <c r="R404">
        <v>47.160000000000004</v>
      </c>
      <c r="S404">
        <v>208.49</v>
      </c>
      <c r="T404">
        <v>2649.2227979274612</v>
      </c>
      <c r="U404" s="19">
        <v>1</v>
      </c>
      <c r="V404" s="19">
        <v>0.96499999999999997</v>
      </c>
      <c r="W404" s="19">
        <f t="shared" si="2"/>
        <v>0.96499999999999997</v>
      </c>
      <c r="X404">
        <v>1230.2370499281469</v>
      </c>
      <c r="Y404"/>
      <c r="Z404">
        <v>1418.9857479993145</v>
      </c>
      <c r="AA404"/>
      <c r="AB404"/>
      <c r="AC404"/>
      <c r="AD404"/>
      <c r="AE404"/>
      <c r="AF404"/>
      <c r="AG404"/>
      <c r="AH404">
        <v>49.022000000000006</v>
      </c>
      <c r="AI404">
        <v>12.6</v>
      </c>
    </row>
    <row r="405" spans="1:35" s="19" customFormat="1" x14ac:dyDescent="0.25">
      <c r="A405">
        <v>2024</v>
      </c>
      <c r="B405">
        <v>1</v>
      </c>
      <c r="C405" t="s">
        <v>31</v>
      </c>
      <c r="D405" t="s">
        <v>25</v>
      </c>
      <c r="E405">
        <v>3</v>
      </c>
      <c r="F405">
        <v>20</v>
      </c>
      <c r="G405" s="12">
        <v>45483</v>
      </c>
      <c r="H405">
        <v>191</v>
      </c>
      <c r="I405"/>
      <c r="J405" t="s">
        <v>97</v>
      </c>
      <c r="K405">
        <v>37100</v>
      </c>
      <c r="L405">
        <v>15.099999999999998</v>
      </c>
      <c r="M405">
        <v>0</v>
      </c>
      <c r="N405">
        <v>16.659999999999997</v>
      </c>
      <c r="O405">
        <v>0</v>
      </c>
      <c r="P405">
        <v>0</v>
      </c>
      <c r="Q405"/>
      <c r="R405">
        <v>31.759999999999998</v>
      </c>
      <c r="S405">
        <v>131.99</v>
      </c>
      <c r="T405">
        <v>1696.8911917098446</v>
      </c>
      <c r="U405" s="19">
        <v>1</v>
      </c>
      <c r="V405" s="19">
        <v>0.96499999999999997</v>
      </c>
      <c r="W405" s="19">
        <f t="shared" si="2"/>
        <v>0.96499999999999997</v>
      </c>
      <c r="X405">
        <v>806.77131595776609</v>
      </c>
      <c r="Y405"/>
      <c r="Z405">
        <v>890.11987575207831</v>
      </c>
      <c r="AA405"/>
      <c r="AB405"/>
      <c r="AC405"/>
      <c r="AD405"/>
      <c r="AE405"/>
      <c r="AF405"/>
      <c r="AG405"/>
      <c r="AH405">
        <v>33.274000000000001</v>
      </c>
      <c r="AI405">
        <v>13</v>
      </c>
    </row>
    <row r="406" spans="1:35" s="19" customFormat="1" x14ac:dyDescent="0.25">
      <c r="A406">
        <v>2024</v>
      </c>
      <c r="B406">
        <v>1</v>
      </c>
      <c r="C406" t="s">
        <v>30</v>
      </c>
      <c r="D406" t="s">
        <v>25</v>
      </c>
      <c r="E406">
        <v>3</v>
      </c>
      <c r="F406">
        <v>21</v>
      </c>
      <c r="G406" s="12">
        <v>45483</v>
      </c>
      <c r="H406">
        <v>191</v>
      </c>
      <c r="I406"/>
      <c r="J406" t="s">
        <v>97</v>
      </c>
      <c r="K406">
        <v>37100</v>
      </c>
      <c r="L406">
        <v>17.000000000000004</v>
      </c>
      <c r="M406">
        <v>0</v>
      </c>
      <c r="N406">
        <v>17.759999999999998</v>
      </c>
      <c r="O406">
        <v>0</v>
      </c>
      <c r="P406">
        <v>0</v>
      </c>
      <c r="Q406"/>
      <c r="R406">
        <v>34.76</v>
      </c>
      <c r="S406">
        <v>92.99</v>
      </c>
      <c r="T406">
        <v>1323.8341968911916</v>
      </c>
      <c r="U406" s="19">
        <v>1</v>
      </c>
      <c r="V406" s="19">
        <v>0.96499999999999997</v>
      </c>
      <c r="W406" s="19">
        <f t="shared" si="2"/>
        <v>0.96499999999999997</v>
      </c>
      <c r="X406">
        <v>647.44480285242412</v>
      </c>
      <c r="Y406"/>
      <c r="Z406">
        <v>676.38939403876748</v>
      </c>
      <c r="AA406"/>
      <c r="AB406"/>
      <c r="AC406"/>
      <c r="AD406"/>
      <c r="AE406"/>
      <c r="AF406"/>
      <c r="AG406"/>
      <c r="AH406">
        <v>43.434000000000005</v>
      </c>
      <c r="AI406">
        <v>14.6</v>
      </c>
    </row>
    <row r="407" spans="1:35" s="19" customFormat="1" x14ac:dyDescent="0.25">
      <c r="A407">
        <v>2024</v>
      </c>
      <c r="B407">
        <v>1</v>
      </c>
      <c r="C407" t="s">
        <v>32</v>
      </c>
      <c r="D407" t="s">
        <v>25</v>
      </c>
      <c r="E407">
        <v>3</v>
      </c>
      <c r="F407">
        <v>22</v>
      </c>
      <c r="G407" s="12">
        <v>45483</v>
      </c>
      <c r="H407">
        <v>191</v>
      </c>
      <c r="I407"/>
      <c r="J407" t="s">
        <v>97</v>
      </c>
      <c r="K407">
        <v>37100</v>
      </c>
      <c r="L407">
        <v>22.900000000000002</v>
      </c>
      <c r="M407">
        <v>0</v>
      </c>
      <c r="N407">
        <v>23.159999999999997</v>
      </c>
      <c r="O407">
        <v>0</v>
      </c>
      <c r="P407">
        <v>0</v>
      </c>
      <c r="Q407"/>
      <c r="R407">
        <v>46.06</v>
      </c>
      <c r="S407">
        <v>113.99</v>
      </c>
      <c r="T407">
        <v>1658.5492227979275</v>
      </c>
      <c r="U407" s="19">
        <v>1</v>
      </c>
      <c r="V407" s="19">
        <v>0.96499999999999997</v>
      </c>
      <c r="W407" s="19">
        <f t="shared" si="2"/>
        <v>0.96499999999999997</v>
      </c>
      <c r="X407">
        <v>824.59351285437572</v>
      </c>
      <c r="Y407"/>
      <c r="Z407">
        <v>833.95570994355171</v>
      </c>
      <c r="AA407"/>
      <c r="AB407"/>
      <c r="AC407"/>
      <c r="AD407"/>
      <c r="AE407"/>
      <c r="AF407"/>
      <c r="AG407"/>
      <c r="AH407">
        <v>36.83</v>
      </c>
      <c r="AI407">
        <v>15.6</v>
      </c>
    </row>
    <row r="408" spans="1:35" s="19" customFormat="1" x14ac:dyDescent="0.25">
      <c r="A408">
        <v>2024</v>
      </c>
      <c r="B408">
        <v>1</v>
      </c>
      <c r="C408" t="s">
        <v>24</v>
      </c>
      <c r="D408" t="s">
        <v>25</v>
      </c>
      <c r="E408">
        <v>3</v>
      </c>
      <c r="F408">
        <v>23</v>
      </c>
      <c r="G408" s="12">
        <v>45483</v>
      </c>
      <c r="H408">
        <v>191</v>
      </c>
      <c r="I408"/>
      <c r="J408" t="s">
        <v>97</v>
      </c>
      <c r="K408">
        <v>37100</v>
      </c>
      <c r="L408">
        <v>20.3</v>
      </c>
      <c r="M408">
        <v>0</v>
      </c>
      <c r="N408">
        <v>20.36</v>
      </c>
      <c r="O408">
        <v>0</v>
      </c>
      <c r="P408">
        <v>0</v>
      </c>
      <c r="Q408"/>
      <c r="R408">
        <v>40.660000000000004</v>
      </c>
      <c r="S408">
        <v>123.99</v>
      </c>
      <c r="T408">
        <v>1706.217616580311</v>
      </c>
      <c r="U408" s="19">
        <v>1</v>
      </c>
      <c r="V408" s="19">
        <v>0.96499999999999997</v>
      </c>
      <c r="W408" s="19">
        <f t="shared" si="2"/>
        <v>0.96499999999999997</v>
      </c>
      <c r="X408">
        <v>851.84991678751396</v>
      </c>
      <c r="Y408"/>
      <c r="Z408">
        <v>854.367699792797</v>
      </c>
      <c r="AA408"/>
      <c r="AB408"/>
      <c r="AC408"/>
      <c r="AD408"/>
      <c r="AE408"/>
      <c r="AF408"/>
      <c r="AG408"/>
      <c r="AH408">
        <v>41.655999999999999</v>
      </c>
      <c r="AI408">
        <v>11.6</v>
      </c>
    </row>
    <row r="409" spans="1:35" s="20" customFormat="1" x14ac:dyDescent="0.25">
      <c r="A409">
        <v>2024</v>
      </c>
      <c r="B409">
        <v>1</v>
      </c>
      <c r="C409" s="49" t="s">
        <v>28</v>
      </c>
      <c r="D409" s="49" t="s">
        <v>25</v>
      </c>
      <c r="E409" s="49">
        <v>3</v>
      </c>
      <c r="F409" s="49">
        <v>24</v>
      </c>
      <c r="G409" s="13">
        <v>45483</v>
      </c>
      <c r="H409">
        <v>191</v>
      </c>
      <c r="I409" s="49"/>
      <c r="J409" t="s">
        <v>97</v>
      </c>
      <c r="K409">
        <v>37100</v>
      </c>
      <c r="L409" s="49">
        <v>12.900000000000002</v>
      </c>
      <c r="M409" s="49">
        <v>0</v>
      </c>
      <c r="N409" s="49">
        <v>17.759999999999998</v>
      </c>
      <c r="O409" s="49">
        <v>0</v>
      </c>
      <c r="P409" s="49">
        <v>0</v>
      </c>
      <c r="Q409" s="49"/>
      <c r="R409" s="49">
        <v>30.66</v>
      </c>
      <c r="S409" s="49">
        <v>79.089999999999989</v>
      </c>
      <c r="T409" s="49">
        <v>1137.3056994818651</v>
      </c>
      <c r="U409" s="19">
        <v>1</v>
      </c>
      <c r="V409" s="20">
        <v>0.96499999999999997</v>
      </c>
      <c r="W409" s="20">
        <f t="shared" si="2"/>
        <v>0.96499999999999997</v>
      </c>
      <c r="X409" s="49">
        <v>478.51413970372022</v>
      </c>
      <c r="Y409" s="49"/>
      <c r="Z409" s="49">
        <v>658.79155977814492</v>
      </c>
      <c r="AA409" s="49"/>
      <c r="AB409" s="49"/>
      <c r="AC409" s="49"/>
      <c r="AD409" s="49"/>
      <c r="AE409" s="49"/>
      <c r="AF409" s="49"/>
      <c r="AG409" s="49"/>
      <c r="AH409" s="49">
        <v>40.386000000000003</v>
      </c>
      <c r="AI409" s="49">
        <v>12.4</v>
      </c>
    </row>
    <row r="410" spans="1:35" s="19" customFormat="1" x14ac:dyDescent="0.25">
      <c r="A410">
        <v>2024</v>
      </c>
      <c r="B410" s="19">
        <v>1</v>
      </c>
      <c r="C410" s="24" t="s">
        <v>24</v>
      </c>
      <c r="D410" s="19" t="s">
        <v>25</v>
      </c>
      <c r="E410" s="24">
        <v>1</v>
      </c>
      <c r="F410" s="19">
        <v>1</v>
      </c>
      <c r="G410" s="25">
        <v>45483</v>
      </c>
      <c r="H410" s="18">
        <v>191</v>
      </c>
      <c r="J410" s="19" t="s">
        <v>107</v>
      </c>
      <c r="K410" s="19">
        <v>40800</v>
      </c>
      <c r="L410">
        <v>0</v>
      </c>
      <c r="M410">
        <v>0</v>
      </c>
      <c r="N410">
        <v>0</v>
      </c>
      <c r="O410">
        <v>0</v>
      </c>
      <c r="R410" s="19">
        <v>0</v>
      </c>
      <c r="S410" s="19">
        <v>0</v>
      </c>
      <c r="U410" s="19">
        <v>1</v>
      </c>
      <c r="V410" s="19">
        <v>0.96499999999999997</v>
      </c>
      <c r="W410" s="27">
        <f t="shared" si="2"/>
        <v>0.96499999999999997</v>
      </c>
    </row>
    <row r="411" spans="1:35" s="19" customFormat="1" x14ac:dyDescent="0.25">
      <c r="A411">
        <v>2024</v>
      </c>
      <c r="B411" s="19">
        <v>1</v>
      </c>
      <c r="C411" s="24" t="s">
        <v>27</v>
      </c>
      <c r="D411" s="19" t="s">
        <v>25</v>
      </c>
      <c r="E411" s="24">
        <v>1</v>
      </c>
      <c r="F411" s="19">
        <v>2</v>
      </c>
      <c r="G411" s="25">
        <v>45483</v>
      </c>
      <c r="H411" s="18">
        <v>191</v>
      </c>
      <c r="J411" s="19" t="s">
        <v>107</v>
      </c>
      <c r="K411" s="19">
        <v>40800</v>
      </c>
      <c r="L411" s="19">
        <v>24.86</v>
      </c>
      <c r="M411" s="19">
        <v>0</v>
      </c>
      <c r="N411" s="19">
        <v>30.659999999999997</v>
      </c>
      <c r="O411" s="19">
        <v>0</v>
      </c>
      <c r="R411" s="19">
        <v>55.52</v>
      </c>
      <c r="S411" s="19">
        <v>188.57999999999998</v>
      </c>
      <c r="T411" s="19">
        <v>2529.5336787564765</v>
      </c>
      <c r="U411" s="19">
        <v>1</v>
      </c>
      <c r="V411" s="19">
        <v>0.96499999999999997</v>
      </c>
      <c r="W411" s="27">
        <f t="shared" si="2"/>
        <v>0.96499999999999997</v>
      </c>
      <c r="X411" s="19">
        <v>1132.640620567111</v>
      </c>
      <c r="Y411" s="19">
        <v>0</v>
      </c>
      <c r="Z411" s="19">
        <v>0</v>
      </c>
      <c r="AH411" s="19">
        <v>37.083999999999996</v>
      </c>
      <c r="AI411" s="19">
        <v>12.2</v>
      </c>
    </row>
    <row r="412" spans="1:35" s="19" customFormat="1" x14ac:dyDescent="0.25">
      <c r="A412">
        <v>2024</v>
      </c>
      <c r="B412" s="19">
        <v>1</v>
      </c>
      <c r="C412" s="24" t="s">
        <v>28</v>
      </c>
      <c r="D412" s="19" t="s">
        <v>25</v>
      </c>
      <c r="E412" s="24">
        <v>1</v>
      </c>
      <c r="F412" s="19">
        <v>3</v>
      </c>
      <c r="G412" s="25">
        <v>45483</v>
      </c>
      <c r="H412" s="18">
        <v>191</v>
      </c>
      <c r="J412" s="19" t="s">
        <v>107</v>
      </c>
      <c r="K412" s="19">
        <v>40800</v>
      </c>
      <c r="L412" s="19">
        <v>23.36</v>
      </c>
      <c r="M412" s="19">
        <v>0</v>
      </c>
      <c r="N412" s="19">
        <v>33.159999999999997</v>
      </c>
      <c r="O412" s="19">
        <v>0.10000000000000142</v>
      </c>
      <c r="R412" s="19">
        <v>56.62</v>
      </c>
      <c r="S412" s="19">
        <v>203.57999999999998</v>
      </c>
      <c r="T412" s="19">
        <v>2698.445595854922</v>
      </c>
      <c r="U412" s="19">
        <v>1</v>
      </c>
      <c r="V412" s="19">
        <v>0.96499999999999997</v>
      </c>
      <c r="W412" s="27">
        <f t="shared" si="2"/>
        <v>0.96499999999999997</v>
      </c>
      <c r="X412" s="19">
        <v>1109.3926279333155</v>
      </c>
      <c r="Y412" s="19">
        <v>0</v>
      </c>
      <c r="Z412" s="19">
        <v>1456.0778241624762</v>
      </c>
      <c r="AH412" s="19">
        <v>42.672000000000004</v>
      </c>
      <c r="AI412" s="19">
        <v>12.2</v>
      </c>
    </row>
    <row r="413" spans="1:35" s="19" customFormat="1" x14ac:dyDescent="0.25">
      <c r="A413">
        <v>2024</v>
      </c>
      <c r="B413" s="19">
        <v>1</v>
      </c>
      <c r="C413" s="24" t="s">
        <v>29</v>
      </c>
      <c r="D413" s="19" t="s">
        <v>25</v>
      </c>
      <c r="E413" s="24">
        <v>1</v>
      </c>
      <c r="F413" s="19">
        <v>4</v>
      </c>
      <c r="G413" s="25">
        <v>45483</v>
      </c>
      <c r="H413" s="18">
        <v>191</v>
      </c>
      <c r="J413" s="19" t="s">
        <v>107</v>
      </c>
      <c r="K413" s="19">
        <v>40800</v>
      </c>
      <c r="L413" s="19">
        <v>32.56</v>
      </c>
      <c r="M413" s="19">
        <v>0.19999999999999929</v>
      </c>
      <c r="N413" s="19">
        <v>46.36</v>
      </c>
      <c r="O413" s="19">
        <v>0</v>
      </c>
      <c r="R413" s="19">
        <v>79.11999999999999</v>
      </c>
      <c r="S413" s="19">
        <v>156.28</v>
      </c>
      <c r="T413" s="19">
        <v>2437.3056994818653</v>
      </c>
      <c r="U413" s="19">
        <v>1</v>
      </c>
      <c r="V413" s="19">
        <v>0.96499999999999997</v>
      </c>
      <c r="W413" s="27">
        <f t="shared" si="2"/>
        <v>0.96499999999999997</v>
      </c>
      <c r="X413" s="19">
        <v>1005.5584588840541</v>
      </c>
      <c r="Y413" s="19">
        <v>6.1766490103442893</v>
      </c>
      <c r="Z413" s="19">
        <v>1024.0884059150867</v>
      </c>
      <c r="AH413" s="19">
        <v>49.784000000000006</v>
      </c>
      <c r="AI413" s="19">
        <v>14.8</v>
      </c>
    </row>
    <row r="414" spans="1:35" s="19" customFormat="1" x14ac:dyDescent="0.25">
      <c r="A414">
        <v>2024</v>
      </c>
      <c r="B414" s="19">
        <v>1</v>
      </c>
      <c r="C414" s="24" t="s">
        <v>30</v>
      </c>
      <c r="D414" s="19" t="s">
        <v>25</v>
      </c>
      <c r="E414" s="24">
        <v>1</v>
      </c>
      <c r="F414" s="19">
        <v>5</v>
      </c>
      <c r="G414" s="25">
        <v>45483</v>
      </c>
      <c r="H414" s="18">
        <v>191</v>
      </c>
      <c r="J414" s="19" t="s">
        <v>107</v>
      </c>
      <c r="K414" s="19">
        <v>40800</v>
      </c>
      <c r="L414" s="19">
        <v>27.259999999999998</v>
      </c>
      <c r="M414" s="19">
        <v>0</v>
      </c>
      <c r="N414" s="19">
        <v>41.459999999999994</v>
      </c>
      <c r="O414" s="19">
        <v>0</v>
      </c>
      <c r="R414" s="19">
        <v>68.72</v>
      </c>
      <c r="S414" s="19">
        <v>181.28</v>
      </c>
      <c r="T414" s="19">
        <v>2590.6735751295337</v>
      </c>
      <c r="U414" s="19">
        <v>1</v>
      </c>
      <c r="V414" s="19">
        <v>0.96499999999999997</v>
      </c>
      <c r="W414" s="27">
        <f t="shared" si="2"/>
        <v>0.96499999999999997</v>
      </c>
      <c r="X414" s="19">
        <v>1027.6740637082521</v>
      </c>
      <c r="Y414" s="19">
        <v>0</v>
      </c>
      <c r="Z414" s="19">
        <v>1747.7244898574675</v>
      </c>
      <c r="AH414" s="19">
        <v>48.768000000000001</v>
      </c>
      <c r="AI414" s="19">
        <v>14.8</v>
      </c>
    </row>
    <row r="415" spans="1:35" s="19" customFormat="1" x14ac:dyDescent="0.25">
      <c r="A415">
        <v>2024</v>
      </c>
      <c r="B415" s="19">
        <v>1</v>
      </c>
      <c r="C415" s="24" t="s">
        <v>31</v>
      </c>
      <c r="D415" s="19" t="s">
        <v>25</v>
      </c>
      <c r="E415" s="24">
        <v>1</v>
      </c>
      <c r="F415" s="19">
        <v>6</v>
      </c>
      <c r="G415" s="25">
        <v>45483</v>
      </c>
      <c r="H415" s="18">
        <v>191</v>
      </c>
      <c r="J415" s="19" t="s">
        <v>107</v>
      </c>
      <c r="K415" s="19">
        <v>40800</v>
      </c>
      <c r="L415" s="19">
        <v>25.559999999999995</v>
      </c>
      <c r="M415" s="19">
        <v>0</v>
      </c>
      <c r="N415" s="19">
        <v>29.36</v>
      </c>
      <c r="O415" s="19">
        <v>0</v>
      </c>
      <c r="R415" s="19">
        <v>54.919999999999995</v>
      </c>
      <c r="S415" s="19">
        <v>150.38</v>
      </c>
      <c r="T415" s="19">
        <v>2127.461139896373</v>
      </c>
      <c r="U415" s="19">
        <v>1</v>
      </c>
      <c r="V415" s="19">
        <v>0.96499999999999997</v>
      </c>
      <c r="W415" s="27">
        <f t="shared" si="2"/>
        <v>0.96499999999999997</v>
      </c>
      <c r="X415" s="19">
        <v>990.12940159780203</v>
      </c>
      <c r="Y415" s="19">
        <v>0</v>
      </c>
      <c r="Z415" s="19">
        <v>1606.0549683194395</v>
      </c>
      <c r="AH415" s="19">
        <v>41.147999999999996</v>
      </c>
      <c r="AI415" s="19">
        <v>13.6</v>
      </c>
    </row>
    <row r="416" spans="1:35" s="19" customFormat="1" x14ac:dyDescent="0.25">
      <c r="A416">
        <v>2024</v>
      </c>
      <c r="B416" s="19">
        <v>1</v>
      </c>
      <c r="C416" s="24" t="s">
        <v>32</v>
      </c>
      <c r="D416" s="19" t="s">
        <v>25</v>
      </c>
      <c r="E416" s="24">
        <v>1</v>
      </c>
      <c r="F416" s="19">
        <v>7</v>
      </c>
      <c r="G416" s="25">
        <v>45483</v>
      </c>
      <c r="H416" s="18">
        <v>191</v>
      </c>
      <c r="J416" s="19" t="s">
        <v>107</v>
      </c>
      <c r="K416" s="19">
        <v>40800</v>
      </c>
      <c r="L416" s="19">
        <v>22.959999999999994</v>
      </c>
      <c r="M416" s="19">
        <v>0</v>
      </c>
      <c r="N416" s="19">
        <v>24.059999999999995</v>
      </c>
      <c r="O416" s="19">
        <v>0</v>
      </c>
      <c r="R416" s="19">
        <v>47.019999999999989</v>
      </c>
      <c r="S416" s="19">
        <v>115.98000000000002</v>
      </c>
      <c r="T416" s="19">
        <v>1689.1191709844561</v>
      </c>
      <c r="U416" s="19">
        <v>1</v>
      </c>
      <c r="V416" s="19">
        <v>0.96499999999999997</v>
      </c>
      <c r="W416" s="27">
        <f t="shared" si="2"/>
        <v>0.96499999999999997</v>
      </c>
      <c r="X416" s="19">
        <v>824.80170492988327</v>
      </c>
      <c r="Y416" s="19">
        <v>0</v>
      </c>
      <c r="Z416" s="19">
        <v>1054.7115878371681</v>
      </c>
      <c r="AH416" s="19">
        <v>37.592000000000006</v>
      </c>
      <c r="AI416" s="19">
        <v>12</v>
      </c>
    </row>
    <row r="417" spans="1:35" s="19" customFormat="1" x14ac:dyDescent="0.25">
      <c r="A417">
        <v>2024</v>
      </c>
      <c r="B417" s="19">
        <v>1</v>
      </c>
      <c r="C417" s="24" t="s">
        <v>33</v>
      </c>
      <c r="D417" s="19" t="s">
        <v>25</v>
      </c>
      <c r="E417" s="24">
        <v>1</v>
      </c>
      <c r="F417" s="19">
        <v>8</v>
      </c>
      <c r="G417" s="25">
        <v>45483</v>
      </c>
      <c r="H417" s="18">
        <v>191</v>
      </c>
      <c r="J417" s="19" t="s">
        <v>107</v>
      </c>
      <c r="K417" s="19">
        <v>40800</v>
      </c>
      <c r="L417" s="19">
        <v>36.06</v>
      </c>
      <c r="M417" s="19">
        <v>0</v>
      </c>
      <c r="N417" s="19">
        <v>43.86</v>
      </c>
      <c r="O417" s="19">
        <v>0</v>
      </c>
      <c r="R417" s="19">
        <v>79.919999999999987</v>
      </c>
      <c r="S417" s="19">
        <v>152.88</v>
      </c>
      <c r="T417" s="19">
        <v>2412.4352331606219</v>
      </c>
      <c r="U417" s="19">
        <v>1</v>
      </c>
      <c r="V417" s="19">
        <v>0.96499999999999997</v>
      </c>
      <c r="W417" s="27">
        <f t="shared" si="2"/>
        <v>0.96499999999999997</v>
      </c>
      <c r="X417" s="19">
        <v>1088.4936750221727</v>
      </c>
      <c r="Y417" s="19">
        <v>0</v>
      </c>
      <c r="Z417" s="19">
        <v>726.26616253559257</v>
      </c>
      <c r="AH417" s="19">
        <v>50.8</v>
      </c>
      <c r="AI417" s="19">
        <v>12.6</v>
      </c>
    </row>
    <row r="418" spans="1:35" s="19" customFormat="1" x14ac:dyDescent="0.25">
      <c r="A418">
        <v>2024</v>
      </c>
      <c r="B418" s="19">
        <v>1</v>
      </c>
      <c r="C418" s="19" t="s">
        <v>27</v>
      </c>
      <c r="D418" s="19" t="s">
        <v>25</v>
      </c>
      <c r="E418" s="24">
        <v>2</v>
      </c>
      <c r="F418" s="19">
        <v>9</v>
      </c>
      <c r="G418" s="25">
        <v>45483</v>
      </c>
      <c r="H418" s="18">
        <v>191</v>
      </c>
      <c r="J418" s="19" t="s">
        <v>107</v>
      </c>
      <c r="K418" s="19">
        <v>40800</v>
      </c>
      <c r="L418" s="19">
        <v>18.959999999999994</v>
      </c>
      <c r="M418" s="19">
        <v>0</v>
      </c>
      <c r="N418" s="19">
        <v>25.959999999999994</v>
      </c>
      <c r="O418" s="19">
        <v>0</v>
      </c>
      <c r="R418" s="19">
        <v>44.919999999999987</v>
      </c>
      <c r="S418" s="19">
        <v>186.98000000000002</v>
      </c>
      <c r="T418" s="19">
        <v>2403.1088082901556</v>
      </c>
      <c r="U418" s="19">
        <v>1</v>
      </c>
      <c r="V418" s="19">
        <v>0.96499999999999997</v>
      </c>
      <c r="W418" s="27">
        <f t="shared" si="2"/>
        <v>0.96499999999999997</v>
      </c>
      <c r="X418" s="19">
        <v>1014.3130677912144</v>
      </c>
      <c r="Y418" s="19">
        <v>0</v>
      </c>
      <c r="Z418" s="19">
        <v>2346.4014321372715</v>
      </c>
      <c r="AH418" s="19">
        <v>44.195999999999998</v>
      </c>
      <c r="AI418" s="19">
        <v>10.6</v>
      </c>
    </row>
    <row r="419" spans="1:35" s="19" customFormat="1" x14ac:dyDescent="0.25">
      <c r="A419">
        <v>2024</v>
      </c>
      <c r="B419" s="19">
        <v>1</v>
      </c>
      <c r="C419" s="24" t="s">
        <v>33</v>
      </c>
      <c r="D419" s="19" t="s">
        <v>25</v>
      </c>
      <c r="E419" s="24">
        <v>2</v>
      </c>
      <c r="F419" s="19">
        <v>10</v>
      </c>
      <c r="G419" s="25">
        <v>45483</v>
      </c>
      <c r="H419" s="18">
        <v>191</v>
      </c>
      <c r="J419" s="19" t="s">
        <v>107</v>
      </c>
      <c r="K419" s="19">
        <v>40800</v>
      </c>
      <c r="L419" s="19">
        <v>22.559999999999995</v>
      </c>
      <c r="M419" s="19">
        <v>0</v>
      </c>
      <c r="N419" s="19">
        <v>26.959999999999994</v>
      </c>
      <c r="O419" s="19">
        <v>0</v>
      </c>
      <c r="R419" s="19">
        <v>49.519999999999996</v>
      </c>
      <c r="S419" s="19">
        <v>209.28000000000003</v>
      </c>
      <c r="T419" s="19">
        <v>2681.8652849740938</v>
      </c>
      <c r="U419" s="19">
        <v>1</v>
      </c>
      <c r="V419" s="19">
        <v>0.96499999999999997</v>
      </c>
      <c r="W419" s="27">
        <f t="shared" si="2"/>
        <v>0.96499999999999997</v>
      </c>
      <c r="X419" s="19">
        <v>1221.7867695681655</v>
      </c>
      <c r="Y419" s="19">
        <v>0</v>
      </c>
      <c r="Z419" s="19">
        <v>1460.0785154059283</v>
      </c>
      <c r="AH419" s="19">
        <v>45.212000000000003</v>
      </c>
      <c r="AI419" s="19">
        <v>13.8</v>
      </c>
    </row>
    <row r="420" spans="1:35" s="19" customFormat="1" x14ac:dyDescent="0.25">
      <c r="A420">
        <v>2024</v>
      </c>
      <c r="B420" s="19">
        <v>1</v>
      </c>
      <c r="C420" s="24" t="s">
        <v>32</v>
      </c>
      <c r="D420" s="19" t="s">
        <v>25</v>
      </c>
      <c r="E420" s="24">
        <v>2</v>
      </c>
      <c r="F420" s="19">
        <v>11</v>
      </c>
      <c r="G420" s="25">
        <v>45483</v>
      </c>
      <c r="H420" s="18">
        <v>191</v>
      </c>
      <c r="J420" s="19" t="s">
        <v>107</v>
      </c>
      <c r="K420" s="19">
        <v>40800</v>
      </c>
      <c r="L420" s="19">
        <v>35.159999999999997</v>
      </c>
      <c r="M420" s="19">
        <v>0</v>
      </c>
      <c r="N420" s="19">
        <v>41.959999999999994</v>
      </c>
      <c r="O420" s="19">
        <v>0</v>
      </c>
      <c r="R420" s="19">
        <v>77.11999999999999</v>
      </c>
      <c r="S420" s="19">
        <v>172.08</v>
      </c>
      <c r="T420" s="19">
        <v>2582.3834196891194</v>
      </c>
      <c r="U420" s="19">
        <v>1</v>
      </c>
      <c r="V420" s="19">
        <v>0.96499999999999997</v>
      </c>
      <c r="W420" s="27">
        <f t="shared" si="2"/>
        <v>0.96499999999999997</v>
      </c>
      <c r="X420" s="19">
        <v>1177.3418184163568</v>
      </c>
      <c r="Y420" s="19">
        <v>0</v>
      </c>
      <c r="Z420" s="19">
        <v>1405.0416012727624</v>
      </c>
      <c r="AH420" s="19">
        <v>40.64</v>
      </c>
      <c r="AI420" s="19">
        <v>15.4</v>
      </c>
    </row>
    <row r="421" spans="1:35" s="19" customFormat="1" x14ac:dyDescent="0.25">
      <c r="A421">
        <v>2024</v>
      </c>
      <c r="B421" s="19">
        <v>1</v>
      </c>
      <c r="C421" s="24" t="s">
        <v>28</v>
      </c>
      <c r="D421" s="19" t="s">
        <v>25</v>
      </c>
      <c r="E421" s="24">
        <v>2</v>
      </c>
      <c r="F421" s="19">
        <v>12</v>
      </c>
      <c r="G421" s="25">
        <v>45483</v>
      </c>
      <c r="H421" s="18">
        <v>191</v>
      </c>
      <c r="J421" s="19" t="s">
        <v>107</v>
      </c>
      <c r="K421" s="19">
        <v>40800</v>
      </c>
      <c r="L421" s="19">
        <v>36.759999999999991</v>
      </c>
      <c r="M421" s="19">
        <v>0</v>
      </c>
      <c r="N421" s="19">
        <v>49.959999999999994</v>
      </c>
      <c r="O421" s="19">
        <v>0</v>
      </c>
      <c r="R421" s="19">
        <v>86.719999999999985</v>
      </c>
      <c r="S421" s="19">
        <v>177.48000000000002</v>
      </c>
      <c r="T421" s="19">
        <v>2737.8238341968913</v>
      </c>
      <c r="U421" s="19">
        <v>1</v>
      </c>
      <c r="V421" s="19">
        <v>0.96499999999999997</v>
      </c>
      <c r="W421" s="27">
        <f t="shared" si="2"/>
        <v>0.96499999999999997</v>
      </c>
      <c r="X421" s="19">
        <v>1160.5443282412098</v>
      </c>
      <c r="Y421" s="19">
        <v>0</v>
      </c>
      <c r="Z421" s="19">
        <v>1577.2795059556813</v>
      </c>
      <c r="AH421" s="19">
        <v>41.655999999999999</v>
      </c>
      <c r="AI421" s="19">
        <v>13</v>
      </c>
    </row>
    <row r="422" spans="1:35" s="19" customFormat="1" x14ac:dyDescent="0.25">
      <c r="A422">
        <v>2024</v>
      </c>
      <c r="B422" s="19">
        <v>1</v>
      </c>
      <c r="C422" s="24" t="s">
        <v>31</v>
      </c>
      <c r="D422" s="19" t="s">
        <v>25</v>
      </c>
      <c r="E422" s="24">
        <v>2</v>
      </c>
      <c r="F422" s="19">
        <v>13</v>
      </c>
      <c r="G422" s="25">
        <v>45483</v>
      </c>
      <c r="H422" s="18">
        <v>191</v>
      </c>
      <c r="J422" s="19" t="s">
        <v>107</v>
      </c>
      <c r="K422" s="19">
        <v>40800</v>
      </c>
      <c r="L422" s="19">
        <v>39.06</v>
      </c>
      <c r="M422" s="19">
        <v>0</v>
      </c>
      <c r="N422" s="19">
        <v>44.459999999999994</v>
      </c>
      <c r="O422" s="19">
        <v>0</v>
      </c>
      <c r="R422" s="19">
        <v>83.52</v>
      </c>
      <c r="S422" s="19">
        <v>143.28</v>
      </c>
      <c r="T422" s="19">
        <v>2350.2590673575132</v>
      </c>
      <c r="U422" s="19">
        <v>1</v>
      </c>
      <c r="V422" s="19">
        <v>0.96499999999999997</v>
      </c>
      <c r="W422" s="27">
        <f t="shared" si="2"/>
        <v>0.96499999999999997</v>
      </c>
      <c r="X422" s="19">
        <v>1099.1513310702164</v>
      </c>
      <c r="Y422" s="19">
        <v>0</v>
      </c>
      <c r="Z422" s="19">
        <v>1251.1077362872968</v>
      </c>
    </row>
    <row r="423" spans="1:35" s="19" customFormat="1" x14ac:dyDescent="0.25">
      <c r="A423">
        <v>2024</v>
      </c>
      <c r="B423" s="19">
        <v>1</v>
      </c>
      <c r="C423" s="24" t="s">
        <v>24</v>
      </c>
      <c r="D423" s="19" t="s">
        <v>25</v>
      </c>
      <c r="E423" s="24">
        <v>2</v>
      </c>
      <c r="F423" s="19">
        <v>14</v>
      </c>
      <c r="G423" s="25">
        <v>45483</v>
      </c>
      <c r="H423" s="18">
        <v>191</v>
      </c>
      <c r="J423" s="19" t="s">
        <v>107</v>
      </c>
      <c r="K423" s="19">
        <v>40800</v>
      </c>
      <c r="L423" s="19">
        <v>0</v>
      </c>
      <c r="M423" s="19">
        <v>0</v>
      </c>
      <c r="N423" s="19">
        <v>0</v>
      </c>
      <c r="O423" s="19">
        <v>0</v>
      </c>
      <c r="R423" s="19">
        <v>0</v>
      </c>
      <c r="S423" s="19">
        <v>0</v>
      </c>
      <c r="U423" s="19">
        <v>1</v>
      </c>
      <c r="V423" s="19">
        <v>0.96499999999999997</v>
      </c>
      <c r="W423" s="27">
        <f t="shared" si="2"/>
        <v>0.96499999999999997</v>
      </c>
    </row>
    <row r="424" spans="1:35" s="19" customFormat="1" x14ac:dyDescent="0.25">
      <c r="A424">
        <v>2024</v>
      </c>
      <c r="B424" s="19">
        <v>1</v>
      </c>
      <c r="C424" s="24" t="s">
        <v>30</v>
      </c>
      <c r="D424" s="19" t="s">
        <v>25</v>
      </c>
      <c r="E424" s="24">
        <v>2</v>
      </c>
      <c r="F424" s="19">
        <v>15</v>
      </c>
      <c r="G424" s="25">
        <v>45483</v>
      </c>
      <c r="H424" s="18">
        <v>191</v>
      </c>
      <c r="J424" s="19" t="s">
        <v>107</v>
      </c>
      <c r="K424" s="19">
        <v>40800</v>
      </c>
      <c r="L424" s="19">
        <v>0</v>
      </c>
      <c r="M424" s="19">
        <v>0</v>
      </c>
      <c r="N424" s="19">
        <v>0</v>
      </c>
      <c r="O424" s="19">
        <v>0</v>
      </c>
      <c r="R424" s="19">
        <v>0</v>
      </c>
      <c r="S424" s="19">
        <v>0</v>
      </c>
      <c r="U424" s="19">
        <v>1</v>
      </c>
      <c r="V424" s="19">
        <v>0.96499999999999997</v>
      </c>
      <c r="W424" s="27">
        <f t="shared" si="2"/>
        <v>0.96499999999999997</v>
      </c>
      <c r="AH424" s="19">
        <v>40.132000000000005</v>
      </c>
      <c r="AI424" s="19">
        <v>11.8</v>
      </c>
    </row>
    <row r="425" spans="1:35" s="19" customFormat="1" x14ac:dyDescent="0.25">
      <c r="A425">
        <v>2024</v>
      </c>
      <c r="B425" s="19">
        <v>1</v>
      </c>
      <c r="C425" s="24" t="s">
        <v>29</v>
      </c>
      <c r="D425" s="19" t="s">
        <v>25</v>
      </c>
      <c r="E425" s="24">
        <v>2</v>
      </c>
      <c r="F425" s="19">
        <v>16</v>
      </c>
      <c r="G425" s="25">
        <v>45483</v>
      </c>
      <c r="H425" s="18">
        <v>191</v>
      </c>
      <c r="J425" s="19" t="s">
        <v>107</v>
      </c>
      <c r="K425" s="19">
        <v>40800</v>
      </c>
      <c r="L425" s="19">
        <v>0</v>
      </c>
      <c r="M425" s="19">
        <v>0</v>
      </c>
      <c r="N425" s="19">
        <v>0</v>
      </c>
      <c r="O425" s="19">
        <v>0</v>
      </c>
      <c r="R425" s="19">
        <v>0</v>
      </c>
      <c r="S425" s="19">
        <v>0</v>
      </c>
      <c r="U425" s="19">
        <v>1</v>
      </c>
      <c r="V425" s="19">
        <v>0.96499999999999997</v>
      </c>
      <c r="W425" s="27">
        <f t="shared" si="2"/>
        <v>0.96499999999999997</v>
      </c>
    </row>
    <row r="426" spans="1:35" s="19" customFormat="1" x14ac:dyDescent="0.25">
      <c r="A426">
        <v>2024</v>
      </c>
      <c r="B426" s="19">
        <v>1</v>
      </c>
      <c r="C426" s="24" t="s">
        <v>33</v>
      </c>
      <c r="D426" s="19" t="s">
        <v>25</v>
      </c>
      <c r="E426" s="24">
        <v>3</v>
      </c>
      <c r="F426" s="19">
        <v>17</v>
      </c>
      <c r="G426" s="25">
        <v>45483</v>
      </c>
      <c r="H426" s="18">
        <v>191</v>
      </c>
      <c r="J426" s="19" t="s">
        <v>107</v>
      </c>
      <c r="K426" s="19">
        <v>40800</v>
      </c>
      <c r="L426" s="19">
        <v>22.36</v>
      </c>
      <c r="M426" s="19">
        <v>0</v>
      </c>
      <c r="N426" s="19">
        <v>30.059999999999995</v>
      </c>
      <c r="O426" s="19">
        <v>0</v>
      </c>
      <c r="R426" s="19">
        <v>52.419999999999995</v>
      </c>
      <c r="S426" s="19">
        <v>201.38</v>
      </c>
      <c r="T426" s="19">
        <v>2630.051813471503</v>
      </c>
      <c r="U426" s="19">
        <v>1</v>
      </c>
      <c r="V426" s="19">
        <v>0.96499999999999997</v>
      </c>
      <c r="W426" s="27">
        <f t="shared" si="2"/>
        <v>0.96499999999999997</v>
      </c>
      <c r="X426" s="19">
        <v>1121.8610940332471</v>
      </c>
      <c r="Y426" s="19">
        <v>0</v>
      </c>
      <c r="Z426" s="19">
        <v>1508.1907194382559</v>
      </c>
      <c r="AH426" s="19">
        <v>47.752000000000002</v>
      </c>
      <c r="AI426" s="19">
        <v>10.199999999999999</v>
      </c>
    </row>
    <row r="427" spans="1:35" s="19" customFormat="1" x14ac:dyDescent="0.25">
      <c r="A427">
        <v>2024</v>
      </c>
      <c r="B427" s="19">
        <v>1</v>
      </c>
      <c r="C427" s="24" t="s">
        <v>27</v>
      </c>
      <c r="D427" s="19" t="s">
        <v>25</v>
      </c>
      <c r="E427" s="24">
        <v>3</v>
      </c>
      <c r="F427" s="19">
        <v>18</v>
      </c>
      <c r="G427" s="25">
        <v>45483</v>
      </c>
      <c r="H427" s="18">
        <v>191</v>
      </c>
      <c r="J427" s="19" t="s">
        <v>107</v>
      </c>
      <c r="K427" s="19">
        <v>40800</v>
      </c>
      <c r="L427" s="19">
        <v>22.86</v>
      </c>
      <c r="M427" s="19">
        <v>0</v>
      </c>
      <c r="N427" s="19">
        <v>34.259999999999991</v>
      </c>
      <c r="O427" s="19">
        <v>0</v>
      </c>
      <c r="R427" s="19">
        <v>57.11999999999999</v>
      </c>
      <c r="S427" s="19">
        <v>155.18</v>
      </c>
      <c r="T427" s="19">
        <v>2200</v>
      </c>
      <c r="U427" s="19">
        <v>1</v>
      </c>
      <c r="V427" s="19">
        <v>0.96499999999999997</v>
      </c>
      <c r="W427" s="27">
        <f t="shared" si="2"/>
        <v>0.96499999999999997</v>
      </c>
      <c r="X427" s="19">
        <v>880.46218487394958</v>
      </c>
      <c r="Y427" s="19">
        <v>0</v>
      </c>
      <c r="Z427" s="19">
        <v>1319.5378151260504</v>
      </c>
      <c r="AH427" s="19">
        <v>38.607999999999997</v>
      </c>
      <c r="AI427" s="19">
        <v>11.6</v>
      </c>
    </row>
    <row r="428" spans="1:35" s="19" customFormat="1" x14ac:dyDescent="0.25">
      <c r="A428">
        <v>2024</v>
      </c>
      <c r="B428" s="19">
        <v>1</v>
      </c>
      <c r="C428" s="24" t="s">
        <v>29</v>
      </c>
      <c r="D428" s="19" t="s">
        <v>25</v>
      </c>
      <c r="E428" s="24">
        <v>3</v>
      </c>
      <c r="F428" s="19">
        <v>19</v>
      </c>
      <c r="G428" s="25">
        <v>45483</v>
      </c>
      <c r="H428" s="18">
        <v>191</v>
      </c>
      <c r="J428" s="19" t="s">
        <v>107</v>
      </c>
      <c r="K428" s="19">
        <v>40800</v>
      </c>
      <c r="L428" s="19">
        <v>21.659999999999997</v>
      </c>
      <c r="M428" s="19">
        <v>0</v>
      </c>
      <c r="N428" s="19">
        <v>29.759999999999998</v>
      </c>
      <c r="O428" s="19">
        <v>0</v>
      </c>
      <c r="R428" s="19">
        <v>51.419999999999995</v>
      </c>
      <c r="S428" s="19">
        <v>140.08000000000001</v>
      </c>
      <c r="T428" s="19">
        <v>1984.4559585492229</v>
      </c>
      <c r="U428" s="19">
        <v>1</v>
      </c>
      <c r="V428" s="19">
        <v>0.96499999999999997</v>
      </c>
      <c r="W428" s="27">
        <f t="shared" si="2"/>
        <v>0.96499999999999997</v>
      </c>
      <c r="X428" s="19">
        <v>835.92602221268316</v>
      </c>
      <c r="Y428" s="19">
        <v>0</v>
      </c>
      <c r="Z428" s="19">
        <v>1148.52993633654</v>
      </c>
      <c r="AH428" s="19">
        <v>44.704000000000008</v>
      </c>
      <c r="AI428" s="19">
        <v>12.4</v>
      </c>
    </row>
    <row r="429" spans="1:35" s="19" customFormat="1" x14ac:dyDescent="0.25">
      <c r="A429">
        <v>2024</v>
      </c>
      <c r="B429" s="19">
        <v>1</v>
      </c>
      <c r="C429" s="24" t="s">
        <v>31</v>
      </c>
      <c r="D429" s="19" t="s">
        <v>25</v>
      </c>
      <c r="E429" s="24">
        <v>3</v>
      </c>
      <c r="F429" s="19">
        <v>20</v>
      </c>
      <c r="G429" s="25">
        <v>45483</v>
      </c>
      <c r="H429" s="18">
        <v>191</v>
      </c>
      <c r="J429" s="19" t="s">
        <v>107</v>
      </c>
      <c r="K429" s="19">
        <v>40800</v>
      </c>
      <c r="L429" s="19">
        <v>35.36</v>
      </c>
      <c r="M429" s="19">
        <v>0</v>
      </c>
      <c r="N429" s="19">
        <v>38.459999999999994</v>
      </c>
      <c r="O429" s="19">
        <v>0</v>
      </c>
      <c r="R429" s="19">
        <v>73.819999999999993</v>
      </c>
      <c r="S429" s="19">
        <v>186.98000000000002</v>
      </c>
      <c r="T429" s="19">
        <v>2702.59067357513</v>
      </c>
      <c r="U429" s="19">
        <v>1</v>
      </c>
      <c r="V429" s="19">
        <v>0.96499999999999997</v>
      </c>
      <c r="W429" s="27">
        <f t="shared" si="2"/>
        <v>0.96499999999999997</v>
      </c>
      <c r="X429" s="19">
        <v>1294.5489869631078</v>
      </c>
      <c r="Y429" s="19">
        <v>0</v>
      </c>
      <c r="Z429" s="19">
        <v>1408.0416866120224</v>
      </c>
      <c r="AH429" s="19">
        <v>40.64</v>
      </c>
      <c r="AI429" s="19">
        <v>14</v>
      </c>
    </row>
    <row r="430" spans="1:35" s="19" customFormat="1" x14ac:dyDescent="0.25">
      <c r="A430">
        <v>2024</v>
      </c>
      <c r="B430" s="19">
        <v>1</v>
      </c>
      <c r="C430" s="24" t="s">
        <v>30</v>
      </c>
      <c r="D430" s="19" t="s">
        <v>25</v>
      </c>
      <c r="E430" s="24">
        <v>3</v>
      </c>
      <c r="F430" s="19">
        <v>21</v>
      </c>
      <c r="G430" s="25">
        <v>45483</v>
      </c>
      <c r="H430" s="18">
        <v>191</v>
      </c>
      <c r="J430" s="19" t="s">
        <v>107</v>
      </c>
      <c r="K430" s="19">
        <v>40800</v>
      </c>
      <c r="L430" s="19">
        <v>18.059999999999995</v>
      </c>
      <c r="M430" s="19">
        <v>0</v>
      </c>
      <c r="N430" s="19">
        <v>23.559999999999995</v>
      </c>
      <c r="O430" s="19">
        <v>0</v>
      </c>
      <c r="R430" s="19">
        <v>41.61999999999999</v>
      </c>
      <c r="S430" s="19">
        <v>230.28000000000003</v>
      </c>
      <c r="T430" s="19">
        <v>2817.6165803108815</v>
      </c>
      <c r="U430" s="19">
        <v>1</v>
      </c>
      <c r="V430" s="19">
        <v>0.96499999999999997</v>
      </c>
      <c r="W430" s="27">
        <f t="shared" si="2"/>
        <v>0.96499999999999997</v>
      </c>
      <c r="X430" s="19">
        <v>1222.6370841041451</v>
      </c>
      <c r="Y430" s="19">
        <v>0</v>
      </c>
      <c r="Z430" s="19">
        <v>1594.9794962067363</v>
      </c>
      <c r="AH430" s="19">
        <v>46.735999999999997</v>
      </c>
      <c r="AI430" s="19">
        <v>13.4</v>
      </c>
    </row>
    <row r="431" spans="1:35" s="19" customFormat="1" x14ac:dyDescent="0.25">
      <c r="A431">
        <v>2024</v>
      </c>
      <c r="B431" s="19">
        <v>1</v>
      </c>
      <c r="C431" s="24" t="s">
        <v>32</v>
      </c>
      <c r="D431" s="19" t="s">
        <v>25</v>
      </c>
      <c r="E431" s="24">
        <v>3</v>
      </c>
      <c r="F431" s="19">
        <v>22</v>
      </c>
      <c r="G431" s="25">
        <v>45483</v>
      </c>
      <c r="H431" s="18">
        <v>191</v>
      </c>
      <c r="J431" s="19" t="s">
        <v>107</v>
      </c>
      <c r="K431" s="19">
        <v>40800</v>
      </c>
      <c r="L431" s="19">
        <v>42.259999999999991</v>
      </c>
      <c r="M431" s="19">
        <v>0</v>
      </c>
      <c r="N431" s="19">
        <v>40.06</v>
      </c>
      <c r="O431" s="19">
        <v>0</v>
      </c>
      <c r="R431" s="19">
        <v>82.320000000000007</v>
      </c>
      <c r="S431" s="19">
        <v>107.28</v>
      </c>
      <c r="T431" s="19">
        <v>1964.7668393782385</v>
      </c>
      <c r="U431" s="19">
        <v>1</v>
      </c>
      <c r="V431" s="19">
        <v>0.96499999999999997</v>
      </c>
      <c r="W431" s="27">
        <f t="shared" si="2"/>
        <v>0.96499999999999997</v>
      </c>
      <c r="X431" s="19">
        <v>1008.6375927128807</v>
      </c>
      <c r="Y431" s="19">
        <v>0</v>
      </c>
      <c r="Z431" s="19">
        <v>956.12924666535764</v>
      </c>
      <c r="AH431" s="19">
        <v>35.56</v>
      </c>
      <c r="AI431" s="19">
        <v>13.4</v>
      </c>
    </row>
    <row r="432" spans="1:35" s="19" customFormat="1" x14ac:dyDescent="0.25">
      <c r="A432">
        <v>2024</v>
      </c>
      <c r="B432" s="19">
        <v>1</v>
      </c>
      <c r="C432" s="24" t="s">
        <v>24</v>
      </c>
      <c r="D432" s="19" t="s">
        <v>25</v>
      </c>
      <c r="E432" s="24">
        <v>3</v>
      </c>
      <c r="F432" s="19">
        <v>23</v>
      </c>
      <c r="G432" s="25">
        <v>45483</v>
      </c>
      <c r="H432" s="18">
        <v>191</v>
      </c>
      <c r="J432" s="19" t="s">
        <v>107</v>
      </c>
      <c r="K432" s="19">
        <v>40800</v>
      </c>
      <c r="L432" s="19">
        <v>17.759999999999998</v>
      </c>
      <c r="M432" s="19">
        <v>0</v>
      </c>
      <c r="N432" s="19">
        <v>19.459999999999994</v>
      </c>
      <c r="O432" s="19">
        <v>0</v>
      </c>
      <c r="R432" s="19">
        <v>37.219999999999992</v>
      </c>
      <c r="S432" s="19">
        <v>171.38</v>
      </c>
      <c r="T432" s="19">
        <v>2161.6580310880831</v>
      </c>
      <c r="U432" s="19">
        <v>1</v>
      </c>
      <c r="V432" s="19">
        <v>0.96499999999999997</v>
      </c>
      <c r="W432" s="27">
        <f t="shared" si="2"/>
        <v>0.96499999999999997</v>
      </c>
      <c r="X432" s="19">
        <v>1031.4628326739485</v>
      </c>
      <c r="Y432" s="19">
        <v>0</v>
      </c>
      <c r="Z432" s="19">
        <v>1130.1951984141347</v>
      </c>
      <c r="AH432" s="19">
        <v>37.083999999999996</v>
      </c>
      <c r="AI432" s="19">
        <v>14.4</v>
      </c>
    </row>
    <row r="433" spans="1:35" s="19" customFormat="1" x14ac:dyDescent="0.25">
      <c r="A433">
        <v>2024</v>
      </c>
      <c r="B433" s="19">
        <v>1</v>
      </c>
      <c r="C433" s="24" t="s">
        <v>28</v>
      </c>
      <c r="D433" s="19" t="s">
        <v>25</v>
      </c>
      <c r="E433" s="24">
        <v>3</v>
      </c>
      <c r="F433" s="19">
        <v>24</v>
      </c>
      <c r="G433" s="25">
        <v>45483</v>
      </c>
      <c r="H433" s="18">
        <v>191</v>
      </c>
      <c r="J433" s="19" t="s">
        <v>107</v>
      </c>
      <c r="K433" s="19">
        <v>40800</v>
      </c>
      <c r="L433" s="19">
        <v>18.86</v>
      </c>
      <c r="M433" s="19">
        <v>0</v>
      </c>
      <c r="N433" s="19">
        <v>29.159999999999997</v>
      </c>
      <c r="O433" s="19">
        <v>0</v>
      </c>
      <c r="R433" s="19">
        <v>48.019999999999996</v>
      </c>
      <c r="S433" s="19">
        <v>206.98000000000002</v>
      </c>
      <c r="T433" s="19">
        <v>2642.4870466321245</v>
      </c>
      <c r="U433" s="19">
        <v>1</v>
      </c>
      <c r="V433" s="20">
        <v>0.96499999999999997</v>
      </c>
      <c r="W433" s="28">
        <f t="shared" si="2"/>
        <v>0.96499999999999997</v>
      </c>
      <c r="X433" s="19">
        <v>1037.8447667530586</v>
      </c>
      <c r="Y433" s="19">
        <v>0</v>
      </c>
      <c r="Z433" s="19">
        <v>1604.6422798790659</v>
      </c>
      <c r="AH433" s="19">
        <v>44.195999999999998</v>
      </c>
      <c r="AI433" s="19">
        <v>11.4</v>
      </c>
    </row>
    <row r="434" spans="1:35" x14ac:dyDescent="0.25">
      <c r="A434" s="15">
        <v>2025</v>
      </c>
      <c r="B434" s="15">
        <v>1</v>
      </c>
      <c r="C434" s="15" t="s">
        <v>24</v>
      </c>
      <c r="D434" s="15" t="s">
        <v>38</v>
      </c>
      <c r="E434" s="15">
        <v>1</v>
      </c>
      <c r="F434" s="15">
        <v>101</v>
      </c>
      <c r="G434" s="14">
        <v>45847</v>
      </c>
      <c r="H434" s="15">
        <v>189</v>
      </c>
      <c r="I434" s="15">
        <v>36</v>
      </c>
      <c r="J434" s="15" t="s">
        <v>26</v>
      </c>
      <c r="K434" s="15">
        <v>37000</v>
      </c>
      <c r="L434" s="15">
        <v>6.8900000000000006</v>
      </c>
      <c r="M434" s="15"/>
      <c r="N434" s="15">
        <v>2.8900000000000006</v>
      </c>
      <c r="O434" s="15"/>
      <c r="P434" s="15"/>
      <c r="Q434" s="15"/>
      <c r="R434" s="15">
        <v>9.7800000000000011</v>
      </c>
      <c r="S434" s="15">
        <v>41.9</v>
      </c>
      <c r="T434" s="15">
        <v>565.42669584245073</v>
      </c>
      <c r="U434" s="15">
        <v>1</v>
      </c>
      <c r="V434" s="15">
        <v>0.91400000000000003</v>
      </c>
      <c r="W434" s="15">
        <v>0.91400000000000003</v>
      </c>
      <c r="X434" s="15">
        <v>6.8900000000000003E-3</v>
      </c>
      <c r="Z434" s="15">
        <v>2.8900000000000006E-3</v>
      </c>
      <c r="AA434" s="15"/>
      <c r="AB434" s="15"/>
      <c r="AC434" s="15"/>
      <c r="AD434" s="15"/>
      <c r="AE434" s="15"/>
      <c r="AF434" s="15"/>
      <c r="AG434" s="15"/>
      <c r="AH434" s="15">
        <v>5.7</v>
      </c>
      <c r="AI434" s="15">
        <v>5.6</v>
      </c>
    </row>
    <row r="435" spans="1:35" x14ac:dyDescent="0.25">
      <c r="A435">
        <v>2025</v>
      </c>
      <c r="B435">
        <v>1</v>
      </c>
      <c r="C435" t="s">
        <v>29</v>
      </c>
      <c r="D435" t="s">
        <v>38</v>
      </c>
      <c r="E435">
        <v>1</v>
      </c>
      <c r="F435">
        <v>105</v>
      </c>
      <c r="G435" s="12">
        <v>45847</v>
      </c>
      <c r="H435">
        <v>189</v>
      </c>
      <c r="I435">
        <v>36</v>
      </c>
      <c r="J435" t="s">
        <v>26</v>
      </c>
      <c r="K435">
        <v>37000</v>
      </c>
      <c r="L435">
        <v>4.8900000000000006</v>
      </c>
      <c r="N435">
        <v>1.8900000000000006</v>
      </c>
      <c r="R435">
        <v>6.7800000000000011</v>
      </c>
      <c r="S435">
        <v>41.9</v>
      </c>
      <c r="T435">
        <v>532.60393873085343</v>
      </c>
      <c r="U435">
        <v>1</v>
      </c>
      <c r="V435" s="15">
        <v>0.91400000000000003</v>
      </c>
      <c r="W435" s="15">
        <v>0.91400000000000003</v>
      </c>
      <c r="X435">
        <v>4.8900000000000002E-3</v>
      </c>
      <c r="Z435">
        <v>1.8900000000000006E-3</v>
      </c>
      <c r="AH435">
        <v>6.2</v>
      </c>
      <c r="AI435">
        <v>5.6</v>
      </c>
    </row>
    <row r="436" spans="1:35" x14ac:dyDescent="0.25">
      <c r="A436">
        <v>2025</v>
      </c>
      <c r="B436">
        <v>1</v>
      </c>
      <c r="C436" t="s">
        <v>28</v>
      </c>
      <c r="D436" t="s">
        <v>38</v>
      </c>
      <c r="E436">
        <v>1</v>
      </c>
      <c r="F436">
        <v>107</v>
      </c>
      <c r="G436" s="12">
        <v>45847</v>
      </c>
      <c r="H436">
        <v>189</v>
      </c>
      <c r="I436">
        <v>36</v>
      </c>
      <c r="J436" t="s">
        <v>26</v>
      </c>
      <c r="K436">
        <v>37000</v>
      </c>
      <c r="L436">
        <v>7.8900000000000006</v>
      </c>
      <c r="N436">
        <v>3.8900000000000006</v>
      </c>
      <c r="R436">
        <v>11.780000000000001</v>
      </c>
      <c r="S436">
        <v>34.9</v>
      </c>
      <c r="T436">
        <v>510.72210065645515</v>
      </c>
      <c r="U436">
        <v>1</v>
      </c>
      <c r="V436" s="15">
        <v>0.91400000000000003</v>
      </c>
      <c r="W436" s="15">
        <v>0.91400000000000003</v>
      </c>
      <c r="X436">
        <v>7.8900000000000012E-3</v>
      </c>
      <c r="Z436">
        <v>3.8900000000000007E-3</v>
      </c>
      <c r="AH436">
        <v>6.8</v>
      </c>
      <c r="AI436">
        <v>5</v>
      </c>
    </row>
    <row r="437" spans="1:35" x14ac:dyDescent="0.25">
      <c r="A437">
        <v>2025</v>
      </c>
      <c r="B437">
        <v>1</v>
      </c>
      <c r="C437" t="s">
        <v>32</v>
      </c>
      <c r="D437" t="s">
        <v>38</v>
      </c>
      <c r="E437">
        <v>1</v>
      </c>
      <c r="F437">
        <v>109</v>
      </c>
      <c r="G437" s="12">
        <v>45847</v>
      </c>
      <c r="H437">
        <v>189</v>
      </c>
      <c r="I437">
        <v>36</v>
      </c>
      <c r="J437" t="s">
        <v>26</v>
      </c>
      <c r="K437">
        <v>37000</v>
      </c>
      <c r="L437">
        <v>3.8900000000000006</v>
      </c>
      <c r="N437">
        <v>0.89000000000000057</v>
      </c>
      <c r="R437">
        <v>4.7800000000000011</v>
      </c>
      <c r="S437">
        <v>13.899999999999999</v>
      </c>
      <c r="T437">
        <v>204.37636761487965</v>
      </c>
      <c r="U437">
        <v>1</v>
      </c>
      <c r="V437" s="15">
        <v>0.91400000000000003</v>
      </c>
      <c r="W437" s="15">
        <v>0.91400000000000003</v>
      </c>
      <c r="X437">
        <v>3.8900000000000007E-3</v>
      </c>
      <c r="Z437">
        <v>8.900000000000006E-4</v>
      </c>
      <c r="AH437">
        <v>4.0999999999999996</v>
      </c>
      <c r="AI437">
        <v>3.8</v>
      </c>
    </row>
    <row r="438" spans="1:35" x14ac:dyDescent="0.25">
      <c r="A438">
        <v>2025</v>
      </c>
      <c r="B438">
        <v>1</v>
      </c>
      <c r="C438" t="s">
        <v>29</v>
      </c>
      <c r="D438" t="s">
        <v>38</v>
      </c>
      <c r="E438">
        <v>3</v>
      </c>
      <c r="F438">
        <v>304</v>
      </c>
      <c r="G438" s="12">
        <v>45847</v>
      </c>
      <c r="H438">
        <v>189</v>
      </c>
      <c r="I438">
        <v>36</v>
      </c>
      <c r="J438" t="s">
        <v>26</v>
      </c>
      <c r="K438">
        <v>37000</v>
      </c>
      <c r="L438">
        <v>4.8900000000000006</v>
      </c>
      <c r="N438">
        <v>2.8900000000000006</v>
      </c>
      <c r="R438">
        <v>7.7800000000000011</v>
      </c>
      <c r="S438">
        <v>37.9</v>
      </c>
      <c r="T438">
        <v>499.78118161925596</v>
      </c>
      <c r="U438">
        <v>1</v>
      </c>
      <c r="V438" s="15">
        <v>0.91400000000000003</v>
      </c>
      <c r="W438" s="15">
        <v>0.91400000000000003</v>
      </c>
      <c r="X438">
        <v>4.8900000000000002E-3</v>
      </c>
      <c r="Z438">
        <v>2.8900000000000006E-3</v>
      </c>
      <c r="AH438">
        <v>5.8</v>
      </c>
      <c r="AI438">
        <v>4.5999999999999996</v>
      </c>
    </row>
    <row r="439" spans="1:35" x14ac:dyDescent="0.25">
      <c r="A439">
        <v>2025</v>
      </c>
      <c r="B439">
        <v>1</v>
      </c>
      <c r="C439" t="s">
        <v>24</v>
      </c>
      <c r="D439" t="s">
        <v>38</v>
      </c>
      <c r="E439">
        <v>3</v>
      </c>
      <c r="F439">
        <v>306</v>
      </c>
      <c r="G439" s="12">
        <v>45847</v>
      </c>
      <c r="H439">
        <v>189</v>
      </c>
      <c r="I439">
        <v>36</v>
      </c>
      <c r="J439" t="s">
        <v>26</v>
      </c>
      <c r="K439">
        <v>37000</v>
      </c>
      <c r="L439">
        <v>7.8900000000000006</v>
      </c>
      <c r="N439">
        <v>3.8900000000000006</v>
      </c>
      <c r="R439">
        <v>11.780000000000001</v>
      </c>
      <c r="S439">
        <v>56.9</v>
      </c>
      <c r="T439">
        <v>751.42231947483594</v>
      </c>
      <c r="U439">
        <v>1</v>
      </c>
      <c r="V439" s="15">
        <v>0.91400000000000003</v>
      </c>
      <c r="W439" s="15">
        <v>0.91400000000000003</v>
      </c>
      <c r="X439">
        <v>7.8900000000000012E-3</v>
      </c>
      <c r="Z439">
        <v>3.8900000000000007E-3</v>
      </c>
      <c r="AH439">
        <v>6.5</v>
      </c>
      <c r="AI439">
        <v>5.2</v>
      </c>
    </row>
    <row r="440" spans="1:35" x14ac:dyDescent="0.25">
      <c r="A440">
        <v>2025</v>
      </c>
      <c r="B440">
        <v>1</v>
      </c>
      <c r="C440" t="s">
        <v>28</v>
      </c>
      <c r="D440" t="s">
        <v>38</v>
      </c>
      <c r="E440">
        <v>3</v>
      </c>
      <c r="F440">
        <v>308</v>
      </c>
      <c r="G440" s="12">
        <v>45847</v>
      </c>
      <c r="H440">
        <v>189</v>
      </c>
      <c r="I440">
        <v>36</v>
      </c>
      <c r="J440" t="s">
        <v>26</v>
      </c>
      <c r="K440">
        <v>37000</v>
      </c>
      <c r="L440">
        <v>4.8900000000000006</v>
      </c>
      <c r="N440">
        <v>0.89000000000000057</v>
      </c>
      <c r="R440">
        <v>5.7800000000000011</v>
      </c>
      <c r="S440">
        <v>42.9</v>
      </c>
      <c r="T440">
        <v>532.60393873085343</v>
      </c>
      <c r="U440">
        <v>1</v>
      </c>
      <c r="V440" s="15">
        <v>0.91400000000000003</v>
      </c>
      <c r="W440" s="15">
        <v>0.91400000000000003</v>
      </c>
      <c r="X440">
        <v>4.8900000000000002E-3</v>
      </c>
      <c r="Z440">
        <v>8.900000000000006E-4</v>
      </c>
      <c r="AH440">
        <v>6.2</v>
      </c>
      <c r="AI440">
        <v>4.5999999999999996</v>
      </c>
    </row>
    <row r="441" spans="1:35" x14ac:dyDescent="0.25">
      <c r="A441">
        <v>2025</v>
      </c>
      <c r="B441">
        <v>1</v>
      </c>
      <c r="C441" t="s">
        <v>32</v>
      </c>
      <c r="D441" t="s">
        <v>38</v>
      </c>
      <c r="E441">
        <v>3</v>
      </c>
      <c r="F441">
        <v>309</v>
      </c>
      <c r="G441" s="12">
        <v>45847</v>
      </c>
      <c r="H441">
        <v>189</v>
      </c>
      <c r="I441">
        <v>36</v>
      </c>
      <c r="J441" t="s">
        <v>26</v>
      </c>
      <c r="K441">
        <v>37000</v>
      </c>
      <c r="L441">
        <v>5.8900000000000006</v>
      </c>
      <c r="N441">
        <v>1.8900000000000006</v>
      </c>
      <c r="R441">
        <v>7.7800000000000011</v>
      </c>
      <c r="S441">
        <v>48.9</v>
      </c>
      <c r="T441">
        <v>620.13129102844641</v>
      </c>
      <c r="U441">
        <v>1</v>
      </c>
      <c r="V441" s="15">
        <v>0.91400000000000003</v>
      </c>
      <c r="W441" s="15">
        <v>0.91400000000000003</v>
      </c>
      <c r="X441">
        <v>5.8900000000000003E-3</v>
      </c>
      <c r="Z441">
        <v>1.8900000000000006E-3</v>
      </c>
      <c r="AH441">
        <v>5.2</v>
      </c>
      <c r="AI441">
        <v>5.2</v>
      </c>
    </row>
    <row r="442" spans="1:35" x14ac:dyDescent="0.25">
      <c r="A442">
        <v>2025</v>
      </c>
      <c r="B442">
        <v>1</v>
      </c>
      <c r="C442" t="s">
        <v>24</v>
      </c>
      <c r="D442" t="s">
        <v>38</v>
      </c>
      <c r="E442">
        <v>4</v>
      </c>
      <c r="F442">
        <v>402</v>
      </c>
      <c r="G442" s="12">
        <v>45847</v>
      </c>
      <c r="H442">
        <v>189</v>
      </c>
      <c r="I442">
        <v>36</v>
      </c>
      <c r="J442" t="s">
        <v>26</v>
      </c>
      <c r="K442">
        <v>37000</v>
      </c>
      <c r="L442">
        <v>7.8900000000000006</v>
      </c>
      <c r="N442">
        <v>1.8900000000000006</v>
      </c>
      <c r="R442">
        <v>9.7800000000000011</v>
      </c>
      <c r="S442">
        <v>27.9</v>
      </c>
      <c r="T442">
        <v>412.25382932166303</v>
      </c>
      <c r="U442">
        <v>1</v>
      </c>
      <c r="V442" s="15">
        <v>0.91400000000000003</v>
      </c>
      <c r="W442" s="15">
        <v>0.91400000000000003</v>
      </c>
      <c r="X442">
        <v>7.8900000000000012E-3</v>
      </c>
      <c r="Z442">
        <v>1.8900000000000006E-3</v>
      </c>
      <c r="AH442">
        <v>5.7</v>
      </c>
      <c r="AI442">
        <v>4.4000000000000004</v>
      </c>
    </row>
    <row r="443" spans="1:35" x14ac:dyDescent="0.25">
      <c r="A443">
        <v>2025</v>
      </c>
      <c r="B443">
        <v>1</v>
      </c>
      <c r="C443" t="s">
        <v>29</v>
      </c>
      <c r="D443" t="s">
        <v>38</v>
      </c>
      <c r="E443">
        <v>4</v>
      </c>
      <c r="F443">
        <v>403</v>
      </c>
      <c r="G443" s="12">
        <v>45847</v>
      </c>
      <c r="H443">
        <v>189</v>
      </c>
      <c r="I443">
        <v>36</v>
      </c>
      <c r="J443" t="s">
        <v>26</v>
      </c>
      <c r="K443">
        <v>37000</v>
      </c>
      <c r="L443">
        <v>2.8900000000000006</v>
      </c>
      <c r="N443">
        <v>0.89000000000000057</v>
      </c>
      <c r="R443">
        <v>3.7800000000000011</v>
      </c>
      <c r="S443">
        <v>31.9</v>
      </c>
      <c r="T443">
        <v>390.3719912472647</v>
      </c>
      <c r="U443">
        <v>1</v>
      </c>
      <c r="V443" s="15">
        <v>0.91400000000000003</v>
      </c>
      <c r="W443" s="15">
        <v>0.91400000000000003</v>
      </c>
      <c r="X443">
        <v>2.8900000000000006E-3</v>
      </c>
      <c r="Z443">
        <v>8.900000000000006E-4</v>
      </c>
      <c r="AH443">
        <v>5.8</v>
      </c>
      <c r="AI443">
        <v>4.2</v>
      </c>
    </row>
    <row r="444" spans="1:35" x14ac:dyDescent="0.25">
      <c r="A444">
        <v>2025</v>
      </c>
      <c r="B444">
        <v>1</v>
      </c>
      <c r="C444" t="s">
        <v>32</v>
      </c>
      <c r="D444" t="s">
        <v>38</v>
      </c>
      <c r="E444">
        <v>4</v>
      </c>
      <c r="F444">
        <v>404</v>
      </c>
      <c r="G444" s="12">
        <v>45847</v>
      </c>
      <c r="H444">
        <v>189</v>
      </c>
      <c r="I444">
        <v>36</v>
      </c>
      <c r="J444" t="s">
        <v>26</v>
      </c>
      <c r="K444">
        <v>37000</v>
      </c>
      <c r="L444">
        <v>4.8900000000000006</v>
      </c>
      <c r="N444">
        <v>1.8900000000000006</v>
      </c>
      <c r="R444">
        <v>6.7800000000000011</v>
      </c>
      <c r="S444">
        <v>20.9</v>
      </c>
      <c r="T444">
        <v>302.84463894967178</v>
      </c>
      <c r="U444">
        <v>1</v>
      </c>
      <c r="V444" s="15">
        <v>0.91400000000000003</v>
      </c>
      <c r="W444" s="15">
        <v>0.91400000000000003</v>
      </c>
      <c r="X444">
        <v>4.8900000000000002E-3</v>
      </c>
      <c r="Z444">
        <v>1.8900000000000006E-3</v>
      </c>
      <c r="AH444">
        <v>6.2</v>
      </c>
      <c r="AI444">
        <v>5.2</v>
      </c>
    </row>
    <row r="445" spans="1:35" x14ac:dyDescent="0.25">
      <c r="A445">
        <v>2025</v>
      </c>
      <c r="B445">
        <v>1</v>
      </c>
      <c r="C445" t="s">
        <v>28</v>
      </c>
      <c r="D445" t="s">
        <v>38</v>
      </c>
      <c r="E445">
        <v>4</v>
      </c>
      <c r="F445">
        <v>405</v>
      </c>
      <c r="G445" s="12">
        <v>45847</v>
      </c>
      <c r="H445">
        <v>189</v>
      </c>
      <c r="I445">
        <v>36</v>
      </c>
      <c r="J445" t="s">
        <v>26</v>
      </c>
      <c r="K445">
        <v>37000</v>
      </c>
      <c r="L445">
        <v>4.8900000000000006</v>
      </c>
      <c r="N445">
        <v>1.8900000000000006</v>
      </c>
      <c r="R445">
        <v>6.7800000000000011</v>
      </c>
      <c r="S445">
        <v>19.899999999999999</v>
      </c>
      <c r="T445">
        <v>291.90371991247264</v>
      </c>
      <c r="U445">
        <v>1</v>
      </c>
      <c r="V445" s="15">
        <v>0.91400000000000003</v>
      </c>
      <c r="W445" s="15">
        <v>0.91400000000000003</v>
      </c>
      <c r="X445">
        <v>4.8900000000000002E-3</v>
      </c>
      <c r="Z445">
        <v>1.8900000000000006E-3</v>
      </c>
      <c r="AH445">
        <v>6</v>
      </c>
      <c r="AI445">
        <v>4.5999999999999996</v>
      </c>
    </row>
    <row r="446" spans="1:35" x14ac:dyDescent="0.25">
      <c r="A446">
        <v>2025</v>
      </c>
      <c r="B446">
        <v>1</v>
      </c>
      <c r="C446" t="s">
        <v>24</v>
      </c>
      <c r="D446" t="s">
        <v>25</v>
      </c>
      <c r="E446">
        <v>1</v>
      </c>
      <c r="F446">
        <v>501</v>
      </c>
      <c r="G446" s="12">
        <v>45847</v>
      </c>
      <c r="H446">
        <v>189</v>
      </c>
      <c r="I446">
        <v>36</v>
      </c>
      <c r="J446" t="s">
        <v>26</v>
      </c>
      <c r="K446">
        <v>37000</v>
      </c>
      <c r="L446">
        <v>9.89</v>
      </c>
      <c r="N446">
        <v>4.8900000000000006</v>
      </c>
      <c r="R446">
        <v>14.780000000000001</v>
      </c>
      <c r="S446">
        <v>79.900000000000006</v>
      </c>
      <c r="T446">
        <v>1035.8862144420132</v>
      </c>
      <c r="U446">
        <v>1</v>
      </c>
      <c r="V446" s="15">
        <v>0.91400000000000003</v>
      </c>
      <c r="W446" s="15">
        <v>0.91400000000000003</v>
      </c>
      <c r="X446">
        <v>9.8900000000000012E-3</v>
      </c>
      <c r="Z446">
        <v>4.8900000000000002E-3</v>
      </c>
      <c r="AH446">
        <v>7.8</v>
      </c>
      <c r="AI446">
        <v>5.4</v>
      </c>
    </row>
    <row r="447" spans="1:35" x14ac:dyDescent="0.25">
      <c r="A447">
        <v>2025</v>
      </c>
      <c r="B447">
        <v>1</v>
      </c>
      <c r="C447" t="s">
        <v>29</v>
      </c>
      <c r="D447" t="s">
        <v>25</v>
      </c>
      <c r="E447">
        <v>1</v>
      </c>
      <c r="F447">
        <v>505</v>
      </c>
      <c r="G447" s="12">
        <v>45847</v>
      </c>
      <c r="H447">
        <v>189</v>
      </c>
      <c r="I447">
        <v>36</v>
      </c>
      <c r="J447" t="s">
        <v>26</v>
      </c>
      <c r="K447">
        <v>37000</v>
      </c>
      <c r="L447">
        <v>6.8900000000000006</v>
      </c>
      <c r="N447">
        <v>2.8900000000000006</v>
      </c>
      <c r="R447">
        <v>9.7800000000000011</v>
      </c>
      <c r="S447">
        <v>40.9</v>
      </c>
      <c r="T447">
        <v>554.48577680525159</v>
      </c>
      <c r="U447">
        <v>1</v>
      </c>
      <c r="V447" s="15">
        <v>0.91400000000000003</v>
      </c>
      <c r="W447" s="15">
        <v>0.91400000000000003</v>
      </c>
      <c r="X447">
        <v>6.8900000000000003E-3</v>
      </c>
      <c r="Z447">
        <v>2.8900000000000006E-3</v>
      </c>
      <c r="AH447">
        <v>7.6</v>
      </c>
      <c r="AI447">
        <v>4.8</v>
      </c>
    </row>
    <row r="448" spans="1:35" x14ac:dyDescent="0.25">
      <c r="A448">
        <v>2025</v>
      </c>
      <c r="B448">
        <v>1</v>
      </c>
      <c r="C448" t="s">
        <v>28</v>
      </c>
      <c r="D448" t="s">
        <v>25</v>
      </c>
      <c r="E448">
        <v>1</v>
      </c>
      <c r="F448">
        <v>507</v>
      </c>
      <c r="G448" s="12">
        <v>45847</v>
      </c>
      <c r="H448">
        <v>189</v>
      </c>
      <c r="I448">
        <v>36</v>
      </c>
      <c r="J448" t="s">
        <v>26</v>
      </c>
      <c r="K448">
        <v>37000</v>
      </c>
      <c r="L448">
        <v>4.8900000000000006</v>
      </c>
      <c r="N448">
        <v>2.8900000000000006</v>
      </c>
      <c r="R448">
        <v>7.7800000000000011</v>
      </c>
      <c r="S448">
        <v>41.9</v>
      </c>
      <c r="T448">
        <v>543.54485776805245</v>
      </c>
      <c r="U448">
        <v>1</v>
      </c>
      <c r="V448" s="15">
        <v>0.91400000000000003</v>
      </c>
      <c r="W448" s="15">
        <v>0.91400000000000003</v>
      </c>
      <c r="X448">
        <v>4.8900000000000002E-3</v>
      </c>
      <c r="Z448">
        <v>2.8900000000000006E-3</v>
      </c>
      <c r="AH448">
        <v>7.2</v>
      </c>
      <c r="AI448">
        <v>5.4</v>
      </c>
    </row>
    <row r="449" spans="1:35" x14ac:dyDescent="0.25">
      <c r="A449">
        <v>2025</v>
      </c>
      <c r="B449">
        <v>1</v>
      </c>
      <c r="C449" t="s">
        <v>32</v>
      </c>
      <c r="D449" t="s">
        <v>25</v>
      </c>
      <c r="E449">
        <v>1</v>
      </c>
      <c r="F449">
        <v>509</v>
      </c>
      <c r="G449" s="12">
        <v>45847</v>
      </c>
      <c r="H449">
        <v>189</v>
      </c>
      <c r="I449">
        <v>36</v>
      </c>
      <c r="J449" t="s">
        <v>26</v>
      </c>
      <c r="K449">
        <v>37000</v>
      </c>
      <c r="L449">
        <v>7.8900000000000006</v>
      </c>
      <c r="N449">
        <v>2.8900000000000006</v>
      </c>
      <c r="R449">
        <v>10.780000000000001</v>
      </c>
      <c r="S449">
        <v>39.9</v>
      </c>
      <c r="T449">
        <v>554.48577680525159</v>
      </c>
      <c r="U449">
        <v>1</v>
      </c>
      <c r="V449" s="15">
        <v>0.91400000000000003</v>
      </c>
      <c r="W449" s="15">
        <v>0.91400000000000003</v>
      </c>
      <c r="X449">
        <v>7.8900000000000012E-3</v>
      </c>
      <c r="Z449">
        <v>2.8900000000000006E-3</v>
      </c>
      <c r="AH449">
        <v>6</v>
      </c>
      <c r="AI449">
        <v>5.4</v>
      </c>
    </row>
    <row r="450" spans="1:35" x14ac:dyDescent="0.25">
      <c r="A450">
        <v>2025</v>
      </c>
      <c r="B450">
        <v>1</v>
      </c>
      <c r="C450" t="s">
        <v>29</v>
      </c>
      <c r="D450" t="s">
        <v>25</v>
      </c>
      <c r="E450">
        <v>3</v>
      </c>
      <c r="F450">
        <v>704</v>
      </c>
      <c r="G450" s="12">
        <v>45847</v>
      </c>
      <c r="H450">
        <v>189</v>
      </c>
      <c r="I450">
        <v>36</v>
      </c>
      <c r="J450" t="s">
        <v>26</v>
      </c>
      <c r="K450">
        <v>37000</v>
      </c>
      <c r="L450">
        <v>7.8900000000000006</v>
      </c>
      <c r="N450">
        <v>3.8900000000000006</v>
      </c>
      <c r="R450">
        <v>11.780000000000001</v>
      </c>
      <c r="S450">
        <v>68.900000000000006</v>
      </c>
      <c r="T450">
        <v>882.71334792122548</v>
      </c>
      <c r="U450">
        <v>1</v>
      </c>
      <c r="V450" s="15">
        <v>0.91400000000000003</v>
      </c>
      <c r="W450" s="15">
        <v>0.91400000000000003</v>
      </c>
      <c r="X450">
        <v>7.8900000000000012E-3</v>
      </c>
      <c r="Z450">
        <v>3.8900000000000007E-3</v>
      </c>
      <c r="AH450">
        <v>8.1</v>
      </c>
      <c r="AI450">
        <v>5.6</v>
      </c>
    </row>
    <row r="451" spans="1:35" x14ac:dyDescent="0.25">
      <c r="A451">
        <v>2025</v>
      </c>
      <c r="B451">
        <v>1</v>
      </c>
      <c r="C451" t="s">
        <v>24</v>
      </c>
      <c r="D451" t="s">
        <v>25</v>
      </c>
      <c r="E451">
        <v>3</v>
      </c>
      <c r="F451">
        <v>706</v>
      </c>
      <c r="G451" s="12">
        <v>45847</v>
      </c>
      <c r="H451">
        <v>189</v>
      </c>
      <c r="I451">
        <v>36</v>
      </c>
      <c r="J451" t="s">
        <v>26</v>
      </c>
      <c r="K451">
        <v>37000</v>
      </c>
      <c r="L451">
        <v>5.8900000000000006</v>
      </c>
      <c r="N451">
        <v>1.8900000000000006</v>
      </c>
      <c r="R451">
        <v>7.7800000000000011</v>
      </c>
      <c r="S451">
        <v>53.9</v>
      </c>
      <c r="T451">
        <v>674.83588621444198</v>
      </c>
      <c r="U451">
        <v>1</v>
      </c>
      <c r="V451" s="15">
        <v>0.91400000000000003</v>
      </c>
      <c r="W451" s="15">
        <v>0.91400000000000003</v>
      </c>
      <c r="X451">
        <v>5.8900000000000003E-3</v>
      </c>
      <c r="Z451">
        <v>1.8900000000000006E-3</v>
      </c>
      <c r="AH451">
        <v>5.5</v>
      </c>
      <c r="AI451">
        <v>5</v>
      </c>
    </row>
    <row r="452" spans="1:35" x14ac:dyDescent="0.25">
      <c r="A452">
        <v>2025</v>
      </c>
      <c r="B452">
        <v>1</v>
      </c>
      <c r="C452" t="s">
        <v>28</v>
      </c>
      <c r="D452" t="s">
        <v>25</v>
      </c>
      <c r="E452">
        <v>3</v>
      </c>
      <c r="F452">
        <v>708</v>
      </c>
      <c r="G452" s="12">
        <v>45847</v>
      </c>
      <c r="H452">
        <v>189</v>
      </c>
      <c r="I452">
        <v>36</v>
      </c>
      <c r="J452" t="s">
        <v>26</v>
      </c>
      <c r="K452">
        <v>37000</v>
      </c>
      <c r="L452">
        <v>7.8900000000000006</v>
      </c>
      <c r="N452">
        <v>3.8900000000000006</v>
      </c>
      <c r="R452">
        <v>11.780000000000001</v>
      </c>
      <c r="S452">
        <v>47.9</v>
      </c>
      <c r="T452">
        <v>652.95404814004371</v>
      </c>
      <c r="U452">
        <v>1</v>
      </c>
      <c r="V452" s="15">
        <v>0.91400000000000003</v>
      </c>
      <c r="W452" s="15">
        <v>0.91400000000000003</v>
      </c>
      <c r="X452">
        <v>7.8900000000000012E-3</v>
      </c>
      <c r="Z452">
        <v>3.8900000000000007E-3</v>
      </c>
      <c r="AH452">
        <v>7.1</v>
      </c>
      <c r="AI452">
        <v>5</v>
      </c>
    </row>
    <row r="453" spans="1:35" x14ac:dyDescent="0.25">
      <c r="A453">
        <v>2025</v>
      </c>
      <c r="B453">
        <v>1</v>
      </c>
      <c r="C453" t="s">
        <v>32</v>
      </c>
      <c r="D453" t="s">
        <v>25</v>
      </c>
      <c r="E453">
        <v>3</v>
      </c>
      <c r="F453">
        <v>709</v>
      </c>
      <c r="G453" s="12">
        <v>45847</v>
      </c>
      <c r="H453">
        <v>189</v>
      </c>
      <c r="I453">
        <v>36</v>
      </c>
      <c r="J453" t="s">
        <v>26</v>
      </c>
      <c r="K453">
        <v>37000</v>
      </c>
      <c r="L453">
        <v>4.8900000000000006</v>
      </c>
      <c r="N453">
        <v>2.8900000000000006</v>
      </c>
      <c r="R453">
        <v>7.7800000000000011</v>
      </c>
      <c r="S453">
        <v>43.9</v>
      </c>
      <c r="T453">
        <v>565.42669584245073</v>
      </c>
      <c r="U453">
        <v>1</v>
      </c>
      <c r="V453" s="15">
        <v>0.91400000000000003</v>
      </c>
      <c r="W453" s="15">
        <v>0.91400000000000003</v>
      </c>
      <c r="X453">
        <v>4.8900000000000002E-3</v>
      </c>
      <c r="Z453">
        <v>2.8900000000000006E-3</v>
      </c>
      <c r="AH453">
        <v>5.8</v>
      </c>
      <c r="AI453">
        <v>4.8</v>
      </c>
    </row>
    <row r="454" spans="1:35" x14ac:dyDescent="0.25">
      <c r="A454">
        <v>2025</v>
      </c>
      <c r="B454">
        <v>1</v>
      </c>
      <c r="C454" t="s">
        <v>24</v>
      </c>
      <c r="D454" t="s">
        <v>25</v>
      </c>
      <c r="E454">
        <v>4</v>
      </c>
      <c r="F454">
        <v>802</v>
      </c>
      <c r="G454" s="12">
        <v>45847</v>
      </c>
      <c r="H454">
        <v>189</v>
      </c>
      <c r="I454">
        <v>36</v>
      </c>
      <c r="J454" t="s">
        <v>26</v>
      </c>
      <c r="K454">
        <v>37000</v>
      </c>
      <c r="L454">
        <v>7.8900000000000006</v>
      </c>
      <c r="N454">
        <v>3.8900000000000006</v>
      </c>
      <c r="R454">
        <v>11.780000000000001</v>
      </c>
      <c r="S454">
        <v>32.9</v>
      </c>
      <c r="T454">
        <v>488.84026258205688</v>
      </c>
      <c r="U454">
        <v>1</v>
      </c>
      <c r="V454" s="15">
        <v>0.91400000000000003</v>
      </c>
      <c r="W454" s="15">
        <v>0.91400000000000003</v>
      </c>
      <c r="X454">
        <v>7.8900000000000012E-3</v>
      </c>
      <c r="Z454">
        <v>3.8900000000000007E-3</v>
      </c>
      <c r="AH454">
        <v>6.4</v>
      </c>
      <c r="AI454">
        <v>5.4</v>
      </c>
    </row>
    <row r="455" spans="1:35" x14ac:dyDescent="0.25">
      <c r="A455">
        <v>2025</v>
      </c>
      <c r="B455">
        <v>1</v>
      </c>
      <c r="C455" t="s">
        <v>29</v>
      </c>
      <c r="D455" t="s">
        <v>25</v>
      </c>
      <c r="E455">
        <v>4</v>
      </c>
      <c r="F455">
        <v>803</v>
      </c>
      <c r="G455" s="12">
        <v>45847</v>
      </c>
      <c r="H455">
        <v>189</v>
      </c>
      <c r="I455">
        <v>36</v>
      </c>
      <c r="J455" t="s">
        <v>26</v>
      </c>
      <c r="K455">
        <v>37000</v>
      </c>
      <c r="L455">
        <v>6.8900000000000006</v>
      </c>
      <c r="N455">
        <v>2.8900000000000006</v>
      </c>
      <c r="R455">
        <v>9.7800000000000011</v>
      </c>
      <c r="S455">
        <v>32.9</v>
      </c>
      <c r="T455">
        <v>466.95842450765866</v>
      </c>
      <c r="U455">
        <v>1</v>
      </c>
      <c r="V455" s="15">
        <v>0.91400000000000003</v>
      </c>
      <c r="W455" s="15">
        <v>0.91400000000000003</v>
      </c>
      <c r="X455">
        <v>6.8900000000000003E-3</v>
      </c>
      <c r="Z455">
        <v>2.8900000000000006E-3</v>
      </c>
      <c r="AH455">
        <v>6.3</v>
      </c>
      <c r="AI455">
        <v>5</v>
      </c>
    </row>
    <row r="456" spans="1:35" x14ac:dyDescent="0.25">
      <c r="A456">
        <v>2025</v>
      </c>
      <c r="B456">
        <v>1</v>
      </c>
      <c r="C456" t="s">
        <v>32</v>
      </c>
      <c r="D456" t="s">
        <v>25</v>
      </c>
      <c r="E456">
        <v>4</v>
      </c>
      <c r="F456">
        <v>804</v>
      </c>
      <c r="G456" s="12">
        <v>45847</v>
      </c>
      <c r="H456">
        <v>189</v>
      </c>
      <c r="I456">
        <v>36</v>
      </c>
      <c r="J456" t="s">
        <v>26</v>
      </c>
      <c r="K456">
        <v>37000</v>
      </c>
      <c r="L456">
        <v>6.8900000000000006</v>
      </c>
      <c r="N456">
        <v>1.8900000000000006</v>
      </c>
      <c r="R456">
        <v>8.7800000000000011</v>
      </c>
      <c r="S456">
        <v>25.9</v>
      </c>
      <c r="T456">
        <v>379.43107221006562</v>
      </c>
      <c r="U456">
        <v>1</v>
      </c>
      <c r="V456" s="15">
        <v>0.91400000000000003</v>
      </c>
      <c r="W456" s="15">
        <v>0.91400000000000003</v>
      </c>
      <c r="X456">
        <v>6.8900000000000003E-3</v>
      </c>
      <c r="Z456">
        <v>1.8900000000000006E-3</v>
      </c>
      <c r="AH456">
        <v>5.5</v>
      </c>
      <c r="AI456">
        <v>5.2</v>
      </c>
    </row>
    <row r="457" spans="1:35" x14ac:dyDescent="0.25">
      <c r="A457">
        <v>2025</v>
      </c>
      <c r="B457">
        <v>1</v>
      </c>
      <c r="C457" t="s">
        <v>28</v>
      </c>
      <c r="D457" t="s">
        <v>25</v>
      </c>
      <c r="E457">
        <v>4</v>
      </c>
      <c r="F457">
        <v>805</v>
      </c>
      <c r="G457" s="12">
        <v>45847</v>
      </c>
      <c r="H457">
        <v>189</v>
      </c>
      <c r="I457">
        <v>36</v>
      </c>
      <c r="J457" t="s">
        <v>26</v>
      </c>
      <c r="K457">
        <v>37000</v>
      </c>
      <c r="L457">
        <v>4.8900000000000006</v>
      </c>
      <c r="N457">
        <v>0.89000000000000057</v>
      </c>
      <c r="R457">
        <v>5.7800000000000011</v>
      </c>
      <c r="S457">
        <v>31.9</v>
      </c>
      <c r="T457">
        <v>412.25382932166303</v>
      </c>
      <c r="U457">
        <v>1</v>
      </c>
      <c r="V457" s="15">
        <v>0.91400000000000003</v>
      </c>
      <c r="W457" s="15">
        <v>0.91400000000000003</v>
      </c>
      <c r="X457">
        <v>4.8900000000000002E-3</v>
      </c>
      <c r="Z457">
        <v>8.900000000000006E-4</v>
      </c>
      <c r="AH457">
        <v>5.5</v>
      </c>
      <c r="AI457">
        <v>4.5999999999999996</v>
      </c>
    </row>
    <row r="458" spans="1:35" x14ac:dyDescent="0.25">
      <c r="A458" s="15">
        <v>2025</v>
      </c>
      <c r="B458" s="15">
        <v>2</v>
      </c>
      <c r="C458" s="15" t="s">
        <v>24</v>
      </c>
      <c r="D458" s="15" t="s">
        <v>38</v>
      </c>
      <c r="E458" s="15">
        <v>1</v>
      </c>
      <c r="F458" s="15">
        <v>101</v>
      </c>
      <c r="G458" s="14">
        <v>45861</v>
      </c>
      <c r="H458" s="15">
        <v>203</v>
      </c>
      <c r="I458" s="15">
        <v>50</v>
      </c>
      <c r="J458" s="15" t="s">
        <v>26</v>
      </c>
      <c r="K458" s="15">
        <v>37000</v>
      </c>
      <c r="L458" s="15">
        <v>9.89</v>
      </c>
      <c r="M458" s="15"/>
      <c r="N458" s="15">
        <v>7.8900000000000006</v>
      </c>
      <c r="O458" s="15">
        <v>0.39999999999999858</v>
      </c>
      <c r="P458" s="15"/>
      <c r="Q458" s="15"/>
      <c r="R458" s="15">
        <v>18.18</v>
      </c>
      <c r="S458" s="15">
        <v>97</v>
      </c>
      <c r="T458" s="15">
        <v>1260.1750547045951</v>
      </c>
      <c r="U458" s="15">
        <v>1</v>
      </c>
      <c r="V458">
        <v>0.91400000000000003</v>
      </c>
      <c r="W458">
        <v>0.91400000000000003</v>
      </c>
      <c r="X458" s="15">
        <v>9.8900000000000012E-3</v>
      </c>
      <c r="Y458" s="15"/>
      <c r="Z458" s="15">
        <v>7.8900000000000012E-3</v>
      </c>
      <c r="AA458" s="15">
        <v>3.9999999999999856E-4</v>
      </c>
      <c r="AB458" s="15"/>
      <c r="AC458" s="15"/>
      <c r="AD458" s="15"/>
      <c r="AE458" s="15"/>
      <c r="AF458" s="15"/>
      <c r="AG458" s="15"/>
      <c r="AH458" s="15">
        <v>9.8000000000000007</v>
      </c>
      <c r="AI458">
        <v>7.4</v>
      </c>
    </row>
    <row r="459" spans="1:35" x14ac:dyDescent="0.25">
      <c r="A459">
        <v>2025</v>
      </c>
      <c r="B459">
        <v>2</v>
      </c>
      <c r="C459" t="s">
        <v>29</v>
      </c>
      <c r="D459" t="s">
        <v>38</v>
      </c>
      <c r="E459">
        <v>1</v>
      </c>
      <c r="F459">
        <v>105</v>
      </c>
      <c r="G459" s="12">
        <v>45861</v>
      </c>
      <c r="H459">
        <v>203</v>
      </c>
      <c r="I459">
        <v>50</v>
      </c>
      <c r="J459" t="s">
        <v>26</v>
      </c>
      <c r="K459">
        <v>37000</v>
      </c>
      <c r="L459">
        <v>13.89</v>
      </c>
      <c r="N459">
        <v>12.89</v>
      </c>
      <c r="O459">
        <v>0.10000000000000142</v>
      </c>
      <c r="R459">
        <v>26.880000000000003</v>
      </c>
      <c r="S459">
        <v>82</v>
      </c>
      <c r="T459">
        <v>1191.2472647702407</v>
      </c>
      <c r="U459">
        <v>1</v>
      </c>
      <c r="V459">
        <v>0.91400000000000003</v>
      </c>
      <c r="W459">
        <v>0.91400000000000003</v>
      </c>
      <c r="X459">
        <v>1.3890000000000001E-2</v>
      </c>
      <c r="Z459">
        <v>1.289E-2</v>
      </c>
      <c r="AA459">
        <v>1.0000000000000143E-4</v>
      </c>
      <c r="AH459">
        <v>11.4</v>
      </c>
      <c r="AI459">
        <v>9.6</v>
      </c>
    </row>
    <row r="460" spans="1:35" x14ac:dyDescent="0.25">
      <c r="A460">
        <v>2025</v>
      </c>
      <c r="B460">
        <v>2</v>
      </c>
      <c r="C460" t="s">
        <v>28</v>
      </c>
      <c r="D460" t="s">
        <v>38</v>
      </c>
      <c r="E460">
        <v>1</v>
      </c>
      <c r="F460">
        <v>107</v>
      </c>
      <c r="G460" s="12">
        <v>45861</v>
      </c>
      <c r="H460">
        <v>203</v>
      </c>
      <c r="I460">
        <v>50</v>
      </c>
      <c r="J460" t="s">
        <v>26</v>
      </c>
      <c r="K460">
        <v>37000</v>
      </c>
      <c r="L460">
        <v>7.8900000000000006</v>
      </c>
      <c r="N460">
        <v>5.8900000000000006</v>
      </c>
      <c r="O460">
        <v>0.19999999999999929</v>
      </c>
      <c r="R460">
        <v>13.98</v>
      </c>
      <c r="S460">
        <v>77</v>
      </c>
      <c r="T460">
        <v>995.40481400437625</v>
      </c>
      <c r="U460">
        <v>1</v>
      </c>
      <c r="V460">
        <v>0.91400000000000003</v>
      </c>
      <c r="W460">
        <v>0.91400000000000003</v>
      </c>
      <c r="X460">
        <v>7.8900000000000012E-3</v>
      </c>
      <c r="Z460">
        <v>5.8900000000000003E-3</v>
      </c>
      <c r="AA460">
        <v>1.9999999999999928E-4</v>
      </c>
      <c r="AH460">
        <v>10.199999999999999</v>
      </c>
      <c r="AI460">
        <v>7.4</v>
      </c>
    </row>
    <row r="461" spans="1:35" x14ac:dyDescent="0.25">
      <c r="A461">
        <v>2025</v>
      </c>
      <c r="B461">
        <v>2</v>
      </c>
      <c r="C461" t="s">
        <v>32</v>
      </c>
      <c r="D461" t="s">
        <v>38</v>
      </c>
      <c r="E461">
        <v>1</v>
      </c>
      <c r="F461">
        <v>109</v>
      </c>
      <c r="G461" s="12">
        <v>45861</v>
      </c>
      <c r="H461">
        <v>203</v>
      </c>
      <c r="I461">
        <v>50</v>
      </c>
      <c r="J461" t="s">
        <v>26</v>
      </c>
      <c r="K461">
        <v>37000</v>
      </c>
      <c r="L461">
        <v>11.89</v>
      </c>
      <c r="N461">
        <v>5.8900000000000006</v>
      </c>
      <c r="R461">
        <v>17.78</v>
      </c>
      <c r="S461">
        <v>46</v>
      </c>
      <c r="T461">
        <v>697.81181619256017</v>
      </c>
      <c r="U461">
        <v>1</v>
      </c>
      <c r="V461">
        <v>0.91400000000000003</v>
      </c>
      <c r="W461">
        <v>0.91400000000000003</v>
      </c>
      <c r="X461">
        <v>1.1890000000000001E-2</v>
      </c>
      <c r="Z461">
        <v>5.8900000000000003E-3</v>
      </c>
      <c r="AA461">
        <v>0</v>
      </c>
      <c r="AH461">
        <v>8.1</v>
      </c>
      <c r="AI461">
        <v>8.1999999999999993</v>
      </c>
    </row>
    <row r="462" spans="1:35" x14ac:dyDescent="0.25">
      <c r="A462">
        <v>2025</v>
      </c>
      <c r="B462">
        <v>2</v>
      </c>
      <c r="C462" t="s">
        <v>29</v>
      </c>
      <c r="D462" t="s">
        <v>38</v>
      </c>
      <c r="E462">
        <v>3</v>
      </c>
      <c r="F462">
        <v>304</v>
      </c>
      <c r="G462" s="12">
        <v>45861</v>
      </c>
      <c r="H462">
        <v>203</v>
      </c>
      <c r="I462">
        <v>50</v>
      </c>
      <c r="J462" t="s">
        <v>26</v>
      </c>
      <c r="K462">
        <v>37000</v>
      </c>
      <c r="L462">
        <v>8.89</v>
      </c>
      <c r="N462">
        <v>6.8900000000000006</v>
      </c>
      <c r="R462">
        <v>15.780000000000001</v>
      </c>
      <c r="S462">
        <v>56</v>
      </c>
      <c r="T462">
        <v>785.33916849015316</v>
      </c>
      <c r="U462">
        <v>1</v>
      </c>
      <c r="V462">
        <v>0.91400000000000003</v>
      </c>
      <c r="W462">
        <v>0.91400000000000003</v>
      </c>
      <c r="X462">
        <v>8.8900000000000003E-3</v>
      </c>
      <c r="Z462">
        <v>6.8900000000000003E-3</v>
      </c>
      <c r="AA462">
        <v>0</v>
      </c>
      <c r="AH462">
        <v>11.2</v>
      </c>
      <c r="AI462">
        <v>8</v>
      </c>
    </row>
    <row r="463" spans="1:35" x14ac:dyDescent="0.25">
      <c r="A463">
        <v>2025</v>
      </c>
      <c r="B463">
        <v>2</v>
      </c>
      <c r="C463" t="s">
        <v>24</v>
      </c>
      <c r="D463" t="s">
        <v>38</v>
      </c>
      <c r="E463">
        <v>3</v>
      </c>
      <c r="F463">
        <v>306</v>
      </c>
      <c r="G463" s="12">
        <v>45861</v>
      </c>
      <c r="H463">
        <v>203</v>
      </c>
      <c r="I463">
        <v>50</v>
      </c>
      <c r="J463" t="s">
        <v>26</v>
      </c>
      <c r="K463">
        <v>37000</v>
      </c>
      <c r="L463">
        <v>17.89</v>
      </c>
      <c r="N463">
        <v>15.89</v>
      </c>
      <c r="O463">
        <v>0.19999999999999929</v>
      </c>
      <c r="R463">
        <v>33.980000000000004</v>
      </c>
      <c r="S463">
        <v>149</v>
      </c>
      <c r="T463">
        <v>2001.969365426696</v>
      </c>
      <c r="U463">
        <v>1</v>
      </c>
      <c r="V463">
        <v>0.91400000000000003</v>
      </c>
      <c r="W463">
        <v>0.91400000000000003</v>
      </c>
      <c r="X463">
        <v>1.789E-2</v>
      </c>
      <c r="Z463">
        <v>1.5890000000000001E-2</v>
      </c>
      <c r="AA463">
        <v>1.9999999999999928E-4</v>
      </c>
      <c r="AH463">
        <v>12.9</v>
      </c>
      <c r="AI463">
        <v>9.6</v>
      </c>
    </row>
    <row r="464" spans="1:35" x14ac:dyDescent="0.25">
      <c r="A464">
        <v>2025</v>
      </c>
      <c r="B464">
        <v>2</v>
      </c>
      <c r="C464" t="s">
        <v>28</v>
      </c>
      <c r="D464" t="s">
        <v>38</v>
      </c>
      <c r="E464">
        <v>3</v>
      </c>
      <c r="F464">
        <v>308</v>
      </c>
      <c r="G464" s="12">
        <v>45861</v>
      </c>
      <c r="H464">
        <v>203</v>
      </c>
      <c r="I464">
        <v>50</v>
      </c>
      <c r="J464" t="s">
        <v>26</v>
      </c>
      <c r="K464">
        <v>37000</v>
      </c>
      <c r="L464">
        <v>12.89</v>
      </c>
      <c r="N464">
        <v>12.89</v>
      </c>
      <c r="O464">
        <v>0.39999999999999858</v>
      </c>
      <c r="R464">
        <v>26.18</v>
      </c>
      <c r="S464">
        <v>80</v>
      </c>
      <c r="T464">
        <v>1161.7067833698031</v>
      </c>
      <c r="U464">
        <v>1</v>
      </c>
      <c r="V464">
        <v>0.91400000000000003</v>
      </c>
      <c r="W464">
        <v>0.91400000000000003</v>
      </c>
      <c r="X464">
        <v>1.289E-2</v>
      </c>
      <c r="Z464">
        <v>1.289E-2</v>
      </c>
      <c r="AA464">
        <v>3.9999999999999856E-4</v>
      </c>
      <c r="AH464">
        <v>12.78</v>
      </c>
      <c r="AI464">
        <v>9.1999999999999993</v>
      </c>
    </row>
    <row r="465" spans="1:35" x14ac:dyDescent="0.25">
      <c r="A465">
        <v>2025</v>
      </c>
      <c r="B465">
        <v>2</v>
      </c>
      <c r="C465" t="s">
        <v>32</v>
      </c>
      <c r="D465" t="s">
        <v>38</v>
      </c>
      <c r="E465">
        <v>3</v>
      </c>
      <c r="F465">
        <v>309</v>
      </c>
      <c r="G465" s="12">
        <v>45861</v>
      </c>
      <c r="H465">
        <v>203</v>
      </c>
      <c r="I465">
        <v>50</v>
      </c>
      <c r="J465" t="s">
        <v>26</v>
      </c>
      <c r="K465">
        <v>37000</v>
      </c>
      <c r="L465">
        <v>12.89</v>
      </c>
      <c r="N465">
        <v>5.8900000000000006</v>
      </c>
      <c r="O465">
        <v>0.5</v>
      </c>
      <c r="R465">
        <v>19.28</v>
      </c>
      <c r="S465">
        <v>75</v>
      </c>
      <c r="T465">
        <v>1031.5098468271335</v>
      </c>
      <c r="U465">
        <v>1</v>
      </c>
      <c r="V465">
        <v>0.91400000000000003</v>
      </c>
      <c r="W465">
        <v>0.91400000000000003</v>
      </c>
      <c r="X465">
        <v>1.289E-2</v>
      </c>
      <c r="Z465">
        <v>5.8900000000000003E-3</v>
      </c>
      <c r="AA465">
        <v>5.0000000000000001E-4</v>
      </c>
      <c r="AH465">
        <v>8.8000000000000007</v>
      </c>
      <c r="AI465">
        <v>8.8000000000000007</v>
      </c>
    </row>
    <row r="466" spans="1:35" x14ac:dyDescent="0.25">
      <c r="A466">
        <v>2025</v>
      </c>
      <c r="B466">
        <v>2</v>
      </c>
      <c r="C466" t="s">
        <v>24</v>
      </c>
      <c r="D466" t="s">
        <v>38</v>
      </c>
      <c r="E466">
        <v>4</v>
      </c>
      <c r="F466">
        <v>402</v>
      </c>
      <c r="G466" s="12">
        <v>45861</v>
      </c>
      <c r="H466">
        <v>203</v>
      </c>
      <c r="I466">
        <v>50</v>
      </c>
      <c r="J466" t="s">
        <v>26</v>
      </c>
      <c r="K466">
        <v>37000</v>
      </c>
      <c r="L466">
        <v>12.89</v>
      </c>
      <c r="N466">
        <v>6.8900000000000006</v>
      </c>
      <c r="O466">
        <v>0.19999999999999929</v>
      </c>
      <c r="R466">
        <v>19.98</v>
      </c>
      <c r="S466">
        <v>74</v>
      </c>
      <c r="T466">
        <v>1028.2275711159737</v>
      </c>
      <c r="U466">
        <v>1</v>
      </c>
      <c r="V466">
        <v>0.91400000000000003</v>
      </c>
      <c r="W466">
        <v>0.91400000000000003</v>
      </c>
      <c r="X466">
        <v>1.289E-2</v>
      </c>
      <c r="Z466">
        <v>6.8900000000000003E-3</v>
      </c>
      <c r="AA466">
        <v>1.9999999999999928E-4</v>
      </c>
      <c r="AH466">
        <v>9.1</v>
      </c>
      <c r="AI466">
        <v>8</v>
      </c>
    </row>
    <row r="467" spans="1:35" x14ac:dyDescent="0.25">
      <c r="A467">
        <v>2025</v>
      </c>
      <c r="B467">
        <v>2</v>
      </c>
      <c r="C467" t="s">
        <v>29</v>
      </c>
      <c r="D467" t="s">
        <v>38</v>
      </c>
      <c r="E467">
        <v>4</v>
      </c>
      <c r="F467">
        <v>403</v>
      </c>
      <c r="G467" s="12">
        <v>45861</v>
      </c>
      <c r="H467">
        <v>203</v>
      </c>
      <c r="I467">
        <v>50</v>
      </c>
      <c r="J467" t="s">
        <v>26</v>
      </c>
      <c r="K467">
        <v>37000</v>
      </c>
      <c r="L467">
        <v>8.89</v>
      </c>
      <c r="N467">
        <v>7.8900000000000006</v>
      </c>
      <c r="O467">
        <v>0</v>
      </c>
      <c r="R467">
        <v>16.78</v>
      </c>
      <c r="S467">
        <v>88</v>
      </c>
      <c r="T467">
        <v>1146.3894967177243</v>
      </c>
      <c r="U467">
        <v>1</v>
      </c>
      <c r="V467">
        <v>0.91400000000000003</v>
      </c>
      <c r="W467">
        <v>0.91400000000000003</v>
      </c>
      <c r="X467">
        <v>8.8900000000000003E-3</v>
      </c>
      <c r="Z467">
        <v>7.8900000000000012E-3</v>
      </c>
      <c r="AA467">
        <v>0</v>
      </c>
      <c r="AH467">
        <v>13.12</v>
      </c>
      <c r="AI467">
        <v>8.4</v>
      </c>
    </row>
    <row r="468" spans="1:35" x14ac:dyDescent="0.25">
      <c r="A468">
        <v>2025</v>
      </c>
      <c r="B468">
        <v>2</v>
      </c>
      <c r="C468" t="s">
        <v>32</v>
      </c>
      <c r="D468" t="s">
        <v>38</v>
      </c>
      <c r="E468">
        <v>4</v>
      </c>
      <c r="F468">
        <v>404</v>
      </c>
      <c r="G468" s="12">
        <v>45861</v>
      </c>
      <c r="H468">
        <v>203</v>
      </c>
      <c r="I468">
        <v>50</v>
      </c>
      <c r="J468" t="s">
        <v>26</v>
      </c>
      <c r="K468">
        <v>37000</v>
      </c>
      <c r="L468">
        <v>9.89</v>
      </c>
      <c r="N468">
        <v>8.89</v>
      </c>
      <c r="R468">
        <v>18.78</v>
      </c>
      <c r="S468">
        <v>80</v>
      </c>
      <c r="T468">
        <v>1080.7439824945295</v>
      </c>
      <c r="U468">
        <v>1</v>
      </c>
      <c r="V468">
        <v>0.91400000000000003</v>
      </c>
      <c r="W468">
        <v>0.91400000000000003</v>
      </c>
      <c r="X468">
        <v>9.8900000000000012E-3</v>
      </c>
      <c r="Z468">
        <v>8.8900000000000003E-3</v>
      </c>
      <c r="AA468">
        <v>0</v>
      </c>
      <c r="AH468">
        <v>10.1</v>
      </c>
      <c r="AI468">
        <v>8.8000000000000007</v>
      </c>
    </row>
    <row r="469" spans="1:35" x14ac:dyDescent="0.25">
      <c r="A469">
        <v>2025</v>
      </c>
      <c r="B469">
        <v>2</v>
      </c>
      <c r="C469" t="s">
        <v>28</v>
      </c>
      <c r="D469" t="s">
        <v>38</v>
      </c>
      <c r="E469">
        <v>4</v>
      </c>
      <c r="F469">
        <v>405</v>
      </c>
      <c r="G469" s="12">
        <v>45861</v>
      </c>
      <c r="H469">
        <v>203</v>
      </c>
      <c r="I469">
        <v>50</v>
      </c>
      <c r="J469" t="s">
        <v>26</v>
      </c>
      <c r="K469">
        <v>37000</v>
      </c>
      <c r="L469">
        <v>5.8900000000000006</v>
      </c>
      <c r="N469">
        <v>7.8900000000000006</v>
      </c>
      <c r="O469">
        <v>0</v>
      </c>
      <c r="R469">
        <v>13.780000000000001</v>
      </c>
      <c r="S469">
        <v>79</v>
      </c>
      <c r="T469">
        <v>1015.0984682713348</v>
      </c>
      <c r="U469">
        <v>1</v>
      </c>
      <c r="V469">
        <v>0.91400000000000003</v>
      </c>
      <c r="W469">
        <v>0.91400000000000003</v>
      </c>
      <c r="X469">
        <v>5.8900000000000003E-3</v>
      </c>
      <c r="Z469">
        <v>7.8900000000000012E-3</v>
      </c>
      <c r="AA469">
        <v>0</v>
      </c>
      <c r="AH469">
        <v>9.6999999999999993</v>
      </c>
      <c r="AI469">
        <v>7</v>
      </c>
    </row>
    <row r="470" spans="1:35" x14ac:dyDescent="0.25">
      <c r="A470">
        <v>2025</v>
      </c>
      <c r="B470">
        <v>2</v>
      </c>
      <c r="C470" t="s">
        <v>24</v>
      </c>
      <c r="D470" t="s">
        <v>25</v>
      </c>
      <c r="E470">
        <v>1</v>
      </c>
      <c r="F470">
        <v>501</v>
      </c>
      <c r="G470" s="12">
        <v>45861</v>
      </c>
      <c r="H470">
        <v>203</v>
      </c>
      <c r="I470">
        <v>50</v>
      </c>
      <c r="J470" t="s">
        <v>26</v>
      </c>
      <c r="K470">
        <v>37000</v>
      </c>
      <c r="L470">
        <v>23.89</v>
      </c>
      <c r="N470">
        <v>19.89</v>
      </c>
      <c r="O470">
        <v>0.19999999999999929</v>
      </c>
      <c r="R470">
        <v>43.980000000000004</v>
      </c>
      <c r="S470">
        <v>195</v>
      </c>
      <c r="T470">
        <v>2614.6608315098465</v>
      </c>
      <c r="U470">
        <v>1</v>
      </c>
      <c r="V470">
        <v>0.91400000000000003</v>
      </c>
      <c r="W470">
        <v>0.91400000000000003</v>
      </c>
      <c r="X470">
        <v>2.3890000000000002E-2</v>
      </c>
      <c r="Z470">
        <v>1.9890000000000001E-2</v>
      </c>
      <c r="AA470">
        <v>1.9999999999999928E-4</v>
      </c>
      <c r="AH470">
        <v>14.1</v>
      </c>
      <c r="AI470">
        <v>10.8</v>
      </c>
    </row>
    <row r="471" spans="1:35" x14ac:dyDescent="0.25">
      <c r="A471">
        <v>2025</v>
      </c>
      <c r="B471">
        <v>2</v>
      </c>
      <c r="C471" t="s">
        <v>29</v>
      </c>
      <c r="D471" t="s">
        <v>25</v>
      </c>
      <c r="E471">
        <v>1</v>
      </c>
      <c r="F471">
        <v>505</v>
      </c>
      <c r="G471" s="12">
        <v>45861</v>
      </c>
      <c r="H471">
        <v>203</v>
      </c>
      <c r="I471">
        <v>50</v>
      </c>
      <c r="J471" t="s">
        <v>26</v>
      </c>
      <c r="K471">
        <v>37000</v>
      </c>
      <c r="L471">
        <v>12.89</v>
      </c>
      <c r="N471">
        <v>11.89</v>
      </c>
      <c r="O471">
        <v>0</v>
      </c>
      <c r="R471">
        <v>24.78</v>
      </c>
      <c r="S471">
        <v>88</v>
      </c>
      <c r="T471">
        <v>1233.9168490153172</v>
      </c>
      <c r="U471">
        <v>1</v>
      </c>
      <c r="V471">
        <v>0.91400000000000003</v>
      </c>
      <c r="W471">
        <v>0.91400000000000003</v>
      </c>
      <c r="X471">
        <v>1.289E-2</v>
      </c>
      <c r="Z471">
        <v>1.1890000000000001E-2</v>
      </c>
      <c r="AA471">
        <v>0</v>
      </c>
      <c r="AH471">
        <v>11.459999999999999</v>
      </c>
      <c r="AI471">
        <v>8.6</v>
      </c>
    </row>
    <row r="472" spans="1:35" x14ac:dyDescent="0.25">
      <c r="A472">
        <v>2025</v>
      </c>
      <c r="B472">
        <v>2</v>
      </c>
      <c r="C472" t="s">
        <v>28</v>
      </c>
      <c r="D472" t="s">
        <v>25</v>
      </c>
      <c r="E472">
        <v>1</v>
      </c>
      <c r="F472">
        <v>507</v>
      </c>
      <c r="G472" s="12">
        <v>45861</v>
      </c>
      <c r="H472">
        <v>203</v>
      </c>
      <c r="I472">
        <v>50</v>
      </c>
      <c r="J472" t="s">
        <v>26</v>
      </c>
      <c r="K472">
        <v>37000</v>
      </c>
      <c r="L472">
        <v>10.89</v>
      </c>
      <c r="N472">
        <v>11.89</v>
      </c>
      <c r="O472">
        <v>0.10000000000000142</v>
      </c>
      <c r="R472">
        <v>22.880000000000003</v>
      </c>
      <c r="S472">
        <v>124</v>
      </c>
      <c r="T472">
        <v>1607.0021881838072</v>
      </c>
      <c r="U472">
        <v>1</v>
      </c>
      <c r="V472">
        <v>0.91400000000000003</v>
      </c>
      <c r="W472">
        <v>0.91400000000000003</v>
      </c>
      <c r="X472">
        <v>1.089E-2</v>
      </c>
      <c r="Z472">
        <v>1.1890000000000001E-2</v>
      </c>
      <c r="AA472">
        <v>1.0000000000000143E-4</v>
      </c>
      <c r="AH472">
        <v>12.64</v>
      </c>
      <c r="AI472">
        <v>9.1999999999999993</v>
      </c>
    </row>
    <row r="473" spans="1:35" x14ac:dyDescent="0.25">
      <c r="A473">
        <v>2025</v>
      </c>
      <c r="B473">
        <v>2</v>
      </c>
      <c r="C473" t="s">
        <v>32</v>
      </c>
      <c r="D473" t="s">
        <v>25</v>
      </c>
      <c r="E473">
        <v>1</v>
      </c>
      <c r="F473">
        <v>509</v>
      </c>
      <c r="G473" s="12">
        <v>45861</v>
      </c>
      <c r="H473">
        <v>203</v>
      </c>
      <c r="I473">
        <v>50</v>
      </c>
      <c r="J473" t="s">
        <v>26</v>
      </c>
      <c r="K473">
        <v>37000</v>
      </c>
      <c r="L473">
        <v>13.89</v>
      </c>
      <c r="N473">
        <v>13.89</v>
      </c>
      <c r="R473">
        <v>27.78</v>
      </c>
      <c r="S473">
        <v>119</v>
      </c>
      <c r="T473">
        <v>1605.9080962800874</v>
      </c>
      <c r="U473">
        <v>1</v>
      </c>
      <c r="V473">
        <v>0.91400000000000003</v>
      </c>
      <c r="W473">
        <v>0.91400000000000003</v>
      </c>
      <c r="X473">
        <v>1.3890000000000001E-2</v>
      </c>
      <c r="Z473">
        <v>1.3890000000000001E-2</v>
      </c>
      <c r="AA473">
        <v>0</v>
      </c>
      <c r="AH473">
        <v>10.739999999999998</v>
      </c>
      <c r="AI473">
        <v>11</v>
      </c>
    </row>
    <row r="474" spans="1:35" x14ac:dyDescent="0.25">
      <c r="A474">
        <v>2025</v>
      </c>
      <c r="B474">
        <v>2</v>
      </c>
      <c r="C474" t="s">
        <v>29</v>
      </c>
      <c r="D474" t="s">
        <v>25</v>
      </c>
      <c r="E474">
        <v>3</v>
      </c>
      <c r="F474">
        <v>704</v>
      </c>
      <c r="G474" s="12">
        <v>45861</v>
      </c>
      <c r="H474">
        <v>203</v>
      </c>
      <c r="I474">
        <v>50</v>
      </c>
      <c r="J474" t="s">
        <v>26</v>
      </c>
      <c r="K474">
        <v>37000</v>
      </c>
      <c r="L474">
        <v>21.89</v>
      </c>
      <c r="N474">
        <v>21.89</v>
      </c>
      <c r="O474">
        <v>0.10000000000000142</v>
      </c>
      <c r="R474">
        <v>43.88</v>
      </c>
      <c r="S474">
        <v>153</v>
      </c>
      <c r="T474">
        <v>2154.0481400437634</v>
      </c>
      <c r="U474">
        <v>1</v>
      </c>
      <c r="V474">
        <v>0.91400000000000003</v>
      </c>
      <c r="W474">
        <v>0.91400000000000003</v>
      </c>
      <c r="X474">
        <v>2.189E-2</v>
      </c>
      <c r="Z474">
        <v>2.189E-2</v>
      </c>
      <c r="AA474">
        <v>1.0000000000000143E-4</v>
      </c>
      <c r="AH474">
        <v>15</v>
      </c>
      <c r="AI474">
        <v>10.8</v>
      </c>
    </row>
    <row r="475" spans="1:35" x14ac:dyDescent="0.25">
      <c r="A475">
        <v>2025</v>
      </c>
      <c r="B475">
        <v>2</v>
      </c>
      <c r="C475" t="s">
        <v>24</v>
      </c>
      <c r="D475" t="s">
        <v>25</v>
      </c>
      <c r="E475">
        <v>3</v>
      </c>
      <c r="F475">
        <v>706</v>
      </c>
      <c r="G475" s="12">
        <v>45861</v>
      </c>
      <c r="H475">
        <v>203</v>
      </c>
      <c r="I475">
        <v>50</v>
      </c>
      <c r="J475" t="s">
        <v>26</v>
      </c>
      <c r="K475">
        <v>37000</v>
      </c>
      <c r="L475">
        <v>17.89</v>
      </c>
      <c r="N475">
        <v>16.89</v>
      </c>
      <c r="O475">
        <v>0.60000000000000142</v>
      </c>
      <c r="R475">
        <v>35.380000000000003</v>
      </c>
      <c r="S475">
        <v>125</v>
      </c>
      <c r="T475">
        <v>1754.7045951859955</v>
      </c>
      <c r="U475">
        <v>1</v>
      </c>
      <c r="V475">
        <v>0.91400000000000003</v>
      </c>
      <c r="W475">
        <v>0.91400000000000003</v>
      </c>
      <c r="X475">
        <v>1.789E-2</v>
      </c>
      <c r="Z475">
        <v>1.6890000000000002E-2</v>
      </c>
      <c r="AA475">
        <v>6.0000000000000147E-4</v>
      </c>
      <c r="AH475">
        <v>12.559999999999999</v>
      </c>
      <c r="AI475">
        <v>9.8000000000000007</v>
      </c>
    </row>
    <row r="476" spans="1:35" x14ac:dyDescent="0.25">
      <c r="A476">
        <v>2025</v>
      </c>
      <c r="B476">
        <v>2</v>
      </c>
      <c r="C476" t="s">
        <v>28</v>
      </c>
      <c r="D476" t="s">
        <v>25</v>
      </c>
      <c r="E476">
        <v>3</v>
      </c>
      <c r="F476">
        <v>708</v>
      </c>
      <c r="G476" s="12">
        <v>45861</v>
      </c>
      <c r="H476">
        <v>203</v>
      </c>
      <c r="I476">
        <v>50</v>
      </c>
      <c r="J476" t="s">
        <v>26</v>
      </c>
      <c r="K476">
        <v>37000</v>
      </c>
      <c r="L476">
        <v>11.89</v>
      </c>
      <c r="N476">
        <v>9.89</v>
      </c>
      <c r="O476">
        <v>0.10000000000000142</v>
      </c>
      <c r="R476">
        <v>21.880000000000003</v>
      </c>
      <c r="S476">
        <v>84</v>
      </c>
      <c r="T476">
        <v>1158.4245076586433</v>
      </c>
      <c r="U476">
        <v>1</v>
      </c>
      <c r="V476">
        <v>0.91400000000000003</v>
      </c>
      <c r="W476">
        <v>0.91400000000000003</v>
      </c>
      <c r="X476">
        <v>1.1890000000000001E-2</v>
      </c>
      <c r="Z476">
        <v>9.8900000000000012E-3</v>
      </c>
      <c r="AA476">
        <v>1.0000000000000143E-4</v>
      </c>
      <c r="AH476">
        <v>10.1</v>
      </c>
      <c r="AI476">
        <v>8.1999999999999993</v>
      </c>
    </row>
    <row r="477" spans="1:35" x14ac:dyDescent="0.25">
      <c r="A477">
        <v>2025</v>
      </c>
      <c r="B477">
        <v>2</v>
      </c>
      <c r="C477" t="s">
        <v>32</v>
      </c>
      <c r="D477" t="s">
        <v>25</v>
      </c>
      <c r="E477">
        <v>3</v>
      </c>
      <c r="F477">
        <v>709</v>
      </c>
      <c r="G477" s="12">
        <v>45861</v>
      </c>
      <c r="H477">
        <v>203</v>
      </c>
      <c r="I477">
        <v>50</v>
      </c>
      <c r="J477" t="s">
        <v>26</v>
      </c>
      <c r="K477">
        <v>37000</v>
      </c>
      <c r="L477">
        <v>6.8900000000000006</v>
      </c>
      <c r="N477">
        <v>4.8900000000000006</v>
      </c>
      <c r="R477">
        <v>11.780000000000001</v>
      </c>
      <c r="S477">
        <v>80</v>
      </c>
      <c r="T477">
        <v>1004.1575492341357</v>
      </c>
      <c r="U477">
        <v>1</v>
      </c>
      <c r="V477">
        <v>0.91400000000000003</v>
      </c>
      <c r="W477">
        <v>0.91400000000000003</v>
      </c>
      <c r="X477">
        <v>6.8900000000000003E-3</v>
      </c>
      <c r="Z477">
        <v>4.8900000000000002E-3</v>
      </c>
      <c r="AA477">
        <v>0</v>
      </c>
      <c r="AH477">
        <v>7.4</v>
      </c>
      <c r="AI477">
        <v>8.6</v>
      </c>
    </row>
    <row r="478" spans="1:35" x14ac:dyDescent="0.25">
      <c r="A478">
        <v>2025</v>
      </c>
      <c r="B478">
        <v>2</v>
      </c>
      <c r="C478" t="s">
        <v>24</v>
      </c>
      <c r="D478" t="s">
        <v>25</v>
      </c>
      <c r="E478">
        <v>4</v>
      </c>
      <c r="F478">
        <v>802</v>
      </c>
      <c r="G478" s="12">
        <v>45861</v>
      </c>
      <c r="H478">
        <v>203</v>
      </c>
      <c r="I478">
        <v>50</v>
      </c>
      <c r="J478" t="s">
        <v>26</v>
      </c>
      <c r="K478">
        <v>37000</v>
      </c>
      <c r="L478">
        <v>19.89</v>
      </c>
      <c r="N478">
        <v>16.89</v>
      </c>
      <c r="O478">
        <v>0.80000000000000071</v>
      </c>
      <c r="R478">
        <v>37.58</v>
      </c>
      <c r="S478">
        <v>137</v>
      </c>
      <c r="T478">
        <v>1910.0656455142228</v>
      </c>
      <c r="U478">
        <v>1</v>
      </c>
      <c r="V478">
        <v>0.91400000000000003</v>
      </c>
      <c r="W478">
        <v>0.91400000000000003</v>
      </c>
      <c r="X478">
        <v>1.9890000000000001E-2</v>
      </c>
      <c r="Z478">
        <v>1.6890000000000002E-2</v>
      </c>
      <c r="AA478">
        <v>8.0000000000000069E-4</v>
      </c>
      <c r="AH478">
        <v>11.9</v>
      </c>
      <c r="AI478">
        <v>9.8000000000000007</v>
      </c>
    </row>
    <row r="479" spans="1:35" x14ac:dyDescent="0.25">
      <c r="A479">
        <v>2025</v>
      </c>
      <c r="B479">
        <v>2</v>
      </c>
      <c r="C479" t="s">
        <v>29</v>
      </c>
      <c r="D479" t="s">
        <v>25</v>
      </c>
      <c r="E479">
        <v>4</v>
      </c>
      <c r="F479">
        <v>803</v>
      </c>
      <c r="G479" s="12">
        <v>45861</v>
      </c>
      <c r="H479">
        <v>203</v>
      </c>
      <c r="I479">
        <v>50</v>
      </c>
      <c r="J479" t="s">
        <v>26</v>
      </c>
      <c r="K479">
        <v>37000</v>
      </c>
      <c r="L479">
        <v>15.89</v>
      </c>
      <c r="N479">
        <v>14.89</v>
      </c>
      <c r="O479">
        <v>0.30000000000000071</v>
      </c>
      <c r="R479">
        <v>31.080000000000002</v>
      </c>
      <c r="S479">
        <v>97</v>
      </c>
      <c r="T479">
        <v>1401.3129102844641</v>
      </c>
      <c r="U479">
        <v>1</v>
      </c>
      <c r="V479">
        <v>0.91400000000000003</v>
      </c>
      <c r="W479">
        <v>0.91400000000000003</v>
      </c>
      <c r="X479">
        <v>1.5890000000000001E-2</v>
      </c>
      <c r="Z479">
        <v>1.489E-2</v>
      </c>
      <c r="AA479">
        <v>3.0000000000000073E-4</v>
      </c>
      <c r="AH479">
        <v>12.86</v>
      </c>
      <c r="AI479">
        <v>9.8000000000000007</v>
      </c>
    </row>
    <row r="480" spans="1:35" x14ac:dyDescent="0.25">
      <c r="A480">
        <v>2025</v>
      </c>
      <c r="B480">
        <v>2</v>
      </c>
      <c r="C480" t="s">
        <v>32</v>
      </c>
      <c r="D480" t="s">
        <v>25</v>
      </c>
      <c r="E480">
        <v>4</v>
      </c>
      <c r="F480">
        <v>804</v>
      </c>
      <c r="G480" s="12">
        <v>45861</v>
      </c>
      <c r="H480">
        <v>203</v>
      </c>
      <c r="I480">
        <v>50</v>
      </c>
      <c r="J480" t="s">
        <v>26</v>
      </c>
      <c r="K480">
        <v>37000</v>
      </c>
      <c r="L480">
        <v>5.8900000000000006</v>
      </c>
      <c r="N480">
        <v>5.8900000000000006</v>
      </c>
      <c r="R480">
        <v>11.780000000000001</v>
      </c>
      <c r="S480">
        <v>104</v>
      </c>
      <c r="T480">
        <v>1266.7396061269144</v>
      </c>
      <c r="U480">
        <v>1</v>
      </c>
      <c r="V480">
        <v>0.91400000000000003</v>
      </c>
      <c r="W480">
        <v>0.91400000000000003</v>
      </c>
      <c r="X480">
        <v>5.8900000000000003E-3</v>
      </c>
      <c r="Z480">
        <v>5.8900000000000003E-3</v>
      </c>
      <c r="AA480">
        <v>0</v>
      </c>
      <c r="AH480">
        <v>8.1</v>
      </c>
      <c r="AI480">
        <v>8.1999999999999993</v>
      </c>
    </row>
    <row r="481" spans="1:35" x14ac:dyDescent="0.25">
      <c r="A481">
        <v>2025</v>
      </c>
      <c r="B481">
        <v>2</v>
      </c>
      <c r="C481" t="s">
        <v>28</v>
      </c>
      <c r="D481" t="s">
        <v>25</v>
      </c>
      <c r="E481">
        <v>4</v>
      </c>
      <c r="F481">
        <v>805</v>
      </c>
      <c r="G481" s="12">
        <v>45861</v>
      </c>
      <c r="H481">
        <v>203</v>
      </c>
      <c r="I481">
        <v>50</v>
      </c>
      <c r="J481" t="s">
        <v>26</v>
      </c>
      <c r="K481">
        <v>37000</v>
      </c>
      <c r="L481">
        <v>20.89</v>
      </c>
      <c r="N481">
        <v>17.89</v>
      </c>
      <c r="O481">
        <v>0.69999999999999929</v>
      </c>
      <c r="R481">
        <v>39.480000000000004</v>
      </c>
      <c r="S481">
        <v>57</v>
      </c>
      <c r="T481">
        <v>1055.5798687089714</v>
      </c>
      <c r="U481">
        <v>1</v>
      </c>
      <c r="V481">
        <v>0.91400000000000003</v>
      </c>
      <c r="W481">
        <v>0.91400000000000003</v>
      </c>
      <c r="X481">
        <v>2.0889999999999999E-2</v>
      </c>
      <c r="Z481">
        <v>1.789E-2</v>
      </c>
      <c r="AA481">
        <v>6.9999999999999934E-4</v>
      </c>
      <c r="AH481">
        <v>10.8</v>
      </c>
      <c r="AI481">
        <v>10.199999999999999</v>
      </c>
    </row>
    <row r="482" spans="1:35" x14ac:dyDescent="0.25">
      <c r="A482">
        <v>2025</v>
      </c>
      <c r="B482">
        <v>3</v>
      </c>
      <c r="C482" t="s">
        <v>24</v>
      </c>
      <c r="D482" t="s">
        <v>38</v>
      </c>
      <c r="E482" s="15">
        <v>1</v>
      </c>
      <c r="F482">
        <v>101</v>
      </c>
      <c r="G482" s="12">
        <v>45872</v>
      </c>
      <c r="H482">
        <v>214</v>
      </c>
      <c r="I482">
        <v>61</v>
      </c>
      <c r="J482" t="s">
        <v>26</v>
      </c>
      <c r="K482">
        <v>37000</v>
      </c>
      <c r="L482">
        <v>13</v>
      </c>
      <c r="N482">
        <v>16</v>
      </c>
      <c r="O482">
        <v>1</v>
      </c>
      <c r="R482">
        <v>30</v>
      </c>
      <c r="S482">
        <v>186</v>
      </c>
      <c r="T482">
        <v>2363.2385120350109</v>
      </c>
      <c r="U482">
        <v>1</v>
      </c>
      <c r="V482">
        <v>0.91400000000000003</v>
      </c>
      <c r="W482">
        <v>0.91400000000000003</v>
      </c>
      <c r="X482">
        <v>1.2999999999999999E-2</v>
      </c>
      <c r="Z482">
        <v>1.6E-2</v>
      </c>
      <c r="AA482">
        <v>1E-3</v>
      </c>
      <c r="AH482">
        <v>15.8</v>
      </c>
      <c r="AI482">
        <v>9.6</v>
      </c>
    </row>
    <row r="483" spans="1:35" x14ac:dyDescent="0.25">
      <c r="A483">
        <v>2025</v>
      </c>
      <c r="B483">
        <v>3</v>
      </c>
      <c r="C483" t="s">
        <v>29</v>
      </c>
      <c r="D483" t="s">
        <v>38</v>
      </c>
      <c r="E483">
        <v>1</v>
      </c>
      <c r="F483">
        <v>105</v>
      </c>
      <c r="G483" s="12">
        <v>45872</v>
      </c>
      <c r="H483">
        <v>214</v>
      </c>
      <c r="I483">
        <v>61</v>
      </c>
      <c r="J483" t="s">
        <v>26</v>
      </c>
      <c r="K483">
        <v>37000</v>
      </c>
      <c r="L483">
        <v>27</v>
      </c>
      <c r="N483">
        <v>41</v>
      </c>
      <c r="O483">
        <v>1</v>
      </c>
      <c r="R483">
        <v>69</v>
      </c>
      <c r="S483">
        <v>150</v>
      </c>
      <c r="T483">
        <v>2396.0612691466081</v>
      </c>
      <c r="U483">
        <v>1</v>
      </c>
      <c r="V483">
        <v>0.91400000000000003</v>
      </c>
      <c r="W483">
        <v>0.91400000000000003</v>
      </c>
      <c r="X483">
        <v>2.7E-2</v>
      </c>
      <c r="Z483">
        <v>4.1000000000000002E-2</v>
      </c>
      <c r="AA483">
        <v>1E-3</v>
      </c>
      <c r="AH483">
        <v>25.2</v>
      </c>
      <c r="AI483">
        <v>12.4</v>
      </c>
    </row>
    <row r="484" spans="1:35" x14ac:dyDescent="0.25">
      <c r="A484">
        <v>2025</v>
      </c>
      <c r="B484">
        <v>3</v>
      </c>
      <c r="C484" t="s">
        <v>28</v>
      </c>
      <c r="D484" t="s">
        <v>38</v>
      </c>
      <c r="E484">
        <v>1</v>
      </c>
      <c r="F484">
        <v>107</v>
      </c>
      <c r="G484" s="12">
        <v>45872</v>
      </c>
      <c r="H484">
        <v>214</v>
      </c>
      <c r="I484">
        <v>61</v>
      </c>
      <c r="J484" t="s">
        <v>26</v>
      </c>
      <c r="K484">
        <v>37000</v>
      </c>
      <c r="L484">
        <v>28</v>
      </c>
      <c r="N484">
        <v>37</v>
      </c>
      <c r="O484">
        <v>1</v>
      </c>
      <c r="R484">
        <v>66</v>
      </c>
      <c r="S484">
        <v>195</v>
      </c>
      <c r="T484">
        <v>2855.5798687089714</v>
      </c>
      <c r="U484">
        <v>1</v>
      </c>
      <c r="V484">
        <v>0.91400000000000003</v>
      </c>
      <c r="W484">
        <v>0.91400000000000003</v>
      </c>
      <c r="X484">
        <v>2.8000000000000001E-2</v>
      </c>
      <c r="Z484">
        <v>3.6999999999999998E-2</v>
      </c>
      <c r="AA484">
        <v>1E-3</v>
      </c>
      <c r="AH484">
        <v>21.3</v>
      </c>
      <c r="AI484">
        <v>12.6</v>
      </c>
    </row>
    <row r="485" spans="1:35" x14ac:dyDescent="0.25">
      <c r="A485">
        <v>2025</v>
      </c>
      <c r="B485">
        <v>3</v>
      </c>
      <c r="C485" t="s">
        <v>32</v>
      </c>
      <c r="D485" t="s">
        <v>38</v>
      </c>
      <c r="E485">
        <v>1</v>
      </c>
      <c r="F485">
        <v>109</v>
      </c>
      <c r="G485" s="12">
        <v>45872</v>
      </c>
      <c r="H485">
        <v>214</v>
      </c>
      <c r="I485">
        <v>61</v>
      </c>
      <c r="J485" t="s">
        <v>26</v>
      </c>
      <c r="K485">
        <v>37000</v>
      </c>
      <c r="L485">
        <v>11</v>
      </c>
      <c r="N485">
        <v>15</v>
      </c>
      <c r="O485">
        <v>1</v>
      </c>
      <c r="R485">
        <v>27</v>
      </c>
      <c r="S485">
        <v>116</v>
      </c>
      <c r="T485">
        <v>1564.5514223194748</v>
      </c>
      <c r="U485">
        <v>1</v>
      </c>
      <c r="V485">
        <v>0.91400000000000003</v>
      </c>
      <c r="W485">
        <v>0.91400000000000003</v>
      </c>
      <c r="X485">
        <v>1.0999999999999999E-2</v>
      </c>
      <c r="Z485">
        <v>1.4999999999999999E-2</v>
      </c>
      <c r="AA485">
        <v>1E-3</v>
      </c>
      <c r="AH485">
        <v>14.1</v>
      </c>
      <c r="AI485">
        <v>10.199999999999999</v>
      </c>
    </row>
    <row r="486" spans="1:35" x14ac:dyDescent="0.25">
      <c r="A486">
        <v>2025</v>
      </c>
      <c r="B486">
        <v>3</v>
      </c>
      <c r="C486" t="s">
        <v>29</v>
      </c>
      <c r="D486" t="s">
        <v>38</v>
      </c>
      <c r="E486">
        <v>3</v>
      </c>
      <c r="F486">
        <v>304</v>
      </c>
      <c r="G486" s="12">
        <v>45872</v>
      </c>
      <c r="H486">
        <v>214</v>
      </c>
      <c r="I486">
        <v>61</v>
      </c>
      <c r="J486" t="s">
        <v>26</v>
      </c>
      <c r="K486">
        <v>37000</v>
      </c>
      <c r="L486">
        <v>26</v>
      </c>
      <c r="N486">
        <v>38</v>
      </c>
      <c r="O486">
        <v>1</v>
      </c>
      <c r="R486">
        <v>65</v>
      </c>
      <c r="S486">
        <v>154</v>
      </c>
      <c r="T486">
        <v>2396.0612691466081</v>
      </c>
      <c r="U486">
        <v>1</v>
      </c>
      <c r="V486">
        <v>0.91400000000000003</v>
      </c>
      <c r="W486">
        <v>0.91400000000000003</v>
      </c>
      <c r="X486">
        <v>2.5999999999999999E-2</v>
      </c>
      <c r="Z486">
        <v>3.7999999999999999E-2</v>
      </c>
      <c r="AA486">
        <v>1E-3</v>
      </c>
      <c r="AH486">
        <v>21.4</v>
      </c>
      <c r="AI486">
        <v>11.2</v>
      </c>
    </row>
    <row r="487" spans="1:35" x14ac:dyDescent="0.25">
      <c r="A487">
        <v>2025</v>
      </c>
      <c r="B487">
        <v>3</v>
      </c>
      <c r="C487" t="s">
        <v>24</v>
      </c>
      <c r="D487" t="s">
        <v>38</v>
      </c>
      <c r="E487">
        <v>3</v>
      </c>
      <c r="F487">
        <v>306</v>
      </c>
      <c r="G487" s="12">
        <v>45872</v>
      </c>
      <c r="H487">
        <v>214</v>
      </c>
      <c r="I487">
        <v>61</v>
      </c>
      <c r="J487" t="s">
        <v>26</v>
      </c>
      <c r="K487">
        <v>37000</v>
      </c>
      <c r="L487">
        <v>46</v>
      </c>
      <c r="N487">
        <v>64</v>
      </c>
      <c r="O487">
        <v>3</v>
      </c>
      <c r="R487">
        <v>113</v>
      </c>
      <c r="S487">
        <v>225</v>
      </c>
      <c r="T487">
        <v>3698.0306345733043</v>
      </c>
      <c r="U487">
        <v>1</v>
      </c>
      <c r="V487">
        <v>0.91400000000000003</v>
      </c>
      <c r="W487">
        <v>0.91400000000000003</v>
      </c>
      <c r="X487">
        <v>4.5999999999999999E-2</v>
      </c>
      <c r="Z487">
        <v>6.4000000000000001E-2</v>
      </c>
      <c r="AA487">
        <v>3.0000000000000001E-3</v>
      </c>
      <c r="AH487">
        <v>22.8</v>
      </c>
      <c r="AI487">
        <v>13.8</v>
      </c>
    </row>
    <row r="488" spans="1:35" x14ac:dyDescent="0.25">
      <c r="A488">
        <v>2025</v>
      </c>
      <c r="B488">
        <v>3</v>
      </c>
      <c r="C488" t="s">
        <v>28</v>
      </c>
      <c r="D488" t="s">
        <v>38</v>
      </c>
      <c r="E488">
        <v>3</v>
      </c>
      <c r="F488">
        <v>308</v>
      </c>
      <c r="G488" s="12">
        <v>45872</v>
      </c>
      <c r="H488">
        <v>214</v>
      </c>
      <c r="I488">
        <v>61</v>
      </c>
      <c r="J488" t="s">
        <v>26</v>
      </c>
      <c r="K488">
        <v>37000</v>
      </c>
      <c r="L488">
        <v>25</v>
      </c>
      <c r="N488">
        <v>30</v>
      </c>
      <c r="O488">
        <v>1</v>
      </c>
      <c r="R488">
        <v>56</v>
      </c>
      <c r="S488">
        <v>203</v>
      </c>
      <c r="T488">
        <v>2833.6980306345731</v>
      </c>
      <c r="U488">
        <v>1</v>
      </c>
      <c r="V488">
        <v>0.91400000000000003</v>
      </c>
      <c r="W488">
        <v>0.91400000000000003</v>
      </c>
      <c r="X488">
        <v>2.5000000000000001E-2</v>
      </c>
      <c r="Z488">
        <v>0.03</v>
      </c>
      <c r="AA488">
        <v>1E-3</v>
      </c>
      <c r="AH488">
        <v>22.3</v>
      </c>
      <c r="AI488">
        <v>13.4</v>
      </c>
    </row>
    <row r="489" spans="1:35" x14ac:dyDescent="0.25">
      <c r="A489">
        <v>2025</v>
      </c>
      <c r="B489">
        <v>3</v>
      </c>
      <c r="C489" t="s">
        <v>32</v>
      </c>
      <c r="D489" t="s">
        <v>38</v>
      </c>
      <c r="E489">
        <v>3</v>
      </c>
      <c r="F489">
        <v>309</v>
      </c>
      <c r="G489" s="12">
        <v>45872</v>
      </c>
      <c r="H489">
        <v>214</v>
      </c>
      <c r="I489">
        <v>61</v>
      </c>
      <c r="J489" t="s">
        <v>26</v>
      </c>
      <c r="K489">
        <v>37000</v>
      </c>
      <c r="L489">
        <v>33</v>
      </c>
      <c r="N489">
        <v>40</v>
      </c>
      <c r="O489">
        <v>1</v>
      </c>
      <c r="R489">
        <v>74</v>
      </c>
      <c r="S489">
        <v>149</v>
      </c>
      <c r="T489">
        <v>2439.8249452954046</v>
      </c>
      <c r="U489">
        <v>1</v>
      </c>
      <c r="V489">
        <v>0.91400000000000003</v>
      </c>
      <c r="W489">
        <v>0.91400000000000003</v>
      </c>
      <c r="X489">
        <v>3.3000000000000002E-2</v>
      </c>
      <c r="Z489">
        <v>0.04</v>
      </c>
      <c r="AA489">
        <v>1E-3</v>
      </c>
      <c r="AH489">
        <v>18</v>
      </c>
      <c r="AI489">
        <v>12.4</v>
      </c>
    </row>
    <row r="490" spans="1:35" x14ac:dyDescent="0.25">
      <c r="A490">
        <v>2025</v>
      </c>
      <c r="B490">
        <v>3</v>
      </c>
      <c r="C490" t="s">
        <v>24</v>
      </c>
      <c r="D490" t="s">
        <v>38</v>
      </c>
      <c r="E490">
        <v>4</v>
      </c>
      <c r="F490">
        <v>402</v>
      </c>
      <c r="G490" s="12">
        <v>45872</v>
      </c>
      <c r="H490">
        <v>214</v>
      </c>
      <c r="I490">
        <v>61</v>
      </c>
      <c r="J490" t="s">
        <v>26</v>
      </c>
      <c r="K490">
        <v>37000</v>
      </c>
      <c r="L490">
        <v>25</v>
      </c>
      <c r="N490">
        <v>29</v>
      </c>
      <c r="O490">
        <v>2</v>
      </c>
      <c r="R490">
        <v>56</v>
      </c>
      <c r="S490">
        <v>170</v>
      </c>
      <c r="T490">
        <v>2472.6477024070018</v>
      </c>
      <c r="U490">
        <v>1</v>
      </c>
      <c r="V490">
        <v>0.91400000000000003</v>
      </c>
      <c r="W490">
        <v>0.91400000000000003</v>
      </c>
      <c r="X490">
        <v>2.5000000000000001E-2</v>
      </c>
      <c r="Z490">
        <v>2.9000000000000001E-2</v>
      </c>
      <c r="AA490">
        <v>2E-3</v>
      </c>
      <c r="AH490">
        <v>16.5</v>
      </c>
      <c r="AI490">
        <v>13.2</v>
      </c>
    </row>
    <row r="491" spans="1:35" x14ac:dyDescent="0.25">
      <c r="A491">
        <v>2025</v>
      </c>
      <c r="B491">
        <v>3</v>
      </c>
      <c r="C491" t="s">
        <v>29</v>
      </c>
      <c r="D491" t="s">
        <v>38</v>
      </c>
      <c r="E491">
        <v>4</v>
      </c>
      <c r="F491">
        <v>403</v>
      </c>
      <c r="G491" s="12">
        <v>45872</v>
      </c>
      <c r="H491">
        <v>214</v>
      </c>
      <c r="I491">
        <v>61</v>
      </c>
      <c r="J491" t="s">
        <v>26</v>
      </c>
      <c r="K491">
        <v>37000</v>
      </c>
      <c r="L491">
        <v>30</v>
      </c>
      <c r="N491">
        <v>42</v>
      </c>
      <c r="O491">
        <v>2</v>
      </c>
      <c r="R491">
        <v>74</v>
      </c>
      <c r="S491">
        <v>160</v>
      </c>
      <c r="T491">
        <v>2560.1750547045949</v>
      </c>
      <c r="U491">
        <v>1</v>
      </c>
      <c r="V491">
        <v>0.91400000000000003</v>
      </c>
      <c r="W491">
        <v>0.91400000000000003</v>
      </c>
      <c r="X491">
        <v>0.03</v>
      </c>
      <c r="Z491">
        <v>4.2000000000000003E-2</v>
      </c>
      <c r="AA491">
        <v>2E-3</v>
      </c>
      <c r="AH491">
        <v>23.3</v>
      </c>
      <c r="AI491">
        <v>12.6</v>
      </c>
    </row>
    <row r="492" spans="1:35" x14ac:dyDescent="0.25">
      <c r="A492">
        <v>2025</v>
      </c>
      <c r="B492">
        <v>3</v>
      </c>
      <c r="C492" t="s">
        <v>32</v>
      </c>
      <c r="D492" t="s">
        <v>38</v>
      </c>
      <c r="E492">
        <v>4</v>
      </c>
      <c r="F492">
        <v>404</v>
      </c>
      <c r="G492" s="12">
        <v>45872</v>
      </c>
      <c r="H492">
        <v>214</v>
      </c>
      <c r="I492">
        <v>61</v>
      </c>
      <c r="J492" t="s">
        <v>26</v>
      </c>
      <c r="K492">
        <v>37000</v>
      </c>
      <c r="L492">
        <v>34</v>
      </c>
      <c r="N492">
        <v>39</v>
      </c>
      <c r="O492">
        <v>2</v>
      </c>
      <c r="R492">
        <v>75</v>
      </c>
      <c r="S492">
        <v>127</v>
      </c>
      <c r="T492">
        <v>2210.0656455142234</v>
      </c>
      <c r="U492">
        <v>1</v>
      </c>
      <c r="V492">
        <v>0.91400000000000003</v>
      </c>
      <c r="W492">
        <v>0.91400000000000003</v>
      </c>
      <c r="X492">
        <v>3.4000000000000002E-2</v>
      </c>
      <c r="Z492">
        <v>3.9E-2</v>
      </c>
      <c r="AA492">
        <v>2E-3</v>
      </c>
      <c r="AH492">
        <v>17.66</v>
      </c>
      <c r="AI492">
        <v>13.8</v>
      </c>
    </row>
    <row r="493" spans="1:35" x14ac:dyDescent="0.25">
      <c r="A493">
        <v>2025</v>
      </c>
      <c r="B493">
        <v>3</v>
      </c>
      <c r="C493" t="s">
        <v>28</v>
      </c>
      <c r="D493" t="s">
        <v>38</v>
      </c>
      <c r="E493">
        <v>4</v>
      </c>
      <c r="F493">
        <v>405</v>
      </c>
      <c r="G493" s="12">
        <v>45872</v>
      </c>
      <c r="H493">
        <v>214</v>
      </c>
      <c r="I493">
        <v>61</v>
      </c>
      <c r="J493" t="s">
        <v>26</v>
      </c>
      <c r="K493">
        <v>37000</v>
      </c>
      <c r="L493">
        <v>19</v>
      </c>
      <c r="N493">
        <v>26</v>
      </c>
      <c r="O493">
        <v>1</v>
      </c>
      <c r="R493">
        <v>46</v>
      </c>
      <c r="S493">
        <v>199</v>
      </c>
      <c r="T493">
        <v>2680.5251641137856</v>
      </c>
      <c r="U493">
        <v>1</v>
      </c>
      <c r="V493">
        <v>0.91400000000000003</v>
      </c>
      <c r="W493">
        <v>0.91400000000000003</v>
      </c>
      <c r="X493">
        <v>1.9E-2</v>
      </c>
      <c r="Z493">
        <v>2.5999999999999999E-2</v>
      </c>
      <c r="AA493">
        <v>1E-3</v>
      </c>
      <c r="AH493">
        <v>20.399999999999999</v>
      </c>
      <c r="AI493">
        <v>12.6</v>
      </c>
    </row>
    <row r="494" spans="1:35" x14ac:dyDescent="0.25">
      <c r="A494">
        <v>2025</v>
      </c>
      <c r="B494">
        <v>3</v>
      </c>
      <c r="C494" t="s">
        <v>24</v>
      </c>
      <c r="D494" t="s">
        <v>25</v>
      </c>
      <c r="E494">
        <v>1</v>
      </c>
      <c r="F494">
        <v>501</v>
      </c>
      <c r="G494" s="12">
        <v>45872</v>
      </c>
      <c r="H494">
        <v>214</v>
      </c>
      <c r="I494">
        <v>61</v>
      </c>
      <c r="J494" t="s">
        <v>26</v>
      </c>
      <c r="K494">
        <v>37000</v>
      </c>
      <c r="L494">
        <v>44</v>
      </c>
      <c r="N494">
        <v>55</v>
      </c>
      <c r="O494">
        <v>5</v>
      </c>
      <c r="R494">
        <v>104</v>
      </c>
      <c r="S494">
        <v>263</v>
      </c>
      <c r="T494">
        <v>4015.317286652079</v>
      </c>
      <c r="U494">
        <v>1</v>
      </c>
      <c r="V494">
        <v>0.91400000000000003</v>
      </c>
      <c r="W494">
        <v>0.91400000000000003</v>
      </c>
      <c r="X494">
        <v>4.3999999999999997E-2</v>
      </c>
      <c r="Z494">
        <v>5.5E-2</v>
      </c>
      <c r="AA494">
        <v>5.0000000000000001E-3</v>
      </c>
      <c r="AH494">
        <v>19.7</v>
      </c>
      <c r="AI494">
        <v>14.4</v>
      </c>
    </row>
    <row r="495" spans="1:35" x14ac:dyDescent="0.25">
      <c r="A495">
        <v>2025</v>
      </c>
      <c r="B495">
        <v>3</v>
      </c>
      <c r="C495" t="s">
        <v>29</v>
      </c>
      <c r="D495" t="s">
        <v>25</v>
      </c>
      <c r="E495">
        <v>1</v>
      </c>
      <c r="F495">
        <v>505</v>
      </c>
      <c r="G495" s="12">
        <v>45872</v>
      </c>
      <c r="H495">
        <v>214</v>
      </c>
      <c r="I495">
        <v>61</v>
      </c>
      <c r="J495" t="s">
        <v>26</v>
      </c>
      <c r="K495">
        <v>37000</v>
      </c>
      <c r="L495">
        <v>22</v>
      </c>
      <c r="N495">
        <v>24</v>
      </c>
      <c r="O495">
        <v>2</v>
      </c>
      <c r="R495">
        <v>48</v>
      </c>
      <c r="S495">
        <v>165</v>
      </c>
      <c r="T495">
        <v>2330.4157549234137</v>
      </c>
      <c r="U495">
        <v>1</v>
      </c>
      <c r="V495">
        <v>0.91400000000000003</v>
      </c>
      <c r="W495">
        <v>0.91400000000000003</v>
      </c>
      <c r="X495">
        <v>2.1999999999999999E-2</v>
      </c>
      <c r="Z495">
        <v>2.4E-2</v>
      </c>
      <c r="AA495">
        <v>2E-3</v>
      </c>
      <c r="AH495">
        <v>19.399999999999999</v>
      </c>
      <c r="AI495">
        <v>12.6</v>
      </c>
    </row>
    <row r="496" spans="1:35" x14ac:dyDescent="0.25">
      <c r="A496">
        <v>2025</v>
      </c>
      <c r="B496">
        <v>3</v>
      </c>
      <c r="C496" t="s">
        <v>28</v>
      </c>
      <c r="D496" t="s">
        <v>25</v>
      </c>
      <c r="E496">
        <v>1</v>
      </c>
      <c r="F496">
        <v>507</v>
      </c>
      <c r="G496" s="12">
        <v>45872</v>
      </c>
      <c r="H496">
        <v>214</v>
      </c>
      <c r="I496">
        <v>61</v>
      </c>
      <c r="J496" t="s">
        <v>26</v>
      </c>
      <c r="K496">
        <v>37000</v>
      </c>
      <c r="L496">
        <v>24</v>
      </c>
      <c r="N496">
        <v>29</v>
      </c>
      <c r="O496">
        <v>1</v>
      </c>
      <c r="R496">
        <v>54</v>
      </c>
      <c r="S496">
        <v>170</v>
      </c>
      <c r="T496">
        <v>2450.7658643326035</v>
      </c>
      <c r="U496">
        <v>1</v>
      </c>
      <c r="V496">
        <v>0.91400000000000003</v>
      </c>
      <c r="W496">
        <v>0.91400000000000003</v>
      </c>
      <c r="X496">
        <v>2.4E-2</v>
      </c>
      <c r="Z496">
        <v>2.9000000000000001E-2</v>
      </c>
      <c r="AA496">
        <v>1E-3</v>
      </c>
      <c r="AH496">
        <v>18.399999999999999</v>
      </c>
      <c r="AI496">
        <v>12.6</v>
      </c>
    </row>
    <row r="497" spans="1:35" x14ac:dyDescent="0.25">
      <c r="A497">
        <v>2025</v>
      </c>
      <c r="B497">
        <v>3</v>
      </c>
      <c r="C497" t="s">
        <v>32</v>
      </c>
      <c r="D497" t="s">
        <v>25</v>
      </c>
      <c r="E497">
        <v>1</v>
      </c>
      <c r="F497">
        <v>509</v>
      </c>
      <c r="G497" s="12">
        <v>45872</v>
      </c>
      <c r="H497">
        <v>214</v>
      </c>
      <c r="I497">
        <v>61</v>
      </c>
      <c r="J497" t="s">
        <v>26</v>
      </c>
      <c r="K497">
        <v>37000</v>
      </c>
      <c r="L497">
        <v>20</v>
      </c>
      <c r="N497">
        <v>21</v>
      </c>
      <c r="O497">
        <v>1</v>
      </c>
      <c r="R497">
        <v>42</v>
      </c>
      <c r="S497">
        <v>170</v>
      </c>
      <c r="T497">
        <v>2319.4748358862144</v>
      </c>
      <c r="U497">
        <v>1</v>
      </c>
      <c r="V497">
        <v>0.91400000000000003</v>
      </c>
      <c r="W497">
        <v>0.91400000000000003</v>
      </c>
      <c r="X497">
        <v>0.02</v>
      </c>
      <c r="Z497">
        <v>2.1000000000000001E-2</v>
      </c>
      <c r="AA497">
        <v>1E-3</v>
      </c>
      <c r="AH497">
        <v>15</v>
      </c>
      <c r="AI497">
        <v>11.6</v>
      </c>
    </row>
    <row r="498" spans="1:35" x14ac:dyDescent="0.25">
      <c r="A498">
        <v>2025</v>
      </c>
      <c r="B498">
        <v>3</v>
      </c>
      <c r="C498" t="s">
        <v>29</v>
      </c>
      <c r="D498" t="s">
        <v>25</v>
      </c>
      <c r="E498">
        <v>3</v>
      </c>
      <c r="F498">
        <v>704</v>
      </c>
      <c r="G498" s="12">
        <v>45872</v>
      </c>
      <c r="H498">
        <v>214</v>
      </c>
      <c r="I498">
        <v>61</v>
      </c>
      <c r="J498" t="s">
        <v>26</v>
      </c>
      <c r="K498">
        <v>37000</v>
      </c>
      <c r="L498">
        <v>28</v>
      </c>
      <c r="N498">
        <v>45</v>
      </c>
      <c r="O498">
        <v>1</v>
      </c>
      <c r="R498">
        <v>74</v>
      </c>
      <c r="S498">
        <v>235</v>
      </c>
      <c r="T498">
        <v>3380.7439824945295</v>
      </c>
      <c r="U498">
        <v>1</v>
      </c>
      <c r="V498">
        <v>0.91400000000000003</v>
      </c>
      <c r="W498">
        <v>0.91400000000000003</v>
      </c>
      <c r="X498">
        <v>2.8000000000000001E-2</v>
      </c>
      <c r="Z498">
        <v>4.4999999999999998E-2</v>
      </c>
      <c r="AA498">
        <v>1E-3</v>
      </c>
      <c r="AH498">
        <v>24.7</v>
      </c>
      <c r="AI498">
        <v>12.4</v>
      </c>
    </row>
    <row r="499" spans="1:35" x14ac:dyDescent="0.25">
      <c r="A499">
        <v>2025</v>
      </c>
      <c r="B499">
        <v>3</v>
      </c>
      <c r="C499" t="s">
        <v>24</v>
      </c>
      <c r="D499" t="s">
        <v>25</v>
      </c>
      <c r="E499">
        <v>3</v>
      </c>
      <c r="F499">
        <v>706</v>
      </c>
      <c r="G499" s="12">
        <v>45872</v>
      </c>
      <c r="H499">
        <v>214</v>
      </c>
      <c r="I499">
        <v>61</v>
      </c>
      <c r="J499" t="s">
        <v>26</v>
      </c>
      <c r="K499">
        <v>37000</v>
      </c>
      <c r="L499">
        <v>17</v>
      </c>
      <c r="N499">
        <v>18</v>
      </c>
      <c r="O499">
        <v>1</v>
      </c>
      <c r="R499">
        <v>36</v>
      </c>
      <c r="S499">
        <v>162</v>
      </c>
      <c r="T499">
        <v>2166.3019693654269</v>
      </c>
      <c r="U499">
        <v>1</v>
      </c>
      <c r="V499">
        <v>0.91400000000000003</v>
      </c>
      <c r="W499">
        <v>0.91400000000000003</v>
      </c>
      <c r="X499">
        <v>1.7000000000000001E-2</v>
      </c>
      <c r="Z499">
        <v>1.7999999999999999E-2</v>
      </c>
      <c r="AA499">
        <v>1E-3</v>
      </c>
      <c r="AH499">
        <v>16.7</v>
      </c>
      <c r="AI499">
        <v>10.8</v>
      </c>
    </row>
    <row r="500" spans="1:35" x14ac:dyDescent="0.25">
      <c r="A500">
        <v>2025</v>
      </c>
      <c r="B500">
        <v>3</v>
      </c>
      <c r="C500" t="s">
        <v>28</v>
      </c>
      <c r="D500" t="s">
        <v>25</v>
      </c>
      <c r="E500">
        <v>3</v>
      </c>
      <c r="F500">
        <v>708</v>
      </c>
      <c r="G500" s="12">
        <v>45872</v>
      </c>
      <c r="H500">
        <v>214</v>
      </c>
      <c r="I500">
        <v>61</v>
      </c>
      <c r="J500" t="s">
        <v>26</v>
      </c>
      <c r="K500">
        <v>37000</v>
      </c>
      <c r="L500">
        <v>29</v>
      </c>
      <c r="N500">
        <v>36</v>
      </c>
      <c r="O500">
        <v>1</v>
      </c>
      <c r="R500">
        <v>66</v>
      </c>
      <c r="S500">
        <v>141</v>
      </c>
      <c r="T500">
        <v>2264.7702407002189</v>
      </c>
      <c r="U500">
        <v>1</v>
      </c>
      <c r="V500">
        <v>0.91400000000000003</v>
      </c>
      <c r="W500">
        <v>0.91400000000000003</v>
      </c>
      <c r="X500">
        <v>2.9000000000000001E-2</v>
      </c>
      <c r="Z500">
        <v>3.5999999999999997E-2</v>
      </c>
      <c r="AA500">
        <v>1E-3</v>
      </c>
      <c r="AH500">
        <v>17.600000000000001</v>
      </c>
      <c r="AI500">
        <v>11.8</v>
      </c>
    </row>
    <row r="501" spans="1:35" x14ac:dyDescent="0.25">
      <c r="A501">
        <v>2025</v>
      </c>
      <c r="B501">
        <v>3</v>
      </c>
      <c r="C501" t="s">
        <v>32</v>
      </c>
      <c r="D501" t="s">
        <v>25</v>
      </c>
      <c r="E501">
        <v>3</v>
      </c>
      <c r="F501">
        <v>709</v>
      </c>
      <c r="G501" s="12">
        <v>45872</v>
      </c>
      <c r="H501">
        <v>214</v>
      </c>
      <c r="I501">
        <v>61</v>
      </c>
      <c r="J501" t="s">
        <v>26</v>
      </c>
      <c r="K501">
        <v>37000</v>
      </c>
      <c r="L501">
        <v>19</v>
      </c>
      <c r="N501">
        <v>16</v>
      </c>
      <c r="O501">
        <v>1</v>
      </c>
      <c r="R501">
        <v>36</v>
      </c>
      <c r="S501">
        <v>105</v>
      </c>
      <c r="T501">
        <v>1542.6695842450767</v>
      </c>
      <c r="U501">
        <v>1</v>
      </c>
      <c r="V501">
        <v>0.91400000000000003</v>
      </c>
      <c r="W501">
        <v>0.91400000000000003</v>
      </c>
      <c r="X501">
        <v>1.9E-2</v>
      </c>
      <c r="Z501">
        <v>1.6E-2</v>
      </c>
      <c r="AA501">
        <v>1E-3</v>
      </c>
      <c r="AH501">
        <v>13.5</v>
      </c>
      <c r="AI501">
        <v>11</v>
      </c>
    </row>
    <row r="502" spans="1:35" x14ac:dyDescent="0.25">
      <c r="A502">
        <v>2025</v>
      </c>
      <c r="B502">
        <v>3</v>
      </c>
      <c r="C502" t="s">
        <v>24</v>
      </c>
      <c r="D502" t="s">
        <v>25</v>
      </c>
      <c r="E502">
        <v>4</v>
      </c>
      <c r="F502">
        <v>802</v>
      </c>
      <c r="G502" s="12">
        <v>45872</v>
      </c>
      <c r="H502">
        <v>214</v>
      </c>
      <c r="I502">
        <v>61</v>
      </c>
      <c r="J502" t="s">
        <v>26</v>
      </c>
      <c r="K502">
        <v>37000</v>
      </c>
      <c r="L502">
        <v>20</v>
      </c>
      <c r="N502">
        <v>17</v>
      </c>
      <c r="O502">
        <v>2</v>
      </c>
      <c r="R502">
        <v>39</v>
      </c>
      <c r="S502">
        <v>139</v>
      </c>
      <c r="T502">
        <v>1947.4835886214441</v>
      </c>
      <c r="U502">
        <v>1</v>
      </c>
      <c r="V502">
        <v>0.91400000000000003</v>
      </c>
      <c r="W502">
        <v>0.91400000000000003</v>
      </c>
      <c r="X502">
        <v>0.02</v>
      </c>
      <c r="Z502">
        <v>1.7000000000000001E-2</v>
      </c>
      <c r="AA502">
        <v>2E-3</v>
      </c>
      <c r="AH502">
        <v>13.1</v>
      </c>
      <c r="AI502">
        <v>10.8</v>
      </c>
    </row>
    <row r="503" spans="1:35" x14ac:dyDescent="0.25">
      <c r="A503">
        <v>2025</v>
      </c>
      <c r="B503">
        <v>3</v>
      </c>
      <c r="C503" t="s">
        <v>29</v>
      </c>
      <c r="D503" t="s">
        <v>25</v>
      </c>
      <c r="E503">
        <v>4</v>
      </c>
      <c r="F503">
        <v>803</v>
      </c>
      <c r="G503" s="12">
        <v>45872</v>
      </c>
      <c r="H503">
        <v>214</v>
      </c>
      <c r="I503">
        <v>61</v>
      </c>
      <c r="J503" t="s">
        <v>26</v>
      </c>
      <c r="K503">
        <v>37000</v>
      </c>
      <c r="L503">
        <v>22</v>
      </c>
      <c r="N503">
        <v>24</v>
      </c>
      <c r="O503">
        <v>1</v>
      </c>
      <c r="R503">
        <v>47</v>
      </c>
      <c r="S503">
        <v>133</v>
      </c>
      <c r="T503">
        <v>1969.3654266958422</v>
      </c>
      <c r="U503">
        <v>1</v>
      </c>
      <c r="V503">
        <v>0.91400000000000003</v>
      </c>
      <c r="W503">
        <v>0.91400000000000003</v>
      </c>
      <c r="X503">
        <v>2.1999999999999999E-2</v>
      </c>
      <c r="Z503">
        <v>2.4E-2</v>
      </c>
      <c r="AA503">
        <v>1E-3</v>
      </c>
      <c r="AH503">
        <v>17.5</v>
      </c>
      <c r="AI503">
        <v>11.4</v>
      </c>
    </row>
    <row r="504" spans="1:35" x14ac:dyDescent="0.25">
      <c r="A504">
        <v>2025</v>
      </c>
      <c r="B504">
        <v>3</v>
      </c>
      <c r="C504" t="s">
        <v>32</v>
      </c>
      <c r="D504" t="s">
        <v>25</v>
      </c>
      <c r="E504">
        <v>4</v>
      </c>
      <c r="F504">
        <v>804</v>
      </c>
      <c r="G504" s="12">
        <v>45872</v>
      </c>
      <c r="H504">
        <v>214</v>
      </c>
      <c r="I504">
        <v>61</v>
      </c>
      <c r="J504" t="s">
        <v>26</v>
      </c>
      <c r="K504">
        <v>37000</v>
      </c>
      <c r="L504">
        <v>41</v>
      </c>
      <c r="N504">
        <v>39</v>
      </c>
      <c r="O504">
        <v>2</v>
      </c>
      <c r="R504">
        <v>82</v>
      </c>
      <c r="S504">
        <v>82</v>
      </c>
      <c r="T504">
        <v>1794.3107221006564</v>
      </c>
      <c r="U504">
        <v>1</v>
      </c>
      <c r="V504">
        <v>0.91400000000000003</v>
      </c>
      <c r="W504">
        <v>0.91400000000000003</v>
      </c>
      <c r="X504">
        <v>4.1000000000000002E-2</v>
      </c>
      <c r="Z504">
        <v>3.9E-2</v>
      </c>
      <c r="AA504">
        <v>2E-3</v>
      </c>
      <c r="AH504">
        <v>14.5</v>
      </c>
      <c r="AI504">
        <v>11.8</v>
      </c>
    </row>
    <row r="505" spans="1:35" x14ac:dyDescent="0.25">
      <c r="A505">
        <v>2025</v>
      </c>
      <c r="B505">
        <v>3</v>
      </c>
      <c r="C505" t="s">
        <v>28</v>
      </c>
      <c r="D505" t="s">
        <v>25</v>
      </c>
      <c r="E505">
        <v>4</v>
      </c>
      <c r="F505">
        <v>805</v>
      </c>
      <c r="G505" s="12">
        <v>45872</v>
      </c>
      <c r="H505">
        <v>214</v>
      </c>
      <c r="I505">
        <v>61</v>
      </c>
      <c r="J505" t="s">
        <v>26</v>
      </c>
      <c r="K505">
        <v>37000</v>
      </c>
      <c r="L505">
        <v>37</v>
      </c>
      <c r="N505">
        <v>42</v>
      </c>
      <c r="O505">
        <v>2</v>
      </c>
      <c r="R505">
        <v>81</v>
      </c>
      <c r="S505">
        <v>118</v>
      </c>
      <c r="T505">
        <v>2177.2428884026258</v>
      </c>
      <c r="U505">
        <v>1</v>
      </c>
      <c r="V505">
        <v>0.91400000000000003</v>
      </c>
      <c r="W505">
        <v>0.91400000000000003</v>
      </c>
      <c r="X505">
        <v>3.6999999999999998E-2</v>
      </c>
      <c r="Z505">
        <v>4.2000000000000003E-2</v>
      </c>
      <c r="AA505">
        <v>2E-3</v>
      </c>
      <c r="AH505">
        <v>18.399999999999999</v>
      </c>
      <c r="AI505">
        <v>13.4</v>
      </c>
    </row>
    <row r="506" spans="1:35" x14ac:dyDescent="0.25">
      <c r="A506">
        <v>2025</v>
      </c>
      <c r="B506">
        <v>4</v>
      </c>
      <c r="C506" t="s">
        <v>24</v>
      </c>
      <c r="D506" t="s">
        <v>38</v>
      </c>
      <c r="E506" s="15">
        <v>1</v>
      </c>
      <c r="F506">
        <v>101</v>
      </c>
      <c r="G506" s="12">
        <v>45898</v>
      </c>
      <c r="H506">
        <v>240</v>
      </c>
      <c r="I506">
        <v>87</v>
      </c>
      <c r="J506" t="s">
        <v>26</v>
      </c>
      <c r="K506">
        <v>37000</v>
      </c>
      <c r="L506">
        <v>22</v>
      </c>
      <c r="N506">
        <v>38</v>
      </c>
      <c r="O506">
        <v>13</v>
      </c>
      <c r="R506">
        <v>73</v>
      </c>
      <c r="S506">
        <v>397</v>
      </c>
      <c r="T506">
        <v>5142.2319474835876</v>
      </c>
      <c r="U506">
        <v>1</v>
      </c>
      <c r="V506">
        <v>0.91400000000000003</v>
      </c>
      <c r="W506">
        <v>0.91400000000000003</v>
      </c>
      <c r="X506">
        <v>2.1999999999999999E-2</v>
      </c>
      <c r="Z506">
        <v>3.7999999999999999E-2</v>
      </c>
      <c r="AA506">
        <v>1.2999999999999999E-2</v>
      </c>
      <c r="AH506">
        <v>29.3</v>
      </c>
      <c r="AI506">
        <v>14.6</v>
      </c>
    </row>
    <row r="507" spans="1:35" x14ac:dyDescent="0.25">
      <c r="A507">
        <v>2025</v>
      </c>
      <c r="B507">
        <v>4</v>
      </c>
      <c r="C507" t="s">
        <v>29</v>
      </c>
      <c r="D507" t="s">
        <v>38</v>
      </c>
      <c r="E507">
        <v>1</v>
      </c>
      <c r="F507">
        <v>105</v>
      </c>
      <c r="G507" s="12">
        <v>45898</v>
      </c>
      <c r="H507">
        <v>240</v>
      </c>
      <c r="I507">
        <v>87</v>
      </c>
      <c r="J507" t="s">
        <v>26</v>
      </c>
      <c r="K507">
        <v>37000</v>
      </c>
      <c r="L507">
        <v>33</v>
      </c>
      <c r="N507">
        <v>62</v>
      </c>
      <c r="O507">
        <v>1</v>
      </c>
      <c r="R507">
        <v>96</v>
      </c>
      <c r="S507">
        <v>349</v>
      </c>
      <c r="T507">
        <v>4868.7089715536104</v>
      </c>
      <c r="U507">
        <v>1</v>
      </c>
      <c r="V507">
        <v>0.91400000000000003</v>
      </c>
      <c r="W507">
        <v>0.91400000000000003</v>
      </c>
      <c r="X507">
        <v>3.3000000000000002E-2</v>
      </c>
      <c r="Z507">
        <v>6.2E-2</v>
      </c>
      <c r="AA507">
        <v>1E-3</v>
      </c>
      <c r="AH507">
        <v>35.6</v>
      </c>
      <c r="AI507">
        <v>13.8</v>
      </c>
    </row>
    <row r="508" spans="1:35" x14ac:dyDescent="0.25">
      <c r="A508">
        <v>2025</v>
      </c>
      <c r="B508">
        <v>4</v>
      </c>
      <c r="C508" t="s">
        <v>28</v>
      </c>
      <c r="D508" t="s">
        <v>38</v>
      </c>
      <c r="E508">
        <v>1</v>
      </c>
      <c r="F508">
        <v>107</v>
      </c>
      <c r="G508" s="12">
        <v>45898</v>
      </c>
      <c r="H508">
        <v>240</v>
      </c>
      <c r="I508">
        <v>87</v>
      </c>
      <c r="J508" t="s">
        <v>26</v>
      </c>
      <c r="K508">
        <v>37000</v>
      </c>
      <c r="L508">
        <v>39</v>
      </c>
      <c r="N508">
        <v>64</v>
      </c>
      <c r="O508">
        <v>5</v>
      </c>
      <c r="R508">
        <v>108</v>
      </c>
      <c r="S508">
        <v>227</v>
      </c>
      <c r="T508">
        <v>3665.2078774617066</v>
      </c>
      <c r="U508">
        <v>1</v>
      </c>
      <c r="V508">
        <v>0.91400000000000003</v>
      </c>
      <c r="W508">
        <v>0.91400000000000003</v>
      </c>
      <c r="X508">
        <v>3.9E-2</v>
      </c>
      <c r="Z508">
        <v>6.4000000000000001E-2</v>
      </c>
      <c r="AA508">
        <v>5.0000000000000001E-3</v>
      </c>
      <c r="AH508">
        <v>27.8</v>
      </c>
      <c r="AI508">
        <v>15</v>
      </c>
    </row>
    <row r="509" spans="1:35" x14ac:dyDescent="0.25">
      <c r="A509">
        <v>2025</v>
      </c>
      <c r="B509">
        <v>4</v>
      </c>
      <c r="C509" t="s">
        <v>32</v>
      </c>
      <c r="D509" t="s">
        <v>38</v>
      </c>
      <c r="E509">
        <v>1</v>
      </c>
      <c r="F509">
        <v>109</v>
      </c>
      <c r="G509" s="12">
        <v>45898</v>
      </c>
      <c r="H509">
        <v>240</v>
      </c>
      <c r="I509">
        <v>87</v>
      </c>
      <c r="J509" t="s">
        <v>26</v>
      </c>
      <c r="K509">
        <v>37000</v>
      </c>
      <c r="L509">
        <v>66</v>
      </c>
      <c r="N509">
        <v>99</v>
      </c>
      <c r="O509">
        <v>2</v>
      </c>
      <c r="R509">
        <v>167</v>
      </c>
      <c r="S509">
        <v>137</v>
      </c>
      <c r="T509">
        <v>3326.0393873085336</v>
      </c>
      <c r="U509">
        <v>1</v>
      </c>
      <c r="V509">
        <v>0.91400000000000003</v>
      </c>
      <c r="W509">
        <v>0.91400000000000003</v>
      </c>
      <c r="X509">
        <v>6.6000000000000003E-2</v>
      </c>
      <c r="Z509">
        <v>9.9000000000000005E-2</v>
      </c>
      <c r="AA509">
        <v>2E-3</v>
      </c>
      <c r="AH509">
        <v>27.5</v>
      </c>
      <c r="AI509">
        <v>13.6</v>
      </c>
    </row>
    <row r="510" spans="1:35" x14ac:dyDescent="0.25">
      <c r="A510">
        <v>2025</v>
      </c>
      <c r="B510">
        <v>4</v>
      </c>
      <c r="C510" t="s">
        <v>29</v>
      </c>
      <c r="D510" t="s">
        <v>38</v>
      </c>
      <c r="E510">
        <v>3</v>
      </c>
      <c r="F510">
        <v>304</v>
      </c>
      <c r="G510" s="12">
        <v>45898</v>
      </c>
      <c r="H510">
        <v>240</v>
      </c>
      <c r="I510">
        <v>87</v>
      </c>
      <c r="J510" t="s">
        <v>26</v>
      </c>
      <c r="K510">
        <v>37000</v>
      </c>
      <c r="L510">
        <v>31</v>
      </c>
      <c r="N510">
        <v>53</v>
      </c>
      <c r="O510">
        <v>2</v>
      </c>
      <c r="R510">
        <v>86</v>
      </c>
      <c r="S510">
        <v>174</v>
      </c>
      <c r="T510">
        <v>2844.6389496717725</v>
      </c>
      <c r="U510">
        <v>1</v>
      </c>
      <c r="V510">
        <v>0.91400000000000003</v>
      </c>
      <c r="W510">
        <v>0.91400000000000003</v>
      </c>
      <c r="X510">
        <v>3.1E-2</v>
      </c>
      <c r="Z510">
        <v>5.2999999999999999E-2</v>
      </c>
      <c r="AA510">
        <v>2E-3</v>
      </c>
      <c r="AH510">
        <v>30.8</v>
      </c>
      <c r="AI510">
        <v>11.8</v>
      </c>
    </row>
    <row r="511" spans="1:35" x14ac:dyDescent="0.25">
      <c r="A511">
        <v>2025</v>
      </c>
      <c r="B511">
        <v>4</v>
      </c>
      <c r="C511" t="s">
        <v>24</v>
      </c>
      <c r="D511" t="s">
        <v>38</v>
      </c>
      <c r="E511">
        <v>3</v>
      </c>
      <c r="F511">
        <v>306</v>
      </c>
      <c r="G511" s="12">
        <v>45898</v>
      </c>
      <c r="H511">
        <v>240</v>
      </c>
      <c r="I511">
        <v>87</v>
      </c>
      <c r="J511" t="s">
        <v>26</v>
      </c>
      <c r="K511">
        <v>37000</v>
      </c>
      <c r="L511">
        <v>43</v>
      </c>
      <c r="N511">
        <v>67</v>
      </c>
      <c r="O511">
        <v>17</v>
      </c>
      <c r="R511">
        <v>127</v>
      </c>
      <c r="S511">
        <v>305</v>
      </c>
      <c r="T511">
        <v>4726.4770240700218</v>
      </c>
      <c r="U511">
        <v>1</v>
      </c>
      <c r="V511">
        <v>0.91400000000000003</v>
      </c>
      <c r="W511">
        <v>0.91400000000000003</v>
      </c>
      <c r="X511">
        <v>4.2999999999999997E-2</v>
      </c>
      <c r="Z511">
        <v>6.7000000000000004E-2</v>
      </c>
      <c r="AA511">
        <v>1.7000000000000001E-2</v>
      </c>
      <c r="AH511">
        <v>30</v>
      </c>
      <c r="AI511">
        <v>14.8</v>
      </c>
    </row>
    <row r="512" spans="1:35" x14ac:dyDescent="0.25">
      <c r="A512">
        <v>2025</v>
      </c>
      <c r="B512">
        <v>4</v>
      </c>
      <c r="C512" t="s">
        <v>28</v>
      </c>
      <c r="D512" t="s">
        <v>38</v>
      </c>
      <c r="E512">
        <v>3</v>
      </c>
      <c r="F512">
        <v>308</v>
      </c>
      <c r="G512" s="12">
        <v>45898</v>
      </c>
      <c r="H512">
        <v>240</v>
      </c>
      <c r="I512">
        <v>87</v>
      </c>
      <c r="J512" t="s">
        <v>26</v>
      </c>
      <c r="K512">
        <v>37000</v>
      </c>
      <c r="L512">
        <v>34</v>
      </c>
      <c r="N512">
        <v>58</v>
      </c>
      <c r="O512">
        <v>5</v>
      </c>
      <c r="R512">
        <v>97</v>
      </c>
      <c r="S512">
        <v>369</v>
      </c>
      <c r="T512">
        <v>5098.468271334792</v>
      </c>
      <c r="U512">
        <v>1</v>
      </c>
      <c r="V512">
        <v>0.91400000000000003</v>
      </c>
      <c r="W512">
        <v>0.91400000000000003</v>
      </c>
      <c r="X512">
        <v>3.4000000000000002E-2</v>
      </c>
      <c r="Z512">
        <v>5.8000000000000003E-2</v>
      </c>
      <c r="AA512">
        <v>5.0000000000000001E-3</v>
      </c>
      <c r="AH512">
        <v>37</v>
      </c>
      <c r="AI512">
        <v>12.6</v>
      </c>
    </row>
    <row r="513" spans="1:35" x14ac:dyDescent="0.25">
      <c r="A513">
        <v>2025</v>
      </c>
      <c r="B513">
        <v>4</v>
      </c>
      <c r="C513" t="s">
        <v>32</v>
      </c>
      <c r="D513" t="s">
        <v>38</v>
      </c>
      <c r="E513">
        <v>3</v>
      </c>
      <c r="F513">
        <v>309</v>
      </c>
      <c r="G513" s="12">
        <v>45898</v>
      </c>
      <c r="H513">
        <v>240</v>
      </c>
      <c r="I513">
        <v>87</v>
      </c>
      <c r="J513" t="s">
        <v>26</v>
      </c>
      <c r="K513">
        <v>37000</v>
      </c>
      <c r="L513">
        <v>27</v>
      </c>
      <c r="N513">
        <v>38</v>
      </c>
      <c r="O513">
        <v>2</v>
      </c>
      <c r="R513">
        <v>67</v>
      </c>
      <c r="S513">
        <v>282</v>
      </c>
      <c r="T513">
        <v>3818.3807439824946</v>
      </c>
      <c r="U513">
        <v>1</v>
      </c>
      <c r="V513">
        <v>0.91400000000000003</v>
      </c>
      <c r="W513">
        <v>0.91400000000000003</v>
      </c>
      <c r="X513">
        <v>2.7E-2</v>
      </c>
      <c r="Z513">
        <v>3.7999999999999999E-2</v>
      </c>
      <c r="AA513">
        <v>2E-3</v>
      </c>
      <c r="AH513">
        <v>27.5</v>
      </c>
      <c r="AI513">
        <v>12.8</v>
      </c>
    </row>
    <row r="514" spans="1:35" x14ac:dyDescent="0.25">
      <c r="A514">
        <v>2025</v>
      </c>
      <c r="B514">
        <v>4</v>
      </c>
      <c r="C514" t="s">
        <v>24</v>
      </c>
      <c r="D514" t="s">
        <v>38</v>
      </c>
      <c r="E514">
        <v>4</v>
      </c>
      <c r="F514">
        <v>402</v>
      </c>
      <c r="G514" s="12">
        <v>45898</v>
      </c>
      <c r="H514">
        <v>240</v>
      </c>
      <c r="I514">
        <v>87</v>
      </c>
      <c r="J514" t="s">
        <v>26</v>
      </c>
      <c r="K514">
        <v>37000</v>
      </c>
      <c r="L514">
        <v>19</v>
      </c>
      <c r="N514">
        <v>25</v>
      </c>
      <c r="O514">
        <v>7</v>
      </c>
      <c r="R514">
        <v>51</v>
      </c>
      <c r="S514">
        <v>239</v>
      </c>
      <c r="T514">
        <v>3172.8665207877461</v>
      </c>
      <c r="U514">
        <v>1</v>
      </c>
      <c r="V514">
        <v>0.91400000000000003</v>
      </c>
      <c r="W514">
        <v>0.91400000000000003</v>
      </c>
      <c r="X514">
        <v>1.9E-2</v>
      </c>
      <c r="Z514">
        <v>2.5000000000000001E-2</v>
      </c>
      <c r="AA514">
        <v>7.0000000000000001E-3</v>
      </c>
      <c r="AH514">
        <v>25.2</v>
      </c>
      <c r="AI514">
        <v>12.2</v>
      </c>
    </row>
    <row r="515" spans="1:35" x14ac:dyDescent="0.25">
      <c r="A515">
        <v>2025</v>
      </c>
      <c r="B515">
        <v>4</v>
      </c>
      <c r="C515" t="s">
        <v>29</v>
      </c>
      <c r="D515" t="s">
        <v>38</v>
      </c>
      <c r="E515">
        <v>4</v>
      </c>
      <c r="F515">
        <v>403</v>
      </c>
      <c r="G515" s="12">
        <v>45898</v>
      </c>
      <c r="H515">
        <v>240</v>
      </c>
      <c r="I515">
        <v>87</v>
      </c>
      <c r="J515" t="s">
        <v>26</v>
      </c>
      <c r="K515">
        <v>37000</v>
      </c>
      <c r="L515">
        <v>39</v>
      </c>
      <c r="N515">
        <v>70</v>
      </c>
      <c r="O515">
        <v>4</v>
      </c>
      <c r="R515">
        <v>113</v>
      </c>
      <c r="S515">
        <v>241</v>
      </c>
      <c r="T515">
        <v>3873.08533916849</v>
      </c>
      <c r="U515">
        <v>1</v>
      </c>
      <c r="V515">
        <v>0.91400000000000003</v>
      </c>
      <c r="W515">
        <v>0.91400000000000003</v>
      </c>
      <c r="X515">
        <v>3.9E-2</v>
      </c>
      <c r="Z515">
        <v>7.0000000000000007E-2</v>
      </c>
      <c r="AA515">
        <v>4.0000000000000001E-3</v>
      </c>
      <c r="AH515">
        <v>27.6</v>
      </c>
      <c r="AI515">
        <v>13.8</v>
      </c>
    </row>
    <row r="516" spans="1:35" x14ac:dyDescent="0.25">
      <c r="A516">
        <v>2025</v>
      </c>
      <c r="B516">
        <v>4</v>
      </c>
      <c r="C516" t="s">
        <v>32</v>
      </c>
      <c r="D516" t="s">
        <v>38</v>
      </c>
      <c r="E516">
        <v>4</v>
      </c>
      <c r="F516">
        <v>404</v>
      </c>
      <c r="G516" s="12">
        <v>45898</v>
      </c>
      <c r="H516">
        <v>240</v>
      </c>
      <c r="I516">
        <v>87</v>
      </c>
      <c r="J516" t="s">
        <v>26</v>
      </c>
      <c r="K516">
        <v>37000</v>
      </c>
      <c r="L516">
        <v>27</v>
      </c>
      <c r="N516">
        <v>37</v>
      </c>
      <c r="O516">
        <v>0</v>
      </c>
      <c r="R516">
        <v>64</v>
      </c>
      <c r="S516">
        <v>258</v>
      </c>
      <c r="T516">
        <v>3522.9759299781176</v>
      </c>
      <c r="U516">
        <v>1</v>
      </c>
      <c r="V516">
        <v>0.91400000000000003</v>
      </c>
      <c r="W516">
        <v>0.91400000000000003</v>
      </c>
      <c r="X516">
        <v>2.7E-2</v>
      </c>
      <c r="Z516">
        <v>3.6999999999999998E-2</v>
      </c>
      <c r="AA516">
        <v>0</v>
      </c>
      <c r="AH516">
        <v>23.8</v>
      </c>
      <c r="AI516">
        <v>12.8</v>
      </c>
    </row>
    <row r="517" spans="1:35" x14ac:dyDescent="0.25">
      <c r="A517">
        <v>2025</v>
      </c>
      <c r="B517">
        <v>4</v>
      </c>
      <c r="C517" t="s">
        <v>28</v>
      </c>
      <c r="D517" t="s">
        <v>38</v>
      </c>
      <c r="E517">
        <v>4</v>
      </c>
      <c r="F517">
        <v>405</v>
      </c>
      <c r="G517" s="12">
        <v>45898</v>
      </c>
      <c r="H517">
        <v>240</v>
      </c>
      <c r="I517">
        <v>87</v>
      </c>
      <c r="J517" t="s">
        <v>26</v>
      </c>
      <c r="K517">
        <v>37000</v>
      </c>
      <c r="L517">
        <v>38</v>
      </c>
      <c r="N517">
        <v>71</v>
      </c>
      <c r="O517">
        <v>3</v>
      </c>
      <c r="R517">
        <v>112</v>
      </c>
      <c r="S517">
        <v>316</v>
      </c>
      <c r="T517">
        <v>4682.7133479212252</v>
      </c>
      <c r="U517">
        <v>1</v>
      </c>
      <c r="V517">
        <v>0.91400000000000003</v>
      </c>
      <c r="W517">
        <v>0.91400000000000003</v>
      </c>
      <c r="X517">
        <v>3.7999999999999999E-2</v>
      </c>
      <c r="Z517">
        <v>7.0999999999999994E-2</v>
      </c>
      <c r="AA517">
        <v>3.0000000000000001E-3</v>
      </c>
      <c r="AH517">
        <v>29.6</v>
      </c>
      <c r="AI517">
        <v>15</v>
      </c>
    </row>
    <row r="518" spans="1:35" x14ac:dyDescent="0.25">
      <c r="A518">
        <v>2025</v>
      </c>
      <c r="B518">
        <v>4</v>
      </c>
      <c r="C518" t="s">
        <v>24</v>
      </c>
      <c r="D518" t="s">
        <v>25</v>
      </c>
      <c r="E518">
        <v>1</v>
      </c>
      <c r="F518">
        <v>501</v>
      </c>
      <c r="G518" s="12">
        <v>45898</v>
      </c>
      <c r="H518">
        <v>240</v>
      </c>
      <c r="I518">
        <v>87</v>
      </c>
      <c r="J518" t="s">
        <v>26</v>
      </c>
      <c r="K518">
        <v>37000</v>
      </c>
      <c r="L518">
        <v>38</v>
      </c>
      <c r="N518">
        <v>65</v>
      </c>
      <c r="O518">
        <v>20</v>
      </c>
      <c r="R518">
        <v>123</v>
      </c>
      <c r="S518">
        <v>329</v>
      </c>
      <c r="T518">
        <v>4945.2954048140036</v>
      </c>
      <c r="U518">
        <v>1</v>
      </c>
      <c r="V518">
        <v>0.91400000000000003</v>
      </c>
      <c r="W518">
        <v>0.91400000000000003</v>
      </c>
      <c r="X518">
        <v>3.7999999999999999E-2</v>
      </c>
      <c r="Z518">
        <v>6.5000000000000002E-2</v>
      </c>
      <c r="AA518">
        <v>0.02</v>
      </c>
      <c r="AH518">
        <v>31.8</v>
      </c>
      <c r="AI518">
        <v>17.2</v>
      </c>
    </row>
    <row r="519" spans="1:35" x14ac:dyDescent="0.25">
      <c r="A519">
        <v>2025</v>
      </c>
      <c r="B519">
        <v>4</v>
      </c>
      <c r="C519" t="s">
        <v>29</v>
      </c>
      <c r="D519" t="s">
        <v>25</v>
      </c>
      <c r="E519">
        <v>1</v>
      </c>
      <c r="F519">
        <v>505</v>
      </c>
      <c r="G519" s="12">
        <v>45898</v>
      </c>
      <c r="H519">
        <v>240</v>
      </c>
      <c r="I519">
        <v>87</v>
      </c>
      <c r="J519" t="s">
        <v>26</v>
      </c>
      <c r="K519">
        <v>37000</v>
      </c>
      <c r="L519">
        <v>31</v>
      </c>
      <c r="N519">
        <v>48</v>
      </c>
      <c r="O519">
        <v>10</v>
      </c>
      <c r="R519">
        <v>89</v>
      </c>
      <c r="S519">
        <v>152</v>
      </c>
      <c r="T519">
        <v>2636.7614879649891</v>
      </c>
      <c r="U519">
        <v>1</v>
      </c>
      <c r="V519">
        <v>0.91400000000000003</v>
      </c>
      <c r="W519">
        <v>0.91400000000000003</v>
      </c>
      <c r="X519">
        <v>3.1E-2</v>
      </c>
      <c r="Z519">
        <v>4.8000000000000001E-2</v>
      </c>
      <c r="AA519">
        <v>0.01</v>
      </c>
      <c r="AH519">
        <v>23.4</v>
      </c>
      <c r="AI519">
        <v>12.4</v>
      </c>
    </row>
    <row r="520" spans="1:35" x14ac:dyDescent="0.25">
      <c r="A520">
        <v>2025</v>
      </c>
      <c r="B520">
        <v>4</v>
      </c>
      <c r="C520" t="s">
        <v>28</v>
      </c>
      <c r="D520" t="s">
        <v>25</v>
      </c>
      <c r="E520">
        <v>1</v>
      </c>
      <c r="F520">
        <v>507</v>
      </c>
      <c r="G520" s="12">
        <v>45898</v>
      </c>
      <c r="H520">
        <v>240</v>
      </c>
      <c r="I520">
        <v>87</v>
      </c>
      <c r="J520" t="s">
        <v>26</v>
      </c>
      <c r="K520">
        <v>37000</v>
      </c>
      <c r="L520">
        <v>17</v>
      </c>
      <c r="N520">
        <v>27</v>
      </c>
      <c r="O520">
        <v>1</v>
      </c>
      <c r="R520">
        <v>45</v>
      </c>
      <c r="S520">
        <v>206</v>
      </c>
      <c r="T520">
        <v>2746.1706783369805</v>
      </c>
      <c r="U520">
        <v>1</v>
      </c>
      <c r="V520">
        <v>0.91400000000000003</v>
      </c>
      <c r="W520">
        <v>0.91400000000000003</v>
      </c>
      <c r="X520">
        <v>1.7000000000000001E-2</v>
      </c>
      <c r="Z520">
        <v>2.7E-2</v>
      </c>
      <c r="AA520">
        <v>1E-3</v>
      </c>
      <c r="AH520">
        <v>19.8</v>
      </c>
      <c r="AI520">
        <v>9.1999999999999993</v>
      </c>
    </row>
    <row r="521" spans="1:35" x14ac:dyDescent="0.25">
      <c r="A521">
        <v>2025</v>
      </c>
      <c r="B521">
        <v>4</v>
      </c>
      <c r="C521" t="s">
        <v>32</v>
      </c>
      <c r="D521" t="s">
        <v>25</v>
      </c>
      <c r="E521">
        <v>1</v>
      </c>
      <c r="F521">
        <v>509</v>
      </c>
      <c r="G521" s="12">
        <v>45898</v>
      </c>
      <c r="H521">
        <v>240</v>
      </c>
      <c r="I521">
        <v>87</v>
      </c>
      <c r="J521" t="s">
        <v>26</v>
      </c>
      <c r="K521">
        <v>37000</v>
      </c>
      <c r="L521">
        <v>29</v>
      </c>
      <c r="N521">
        <v>43</v>
      </c>
      <c r="O521">
        <v>1</v>
      </c>
      <c r="R521">
        <v>73</v>
      </c>
      <c r="S521">
        <v>195</v>
      </c>
      <c r="T521">
        <v>2932.1663019693651</v>
      </c>
      <c r="U521">
        <v>1</v>
      </c>
      <c r="V521">
        <v>0.91400000000000003</v>
      </c>
      <c r="W521">
        <v>0.91400000000000003</v>
      </c>
      <c r="X521">
        <v>2.9000000000000001E-2</v>
      </c>
      <c r="Z521">
        <v>4.2999999999999997E-2</v>
      </c>
      <c r="AA521">
        <v>1E-3</v>
      </c>
      <c r="AH521">
        <v>24</v>
      </c>
      <c r="AI521">
        <v>14.6</v>
      </c>
    </row>
    <row r="522" spans="1:35" x14ac:dyDescent="0.25">
      <c r="A522">
        <v>2025</v>
      </c>
      <c r="B522">
        <v>4</v>
      </c>
      <c r="C522" t="s">
        <v>29</v>
      </c>
      <c r="D522" t="s">
        <v>25</v>
      </c>
      <c r="E522">
        <v>3</v>
      </c>
      <c r="F522">
        <v>704</v>
      </c>
      <c r="G522" s="12">
        <v>45898</v>
      </c>
      <c r="H522">
        <v>240</v>
      </c>
      <c r="I522">
        <v>87</v>
      </c>
      <c r="J522" t="s">
        <v>26</v>
      </c>
      <c r="K522">
        <v>37000</v>
      </c>
      <c r="L522">
        <v>63</v>
      </c>
      <c r="N522">
        <v>114</v>
      </c>
      <c r="O522">
        <v>11</v>
      </c>
      <c r="R522">
        <v>188</v>
      </c>
      <c r="S522">
        <v>314</v>
      </c>
      <c r="T522">
        <v>5492.3413566739609</v>
      </c>
      <c r="U522">
        <v>1</v>
      </c>
      <c r="V522">
        <v>0.91400000000000003</v>
      </c>
      <c r="W522">
        <v>0.91400000000000003</v>
      </c>
      <c r="X522">
        <v>6.3E-2</v>
      </c>
      <c r="Z522">
        <v>0.114</v>
      </c>
      <c r="AA522">
        <v>1.0999999999999999E-2</v>
      </c>
      <c r="AH522">
        <v>31.68</v>
      </c>
      <c r="AI522">
        <v>17.399999999999999</v>
      </c>
    </row>
    <row r="523" spans="1:35" x14ac:dyDescent="0.25">
      <c r="A523">
        <v>2025</v>
      </c>
      <c r="B523">
        <v>4</v>
      </c>
      <c r="C523" t="s">
        <v>24</v>
      </c>
      <c r="D523" t="s">
        <v>25</v>
      </c>
      <c r="E523">
        <v>3</v>
      </c>
      <c r="F523">
        <v>706</v>
      </c>
      <c r="G523" s="12">
        <v>45898</v>
      </c>
      <c r="H523">
        <v>240</v>
      </c>
      <c r="I523">
        <v>87</v>
      </c>
      <c r="J523" t="s">
        <v>26</v>
      </c>
      <c r="K523">
        <v>37000</v>
      </c>
      <c r="L523">
        <v>15</v>
      </c>
      <c r="N523">
        <v>25</v>
      </c>
      <c r="O523">
        <v>8</v>
      </c>
      <c r="R523">
        <v>48</v>
      </c>
      <c r="S523">
        <v>121</v>
      </c>
      <c r="T523">
        <v>1849.0153172866521</v>
      </c>
      <c r="U523">
        <v>1</v>
      </c>
      <c r="V523">
        <v>0.91400000000000003</v>
      </c>
      <c r="W523">
        <v>0.91400000000000003</v>
      </c>
      <c r="X523">
        <v>1.4999999999999999E-2</v>
      </c>
      <c r="Z523">
        <v>2.5000000000000001E-2</v>
      </c>
      <c r="AA523">
        <v>8.0000000000000002E-3</v>
      </c>
      <c r="AH523">
        <v>17.600000000000001</v>
      </c>
      <c r="AI523">
        <v>11.2</v>
      </c>
    </row>
    <row r="524" spans="1:35" x14ac:dyDescent="0.25">
      <c r="A524">
        <v>2025</v>
      </c>
      <c r="B524">
        <v>4</v>
      </c>
      <c r="C524" t="s">
        <v>28</v>
      </c>
      <c r="D524" t="s">
        <v>25</v>
      </c>
      <c r="E524">
        <v>3</v>
      </c>
      <c r="F524">
        <v>708</v>
      </c>
      <c r="G524" s="12">
        <v>45898</v>
      </c>
      <c r="H524">
        <v>240</v>
      </c>
      <c r="I524">
        <v>87</v>
      </c>
      <c r="J524" t="s">
        <v>26</v>
      </c>
      <c r="K524">
        <v>37000</v>
      </c>
      <c r="L524">
        <v>16</v>
      </c>
      <c r="N524">
        <v>27</v>
      </c>
      <c r="O524">
        <v>4</v>
      </c>
      <c r="R524">
        <v>47</v>
      </c>
      <c r="S524">
        <v>216</v>
      </c>
      <c r="T524">
        <v>2877.4617067833697</v>
      </c>
      <c r="U524">
        <v>1</v>
      </c>
      <c r="V524">
        <v>0.91400000000000003</v>
      </c>
      <c r="W524">
        <v>0.91400000000000003</v>
      </c>
      <c r="X524">
        <v>1.6E-2</v>
      </c>
      <c r="Z524">
        <v>2.7E-2</v>
      </c>
      <c r="AA524">
        <v>4.0000000000000001E-3</v>
      </c>
      <c r="AH524">
        <v>20.100000000000001</v>
      </c>
      <c r="AI524">
        <v>10.6</v>
      </c>
    </row>
    <row r="525" spans="1:35" x14ac:dyDescent="0.25">
      <c r="A525">
        <v>2025</v>
      </c>
      <c r="B525">
        <v>4</v>
      </c>
      <c r="C525" t="s">
        <v>32</v>
      </c>
      <c r="D525" t="s">
        <v>25</v>
      </c>
      <c r="E525">
        <v>3</v>
      </c>
      <c r="F525">
        <v>709</v>
      </c>
      <c r="G525" s="12">
        <v>45898</v>
      </c>
      <c r="H525">
        <v>240</v>
      </c>
      <c r="I525">
        <v>87</v>
      </c>
      <c r="J525" t="s">
        <v>26</v>
      </c>
      <c r="K525">
        <v>37000</v>
      </c>
      <c r="L525">
        <v>25</v>
      </c>
      <c r="N525">
        <v>30</v>
      </c>
      <c r="O525">
        <v>2</v>
      </c>
      <c r="R525">
        <v>57</v>
      </c>
      <c r="S525">
        <v>125</v>
      </c>
      <c r="T525">
        <v>1991.2472647702405</v>
      </c>
      <c r="U525">
        <v>1</v>
      </c>
      <c r="V525">
        <v>0.91400000000000003</v>
      </c>
      <c r="W525">
        <v>0.91400000000000003</v>
      </c>
      <c r="X525">
        <v>2.5000000000000001E-2</v>
      </c>
      <c r="Z525">
        <v>0.03</v>
      </c>
      <c r="AA525">
        <v>2E-3</v>
      </c>
      <c r="AH525">
        <v>18.100000000000001</v>
      </c>
      <c r="AI525">
        <v>11.6</v>
      </c>
    </row>
    <row r="526" spans="1:35" x14ac:dyDescent="0.25">
      <c r="A526">
        <v>2025</v>
      </c>
      <c r="B526">
        <v>4</v>
      </c>
      <c r="C526" t="s">
        <v>24</v>
      </c>
      <c r="D526" t="s">
        <v>25</v>
      </c>
      <c r="E526">
        <v>4</v>
      </c>
      <c r="F526">
        <v>802</v>
      </c>
      <c r="G526" s="12">
        <v>45898</v>
      </c>
      <c r="H526">
        <v>240</v>
      </c>
      <c r="I526">
        <v>87</v>
      </c>
      <c r="J526" t="s">
        <v>26</v>
      </c>
      <c r="K526">
        <v>37000</v>
      </c>
      <c r="L526">
        <v>23</v>
      </c>
      <c r="N526">
        <v>31</v>
      </c>
      <c r="O526">
        <v>6</v>
      </c>
      <c r="R526">
        <v>60</v>
      </c>
      <c r="S526">
        <v>114</v>
      </c>
      <c r="T526">
        <v>1903.7199124726476</v>
      </c>
      <c r="U526">
        <v>1</v>
      </c>
      <c r="V526">
        <v>0.91400000000000003</v>
      </c>
      <c r="W526">
        <v>0.91400000000000003</v>
      </c>
      <c r="X526">
        <v>2.3E-2</v>
      </c>
      <c r="Z526">
        <v>3.1E-2</v>
      </c>
      <c r="AA526">
        <v>6.0000000000000001E-3</v>
      </c>
      <c r="AH526">
        <v>15.5</v>
      </c>
      <c r="AI526">
        <v>11.4</v>
      </c>
    </row>
    <row r="527" spans="1:35" x14ac:dyDescent="0.25">
      <c r="A527">
        <v>2025</v>
      </c>
      <c r="B527">
        <v>4</v>
      </c>
      <c r="C527" t="s">
        <v>29</v>
      </c>
      <c r="D527" t="s">
        <v>25</v>
      </c>
      <c r="E527">
        <v>4</v>
      </c>
      <c r="F527">
        <v>803</v>
      </c>
      <c r="G527" s="12">
        <v>45898</v>
      </c>
      <c r="H527">
        <v>240</v>
      </c>
      <c r="I527">
        <v>87</v>
      </c>
      <c r="J527" t="s">
        <v>26</v>
      </c>
      <c r="K527">
        <v>37000</v>
      </c>
      <c r="L527">
        <v>25</v>
      </c>
      <c r="N527">
        <v>38</v>
      </c>
      <c r="O527">
        <v>7</v>
      </c>
      <c r="R527">
        <v>70</v>
      </c>
      <c r="S527">
        <v>174</v>
      </c>
      <c r="T527">
        <v>2669.5842450765863</v>
      </c>
      <c r="U527">
        <v>1</v>
      </c>
      <c r="V527">
        <v>0.91400000000000003</v>
      </c>
      <c r="W527">
        <v>0.91400000000000003</v>
      </c>
      <c r="X527">
        <v>2.5000000000000001E-2</v>
      </c>
      <c r="Z527">
        <v>3.7999999999999999E-2</v>
      </c>
      <c r="AA527">
        <v>7.0000000000000001E-3</v>
      </c>
      <c r="AH527">
        <v>20.399999999999999</v>
      </c>
      <c r="AI527">
        <v>10.199999999999999</v>
      </c>
    </row>
    <row r="528" spans="1:35" x14ac:dyDescent="0.25">
      <c r="A528">
        <v>2025</v>
      </c>
      <c r="B528">
        <v>4</v>
      </c>
      <c r="C528" t="s">
        <v>32</v>
      </c>
      <c r="D528" t="s">
        <v>25</v>
      </c>
      <c r="E528">
        <v>4</v>
      </c>
      <c r="F528">
        <v>804</v>
      </c>
      <c r="G528" s="12">
        <v>45898</v>
      </c>
      <c r="H528">
        <v>240</v>
      </c>
      <c r="I528">
        <v>87</v>
      </c>
      <c r="J528" t="s">
        <v>26</v>
      </c>
      <c r="K528">
        <v>37000</v>
      </c>
      <c r="L528">
        <v>27</v>
      </c>
      <c r="N528">
        <v>32</v>
      </c>
      <c r="O528">
        <v>2</v>
      </c>
      <c r="R528">
        <v>61</v>
      </c>
      <c r="S528">
        <v>136</v>
      </c>
      <c r="T528">
        <v>2155.3610503282275</v>
      </c>
      <c r="U528">
        <v>1</v>
      </c>
      <c r="V528">
        <v>0.91400000000000003</v>
      </c>
      <c r="W528">
        <v>0.91400000000000003</v>
      </c>
      <c r="X528">
        <v>2.7E-2</v>
      </c>
      <c r="Z528">
        <v>3.2000000000000001E-2</v>
      </c>
      <c r="AA528">
        <v>2E-3</v>
      </c>
      <c r="AH528">
        <v>20.5</v>
      </c>
      <c r="AI528">
        <v>12.8</v>
      </c>
    </row>
    <row r="529" spans="1:35" x14ac:dyDescent="0.25">
      <c r="A529">
        <v>2025</v>
      </c>
      <c r="B529">
        <v>4</v>
      </c>
      <c r="C529" t="s">
        <v>28</v>
      </c>
      <c r="D529" t="s">
        <v>25</v>
      </c>
      <c r="E529">
        <v>4</v>
      </c>
      <c r="F529">
        <v>805</v>
      </c>
      <c r="G529" s="12">
        <v>45898</v>
      </c>
      <c r="H529">
        <v>240</v>
      </c>
      <c r="I529">
        <v>87</v>
      </c>
      <c r="J529" t="s">
        <v>26</v>
      </c>
      <c r="K529">
        <v>37000</v>
      </c>
      <c r="L529">
        <v>41</v>
      </c>
      <c r="N529">
        <v>59</v>
      </c>
      <c r="O529">
        <v>9</v>
      </c>
      <c r="R529">
        <v>109</v>
      </c>
      <c r="S529">
        <v>145</v>
      </c>
      <c r="T529">
        <v>2778.9934354485777</v>
      </c>
      <c r="U529">
        <v>1</v>
      </c>
      <c r="V529">
        <v>0.91400000000000003</v>
      </c>
      <c r="W529">
        <v>0.91400000000000003</v>
      </c>
      <c r="X529">
        <v>4.1000000000000002E-2</v>
      </c>
      <c r="Z529">
        <v>5.8999999999999997E-2</v>
      </c>
      <c r="AA529">
        <v>8.9999999999999993E-3</v>
      </c>
      <c r="AH529">
        <v>22.1</v>
      </c>
      <c r="AI529">
        <v>13.4</v>
      </c>
    </row>
    <row r="530" spans="1:35" x14ac:dyDescent="0.25">
      <c r="A530">
        <v>2025</v>
      </c>
      <c r="B530">
        <v>5</v>
      </c>
      <c r="C530" t="s">
        <v>24</v>
      </c>
      <c r="D530" t="s">
        <v>38</v>
      </c>
      <c r="E530" s="15">
        <v>1</v>
      </c>
      <c r="F530">
        <v>101</v>
      </c>
      <c r="G530" s="12">
        <v>45902</v>
      </c>
      <c r="H530">
        <v>244</v>
      </c>
      <c r="I530">
        <v>91</v>
      </c>
      <c r="J530" t="s">
        <v>26</v>
      </c>
      <c r="K530">
        <v>37000</v>
      </c>
      <c r="L530">
        <v>36</v>
      </c>
      <c r="N530">
        <v>58</v>
      </c>
      <c r="O530">
        <v>41.150000000000006</v>
      </c>
      <c r="P530">
        <v>31.750000000000004</v>
      </c>
      <c r="R530">
        <v>166.9</v>
      </c>
      <c r="S530">
        <v>421</v>
      </c>
      <c r="T530">
        <v>6432.1663019693651</v>
      </c>
      <c r="U530">
        <v>1</v>
      </c>
      <c r="V530">
        <v>0.91400000000000003</v>
      </c>
      <c r="W530">
        <v>0.91400000000000003</v>
      </c>
      <c r="X530">
        <v>3.5999999999999997E-2</v>
      </c>
      <c r="Z530">
        <v>5.8000000000000003E-2</v>
      </c>
      <c r="AA530">
        <v>0</v>
      </c>
      <c r="AB530">
        <v>3.175E-2</v>
      </c>
      <c r="AH530">
        <v>28.1</v>
      </c>
      <c r="AI530">
        <v>17.8</v>
      </c>
    </row>
    <row r="531" spans="1:35" x14ac:dyDescent="0.25">
      <c r="A531">
        <v>2025</v>
      </c>
      <c r="B531">
        <v>5</v>
      </c>
      <c r="C531" t="s">
        <v>29</v>
      </c>
      <c r="D531" t="s">
        <v>38</v>
      </c>
      <c r="E531">
        <v>1</v>
      </c>
      <c r="F531">
        <v>105</v>
      </c>
      <c r="G531" s="12">
        <v>45902</v>
      </c>
      <c r="H531">
        <v>244</v>
      </c>
      <c r="I531">
        <v>91</v>
      </c>
      <c r="J531" t="s">
        <v>26</v>
      </c>
      <c r="K531">
        <v>37000</v>
      </c>
      <c r="L531">
        <v>41</v>
      </c>
      <c r="N531">
        <v>89</v>
      </c>
      <c r="O531">
        <v>30.55</v>
      </c>
      <c r="P531">
        <v>6.1500000000000021</v>
      </c>
      <c r="R531">
        <v>166.70000000000002</v>
      </c>
      <c r="S531">
        <v>354</v>
      </c>
      <c r="T531">
        <v>5696.936542669584</v>
      </c>
      <c r="U531">
        <v>1</v>
      </c>
      <c r="V531">
        <v>0.91400000000000003</v>
      </c>
      <c r="W531">
        <v>0.91400000000000003</v>
      </c>
      <c r="X531">
        <v>4.1000000000000002E-2</v>
      </c>
      <c r="Z531">
        <v>8.8999999999999996E-2</v>
      </c>
      <c r="AA531">
        <v>0</v>
      </c>
      <c r="AB531">
        <v>6.1500000000000018E-3</v>
      </c>
      <c r="AH531">
        <v>33.799999999999997</v>
      </c>
      <c r="AI531">
        <v>18.399999999999999</v>
      </c>
    </row>
    <row r="532" spans="1:35" x14ac:dyDescent="0.25">
      <c r="A532">
        <v>2025</v>
      </c>
      <c r="B532">
        <v>5</v>
      </c>
      <c r="C532" t="s">
        <v>28</v>
      </c>
      <c r="D532" t="s">
        <v>38</v>
      </c>
      <c r="E532">
        <v>1</v>
      </c>
      <c r="F532">
        <v>107</v>
      </c>
      <c r="G532" s="12">
        <v>45902</v>
      </c>
      <c r="H532">
        <v>244</v>
      </c>
      <c r="I532">
        <v>91</v>
      </c>
      <c r="J532" t="s">
        <v>26</v>
      </c>
      <c r="K532">
        <v>37000</v>
      </c>
      <c r="L532">
        <v>75</v>
      </c>
      <c r="N532">
        <v>142</v>
      </c>
      <c r="O532">
        <v>56.45</v>
      </c>
      <c r="P532">
        <v>16.05</v>
      </c>
      <c r="R532">
        <v>289.5</v>
      </c>
      <c r="S532">
        <v>186</v>
      </c>
      <c r="T532">
        <v>5202.4070021881835</v>
      </c>
      <c r="U532">
        <v>1</v>
      </c>
      <c r="V532">
        <v>0.91400000000000003</v>
      </c>
      <c r="W532">
        <v>0.91400000000000003</v>
      </c>
      <c r="X532">
        <v>7.4999999999999997E-2</v>
      </c>
      <c r="Z532">
        <v>0.14199999999999999</v>
      </c>
      <c r="AA532">
        <v>0</v>
      </c>
      <c r="AB532">
        <v>1.6050000000000002E-2</v>
      </c>
      <c r="AH532">
        <v>28.52</v>
      </c>
      <c r="AI532">
        <v>17.8</v>
      </c>
    </row>
    <row r="533" spans="1:35" x14ac:dyDescent="0.25">
      <c r="A533">
        <v>2025</v>
      </c>
      <c r="B533">
        <v>5</v>
      </c>
      <c r="C533" t="s">
        <v>32</v>
      </c>
      <c r="D533" t="s">
        <v>38</v>
      </c>
      <c r="E533">
        <v>1</v>
      </c>
      <c r="F533">
        <v>109</v>
      </c>
      <c r="G533" s="12">
        <v>45902</v>
      </c>
      <c r="H533">
        <v>244</v>
      </c>
      <c r="I533">
        <v>91</v>
      </c>
      <c r="J533" t="s">
        <v>26</v>
      </c>
      <c r="K533">
        <v>37000</v>
      </c>
      <c r="L533">
        <v>36</v>
      </c>
      <c r="N533">
        <v>60</v>
      </c>
      <c r="O533">
        <v>26.349999999999998</v>
      </c>
      <c r="P533">
        <v>3.9499999999999993</v>
      </c>
      <c r="R533">
        <v>126.3</v>
      </c>
      <c r="S533">
        <v>381</v>
      </c>
      <c r="T533">
        <v>5550.3282275711163</v>
      </c>
      <c r="U533">
        <v>1</v>
      </c>
      <c r="V533">
        <v>0.91400000000000003</v>
      </c>
      <c r="W533">
        <v>0.91400000000000003</v>
      </c>
      <c r="X533">
        <v>3.5999999999999997E-2</v>
      </c>
      <c r="Z533">
        <v>0.06</v>
      </c>
      <c r="AA533">
        <v>0</v>
      </c>
      <c r="AB533">
        <v>3.9499999999999995E-3</v>
      </c>
      <c r="AH533">
        <v>33.1</v>
      </c>
      <c r="AI533">
        <v>18.600000000000001</v>
      </c>
    </row>
    <row r="534" spans="1:35" x14ac:dyDescent="0.25">
      <c r="A534">
        <v>2025</v>
      </c>
      <c r="B534">
        <v>5</v>
      </c>
      <c r="C534" t="s">
        <v>29</v>
      </c>
      <c r="D534" t="s">
        <v>38</v>
      </c>
      <c r="E534">
        <v>3</v>
      </c>
      <c r="F534">
        <v>304</v>
      </c>
      <c r="G534" s="12">
        <v>45902</v>
      </c>
      <c r="H534">
        <v>244</v>
      </c>
      <c r="I534">
        <v>91</v>
      </c>
      <c r="J534" t="s">
        <v>26</v>
      </c>
      <c r="K534">
        <v>37000</v>
      </c>
      <c r="L534">
        <v>41</v>
      </c>
      <c r="N534">
        <v>81</v>
      </c>
      <c r="O534">
        <v>30.750000000000004</v>
      </c>
      <c r="P534">
        <v>18.45</v>
      </c>
      <c r="R534">
        <v>171.2</v>
      </c>
      <c r="S534">
        <v>416</v>
      </c>
      <c r="T534">
        <v>6424.5076586433261</v>
      </c>
      <c r="U534">
        <v>1</v>
      </c>
      <c r="V534">
        <v>0.91400000000000003</v>
      </c>
      <c r="W534">
        <v>0.91400000000000003</v>
      </c>
      <c r="X534">
        <v>4.1000000000000002E-2</v>
      </c>
      <c r="Z534">
        <v>8.1000000000000003E-2</v>
      </c>
      <c r="AA534">
        <v>0</v>
      </c>
      <c r="AB534">
        <v>1.8449999999999998E-2</v>
      </c>
      <c r="AH534">
        <v>36</v>
      </c>
      <c r="AI534">
        <v>15.4</v>
      </c>
    </row>
    <row r="535" spans="1:35" x14ac:dyDescent="0.25">
      <c r="A535">
        <v>2025</v>
      </c>
      <c r="B535">
        <v>5</v>
      </c>
      <c r="C535" t="s">
        <v>24</v>
      </c>
      <c r="D535" t="s">
        <v>38</v>
      </c>
      <c r="E535">
        <v>3</v>
      </c>
      <c r="F535">
        <v>306</v>
      </c>
      <c r="G535" s="12">
        <v>45902</v>
      </c>
      <c r="H535">
        <v>244</v>
      </c>
      <c r="I535">
        <v>91</v>
      </c>
      <c r="J535" t="s">
        <v>26</v>
      </c>
      <c r="K535">
        <v>37000</v>
      </c>
      <c r="L535">
        <v>30</v>
      </c>
      <c r="N535">
        <v>55</v>
      </c>
      <c r="O535">
        <v>37.950000000000003</v>
      </c>
      <c r="P535">
        <v>8.4499999999999993</v>
      </c>
      <c r="R535">
        <v>131.4</v>
      </c>
      <c r="S535">
        <v>384</v>
      </c>
      <c r="T535">
        <v>5638.9496717724287</v>
      </c>
      <c r="U535">
        <v>1</v>
      </c>
      <c r="V535">
        <v>0.91400000000000003</v>
      </c>
      <c r="W535">
        <v>0.91400000000000003</v>
      </c>
      <c r="X535">
        <v>0.03</v>
      </c>
      <c r="Z535">
        <v>5.5E-2</v>
      </c>
      <c r="AA535">
        <v>0</v>
      </c>
      <c r="AB535">
        <v>8.4499999999999992E-3</v>
      </c>
      <c r="AH535">
        <v>30.1</v>
      </c>
      <c r="AI535">
        <v>17.2</v>
      </c>
    </row>
    <row r="536" spans="1:35" x14ac:dyDescent="0.25">
      <c r="A536">
        <v>2025</v>
      </c>
      <c r="B536">
        <v>5</v>
      </c>
      <c r="C536" t="s">
        <v>28</v>
      </c>
      <c r="D536" t="s">
        <v>38</v>
      </c>
      <c r="E536">
        <v>3</v>
      </c>
      <c r="F536">
        <v>308</v>
      </c>
      <c r="G536" s="12">
        <v>45902</v>
      </c>
      <c r="H536">
        <v>244</v>
      </c>
      <c r="I536">
        <v>91</v>
      </c>
      <c r="J536" t="s">
        <v>26</v>
      </c>
      <c r="K536">
        <v>37000</v>
      </c>
      <c r="L536">
        <v>49</v>
      </c>
      <c r="N536">
        <v>100</v>
      </c>
      <c r="O536">
        <v>34.849999999999994</v>
      </c>
      <c r="P536">
        <v>15.45</v>
      </c>
      <c r="R536">
        <v>199.29999999999998</v>
      </c>
      <c r="S536">
        <v>417</v>
      </c>
      <c r="T536">
        <v>6742.8884026258202</v>
      </c>
      <c r="U536">
        <v>1</v>
      </c>
      <c r="V536">
        <v>0.91400000000000003</v>
      </c>
      <c r="W536">
        <v>0.91400000000000003</v>
      </c>
      <c r="X536">
        <v>4.9000000000000002E-2</v>
      </c>
      <c r="Z536">
        <v>0.1</v>
      </c>
      <c r="AA536">
        <v>0</v>
      </c>
      <c r="AB536">
        <v>1.5449999999999998E-2</v>
      </c>
      <c r="AH536">
        <v>37.799999999999997</v>
      </c>
      <c r="AI536">
        <v>20.6</v>
      </c>
    </row>
    <row r="537" spans="1:35" x14ac:dyDescent="0.25">
      <c r="A537">
        <v>2025</v>
      </c>
      <c r="B537">
        <v>5</v>
      </c>
      <c r="C537" t="s">
        <v>32</v>
      </c>
      <c r="D537" t="s">
        <v>38</v>
      </c>
      <c r="E537">
        <v>3</v>
      </c>
      <c r="F537">
        <v>309</v>
      </c>
      <c r="G537" s="12">
        <v>45902</v>
      </c>
      <c r="H537">
        <v>244</v>
      </c>
      <c r="I537">
        <v>91</v>
      </c>
      <c r="J537" t="s">
        <v>26</v>
      </c>
      <c r="K537">
        <v>37000</v>
      </c>
      <c r="L537">
        <v>40</v>
      </c>
      <c r="N537">
        <v>74</v>
      </c>
      <c r="O537">
        <v>28.150000000000002</v>
      </c>
      <c r="P537">
        <v>4.0500000000000007</v>
      </c>
      <c r="R537">
        <v>146.20000000000002</v>
      </c>
      <c r="S537">
        <v>412</v>
      </c>
      <c r="T537">
        <v>6107.2210065645513</v>
      </c>
      <c r="U537">
        <v>1</v>
      </c>
      <c r="V537">
        <v>0.91400000000000003</v>
      </c>
      <c r="W537">
        <v>0.91400000000000003</v>
      </c>
      <c r="X537">
        <v>0.04</v>
      </c>
      <c r="Z537">
        <v>7.3999999999999996E-2</v>
      </c>
      <c r="AA537">
        <v>0</v>
      </c>
      <c r="AB537">
        <v>4.0500000000000006E-3</v>
      </c>
      <c r="AH537">
        <v>37.4</v>
      </c>
      <c r="AI537">
        <v>19</v>
      </c>
    </row>
    <row r="538" spans="1:35" x14ac:dyDescent="0.25">
      <c r="A538">
        <v>2025</v>
      </c>
      <c r="B538">
        <v>5</v>
      </c>
      <c r="C538" t="s">
        <v>24</v>
      </c>
      <c r="D538" t="s">
        <v>38</v>
      </c>
      <c r="E538">
        <v>4</v>
      </c>
      <c r="F538">
        <v>402</v>
      </c>
      <c r="G538" s="12">
        <v>45902</v>
      </c>
      <c r="H538">
        <v>244</v>
      </c>
      <c r="I538">
        <v>91</v>
      </c>
      <c r="J538" t="s">
        <v>26</v>
      </c>
      <c r="K538">
        <v>37000</v>
      </c>
      <c r="L538">
        <v>36</v>
      </c>
      <c r="N538">
        <v>56</v>
      </c>
      <c r="O538">
        <v>44.25</v>
      </c>
      <c r="P538">
        <v>27.55</v>
      </c>
      <c r="R538">
        <v>163.80000000000001</v>
      </c>
      <c r="S538">
        <v>328</v>
      </c>
      <c r="T538">
        <v>5380.7439824945295</v>
      </c>
      <c r="U538">
        <v>1</v>
      </c>
      <c r="V538">
        <v>0.91400000000000003</v>
      </c>
      <c r="W538">
        <v>0.91400000000000003</v>
      </c>
      <c r="X538">
        <v>3.5999999999999997E-2</v>
      </c>
      <c r="Z538">
        <v>5.6000000000000001E-2</v>
      </c>
      <c r="AA538">
        <v>0</v>
      </c>
      <c r="AB538">
        <v>2.7550000000000002E-2</v>
      </c>
      <c r="AH538">
        <v>20.5</v>
      </c>
      <c r="AI538">
        <v>16</v>
      </c>
    </row>
    <row r="539" spans="1:35" x14ac:dyDescent="0.25">
      <c r="A539">
        <v>2025</v>
      </c>
      <c r="B539">
        <v>5</v>
      </c>
      <c r="C539" t="s">
        <v>29</v>
      </c>
      <c r="D539" t="s">
        <v>38</v>
      </c>
      <c r="E539">
        <v>4</v>
      </c>
      <c r="F539">
        <v>403</v>
      </c>
      <c r="G539" s="12">
        <v>45902</v>
      </c>
      <c r="H539">
        <v>244</v>
      </c>
      <c r="I539">
        <v>91</v>
      </c>
      <c r="J539" t="s">
        <v>26</v>
      </c>
      <c r="K539">
        <v>37000</v>
      </c>
      <c r="L539">
        <v>52</v>
      </c>
      <c r="N539">
        <v>99</v>
      </c>
      <c r="O539">
        <v>40.150000000000006</v>
      </c>
      <c r="P539">
        <v>10.350000000000001</v>
      </c>
      <c r="R539">
        <v>201.5</v>
      </c>
      <c r="S539">
        <v>297</v>
      </c>
      <c r="T539">
        <v>5454.0481400437639</v>
      </c>
      <c r="U539">
        <v>1</v>
      </c>
      <c r="V539">
        <v>0.91400000000000003</v>
      </c>
      <c r="W539">
        <v>0.91400000000000003</v>
      </c>
      <c r="X539">
        <v>5.1999999999999998E-2</v>
      </c>
      <c r="Z539">
        <v>9.9000000000000005E-2</v>
      </c>
      <c r="AA539">
        <v>0</v>
      </c>
      <c r="AB539">
        <v>1.0350000000000002E-2</v>
      </c>
      <c r="AH539">
        <v>33.1</v>
      </c>
      <c r="AI539">
        <v>16.600000000000001</v>
      </c>
    </row>
    <row r="540" spans="1:35" x14ac:dyDescent="0.25">
      <c r="A540">
        <v>2025</v>
      </c>
      <c r="B540">
        <v>5</v>
      </c>
      <c r="C540" t="s">
        <v>32</v>
      </c>
      <c r="D540" t="s">
        <v>38</v>
      </c>
      <c r="E540">
        <v>4</v>
      </c>
      <c r="F540">
        <v>404</v>
      </c>
      <c r="G540" s="12">
        <v>45902</v>
      </c>
      <c r="H540">
        <v>244</v>
      </c>
      <c r="I540">
        <v>91</v>
      </c>
      <c r="J540" t="s">
        <v>26</v>
      </c>
      <c r="K540">
        <v>37000</v>
      </c>
      <c r="L540">
        <v>66</v>
      </c>
      <c r="N540">
        <v>105</v>
      </c>
      <c r="O540">
        <v>35.950000000000003</v>
      </c>
      <c r="P540">
        <v>0</v>
      </c>
      <c r="R540">
        <v>206.95</v>
      </c>
      <c r="S540">
        <v>309</v>
      </c>
      <c r="T540">
        <v>5644.9671772428883</v>
      </c>
      <c r="U540">
        <v>1</v>
      </c>
      <c r="V540">
        <v>0.91400000000000003</v>
      </c>
      <c r="W540">
        <v>0.91400000000000003</v>
      </c>
      <c r="X540">
        <v>6.6000000000000003E-2</v>
      </c>
      <c r="Z540">
        <v>0.105</v>
      </c>
      <c r="AA540">
        <v>0</v>
      </c>
      <c r="AB540">
        <v>0</v>
      </c>
      <c r="AH540">
        <v>32.4</v>
      </c>
      <c r="AI540">
        <v>19.2</v>
      </c>
    </row>
    <row r="541" spans="1:35" x14ac:dyDescent="0.25">
      <c r="A541">
        <v>2025</v>
      </c>
      <c r="B541">
        <v>5</v>
      </c>
      <c r="C541" t="s">
        <v>28</v>
      </c>
      <c r="D541" t="s">
        <v>38</v>
      </c>
      <c r="E541">
        <v>4</v>
      </c>
      <c r="F541">
        <v>405</v>
      </c>
      <c r="G541" s="12">
        <v>45902</v>
      </c>
      <c r="H541">
        <v>244</v>
      </c>
      <c r="I541">
        <v>91</v>
      </c>
      <c r="J541" t="s">
        <v>26</v>
      </c>
      <c r="K541">
        <v>37000</v>
      </c>
      <c r="L541">
        <v>60</v>
      </c>
      <c r="N541">
        <v>132</v>
      </c>
      <c r="O541">
        <v>45.95</v>
      </c>
      <c r="P541">
        <v>9.9499999999999993</v>
      </c>
      <c r="R541">
        <v>247.89999999999998</v>
      </c>
      <c r="S541">
        <v>366</v>
      </c>
      <c r="T541">
        <v>6716.6301969365422</v>
      </c>
      <c r="U541">
        <v>1</v>
      </c>
      <c r="V541">
        <v>0.91400000000000003</v>
      </c>
      <c r="W541">
        <v>0.91400000000000003</v>
      </c>
      <c r="X541">
        <v>0.06</v>
      </c>
      <c r="Z541">
        <v>0.13200000000000001</v>
      </c>
      <c r="AA541">
        <v>0</v>
      </c>
      <c r="AB541">
        <v>9.9499999999999988E-3</v>
      </c>
      <c r="AH541">
        <v>35</v>
      </c>
      <c r="AI541">
        <v>20.2</v>
      </c>
    </row>
    <row r="542" spans="1:35" x14ac:dyDescent="0.25">
      <c r="A542">
        <v>2025</v>
      </c>
      <c r="B542">
        <v>5</v>
      </c>
      <c r="C542" t="s">
        <v>24</v>
      </c>
      <c r="D542" t="s">
        <v>25</v>
      </c>
      <c r="E542">
        <v>1</v>
      </c>
      <c r="F542">
        <v>501</v>
      </c>
      <c r="G542" s="12">
        <v>45902</v>
      </c>
      <c r="H542">
        <v>244</v>
      </c>
      <c r="I542">
        <v>91</v>
      </c>
      <c r="J542" t="s">
        <v>26</v>
      </c>
      <c r="K542">
        <v>37000</v>
      </c>
      <c r="L542">
        <v>21</v>
      </c>
      <c r="N542">
        <v>46</v>
      </c>
      <c r="O542">
        <v>28.95</v>
      </c>
      <c r="P542">
        <v>20.150000000000002</v>
      </c>
      <c r="R542">
        <v>116.10000000000001</v>
      </c>
      <c r="S542">
        <v>536</v>
      </c>
      <c r="T542">
        <v>7134.5733041575486</v>
      </c>
      <c r="U542">
        <v>1</v>
      </c>
      <c r="V542">
        <v>0.91400000000000003</v>
      </c>
      <c r="W542">
        <v>0.91400000000000003</v>
      </c>
      <c r="X542">
        <v>2.1000000000000001E-2</v>
      </c>
      <c r="Z542">
        <v>4.5999999999999999E-2</v>
      </c>
      <c r="AA542">
        <v>0</v>
      </c>
      <c r="AB542">
        <v>2.0150000000000001E-2</v>
      </c>
      <c r="AH542">
        <v>30.9</v>
      </c>
      <c r="AI542">
        <v>15.8</v>
      </c>
    </row>
    <row r="543" spans="1:35" x14ac:dyDescent="0.25">
      <c r="A543">
        <v>2025</v>
      </c>
      <c r="B543">
        <v>5</v>
      </c>
      <c r="C543" t="s">
        <v>29</v>
      </c>
      <c r="D543" t="s">
        <v>25</v>
      </c>
      <c r="E543">
        <v>1</v>
      </c>
      <c r="F543">
        <v>505</v>
      </c>
      <c r="G543" s="12">
        <v>45902</v>
      </c>
      <c r="H543">
        <v>244</v>
      </c>
      <c r="I543">
        <v>91</v>
      </c>
      <c r="J543" t="s">
        <v>26</v>
      </c>
      <c r="K543">
        <v>37000</v>
      </c>
      <c r="L543">
        <v>36</v>
      </c>
      <c r="N543">
        <v>57</v>
      </c>
      <c r="O543">
        <v>21.45</v>
      </c>
      <c r="P543">
        <v>14.650000000000002</v>
      </c>
      <c r="R543">
        <v>129.1</v>
      </c>
      <c r="S543">
        <v>232</v>
      </c>
      <c r="T543">
        <v>3950.7658643326035</v>
      </c>
      <c r="U543">
        <v>1</v>
      </c>
      <c r="V543">
        <v>0.91400000000000003</v>
      </c>
      <c r="W543">
        <v>0.91400000000000003</v>
      </c>
      <c r="X543">
        <v>3.5999999999999997E-2</v>
      </c>
      <c r="Z543">
        <v>5.7000000000000002E-2</v>
      </c>
      <c r="AA543">
        <v>0</v>
      </c>
      <c r="AB543">
        <v>1.4650000000000002E-2</v>
      </c>
      <c r="AH543">
        <v>24.080000000000002</v>
      </c>
      <c r="AI543">
        <v>13.8</v>
      </c>
    </row>
    <row r="544" spans="1:35" x14ac:dyDescent="0.25">
      <c r="A544">
        <v>2025</v>
      </c>
      <c r="B544">
        <v>5</v>
      </c>
      <c r="C544" t="s">
        <v>28</v>
      </c>
      <c r="D544" t="s">
        <v>25</v>
      </c>
      <c r="E544">
        <v>1</v>
      </c>
      <c r="F544">
        <v>507</v>
      </c>
      <c r="G544" s="12">
        <v>45902</v>
      </c>
      <c r="H544">
        <v>244</v>
      </c>
      <c r="I544">
        <v>91</v>
      </c>
      <c r="J544" t="s">
        <v>26</v>
      </c>
      <c r="K544">
        <v>37000</v>
      </c>
      <c r="L544">
        <v>28</v>
      </c>
      <c r="N544">
        <v>43</v>
      </c>
      <c r="O544">
        <v>14.95</v>
      </c>
      <c r="P544">
        <v>10.150000000000002</v>
      </c>
      <c r="R544">
        <v>96.100000000000009</v>
      </c>
      <c r="S544">
        <v>250</v>
      </c>
      <c r="T544">
        <v>3786.6520787746172</v>
      </c>
      <c r="U544">
        <v>1</v>
      </c>
      <c r="V544">
        <v>0.91400000000000003</v>
      </c>
      <c r="W544">
        <v>0.91400000000000003</v>
      </c>
      <c r="X544">
        <v>2.8000000000000001E-2</v>
      </c>
      <c r="Z544">
        <v>4.2999999999999997E-2</v>
      </c>
      <c r="AA544">
        <v>0</v>
      </c>
      <c r="AB544">
        <v>1.0150000000000003E-2</v>
      </c>
      <c r="AH544">
        <v>23.9</v>
      </c>
      <c r="AI544">
        <v>16</v>
      </c>
    </row>
    <row r="545" spans="1:35" x14ac:dyDescent="0.25">
      <c r="A545">
        <v>2025</v>
      </c>
      <c r="B545">
        <v>5</v>
      </c>
      <c r="C545" t="s">
        <v>32</v>
      </c>
      <c r="D545" t="s">
        <v>25</v>
      </c>
      <c r="E545">
        <v>1</v>
      </c>
      <c r="F545">
        <v>509</v>
      </c>
      <c r="G545" s="12">
        <v>45902</v>
      </c>
      <c r="H545">
        <v>244</v>
      </c>
      <c r="I545">
        <v>91</v>
      </c>
      <c r="J545" t="s">
        <v>26</v>
      </c>
      <c r="K545">
        <v>37000</v>
      </c>
      <c r="L545">
        <v>29</v>
      </c>
      <c r="N545">
        <v>49</v>
      </c>
      <c r="O545">
        <v>16.95</v>
      </c>
      <c r="P545">
        <v>2.8500000000000014</v>
      </c>
      <c r="R545">
        <v>97.800000000000011</v>
      </c>
      <c r="S545">
        <v>338</v>
      </c>
      <c r="T545">
        <v>4768.0525164113778</v>
      </c>
      <c r="U545">
        <v>1</v>
      </c>
      <c r="V545">
        <v>0.91400000000000003</v>
      </c>
      <c r="W545">
        <v>0.91400000000000003</v>
      </c>
      <c r="X545">
        <v>2.9000000000000001E-2</v>
      </c>
      <c r="Z545">
        <v>4.9000000000000002E-2</v>
      </c>
      <c r="AA545">
        <v>0</v>
      </c>
      <c r="AB545">
        <v>2.8500000000000014E-3</v>
      </c>
      <c r="AH545">
        <v>25.3</v>
      </c>
      <c r="AI545">
        <v>16.600000000000001</v>
      </c>
    </row>
    <row r="546" spans="1:35" x14ac:dyDescent="0.25">
      <c r="A546">
        <v>2025</v>
      </c>
      <c r="B546">
        <v>5</v>
      </c>
      <c r="C546" t="s">
        <v>29</v>
      </c>
      <c r="D546" t="s">
        <v>25</v>
      </c>
      <c r="E546">
        <v>3</v>
      </c>
      <c r="F546">
        <v>704</v>
      </c>
      <c r="G546" s="12">
        <v>45902</v>
      </c>
      <c r="H546">
        <v>244</v>
      </c>
      <c r="I546">
        <v>91</v>
      </c>
      <c r="J546" t="s">
        <v>26</v>
      </c>
      <c r="K546">
        <v>37000</v>
      </c>
      <c r="L546">
        <v>25</v>
      </c>
      <c r="N546">
        <v>48</v>
      </c>
      <c r="O546">
        <v>18.650000000000002</v>
      </c>
      <c r="P546">
        <v>8.1500000000000021</v>
      </c>
      <c r="R546">
        <v>99.800000000000011</v>
      </c>
      <c r="S546">
        <v>451</v>
      </c>
      <c r="T546">
        <v>6026.2582056892779</v>
      </c>
      <c r="U546">
        <v>1</v>
      </c>
      <c r="V546">
        <v>0.91400000000000003</v>
      </c>
      <c r="W546">
        <v>0.91400000000000003</v>
      </c>
      <c r="X546">
        <v>2.5000000000000001E-2</v>
      </c>
      <c r="Z546">
        <v>4.8000000000000001E-2</v>
      </c>
      <c r="AA546">
        <v>0</v>
      </c>
      <c r="AB546">
        <v>8.1500000000000027E-3</v>
      </c>
      <c r="AH546">
        <v>32.4</v>
      </c>
      <c r="AI546">
        <v>14.4</v>
      </c>
    </row>
    <row r="547" spans="1:35" x14ac:dyDescent="0.25">
      <c r="A547">
        <v>2025</v>
      </c>
      <c r="B547">
        <v>5</v>
      </c>
      <c r="C547" t="s">
        <v>24</v>
      </c>
      <c r="D547" t="s">
        <v>25</v>
      </c>
      <c r="E547">
        <v>3</v>
      </c>
      <c r="F547">
        <v>706</v>
      </c>
      <c r="G547" s="12">
        <v>45902</v>
      </c>
      <c r="H547">
        <v>244</v>
      </c>
      <c r="I547">
        <v>91</v>
      </c>
      <c r="J547" t="s">
        <v>26</v>
      </c>
      <c r="K547">
        <v>37000</v>
      </c>
      <c r="L547">
        <v>24</v>
      </c>
      <c r="N547">
        <v>35</v>
      </c>
      <c r="O547">
        <v>18.45</v>
      </c>
      <c r="P547">
        <v>20.349999999999998</v>
      </c>
      <c r="R547">
        <v>97.8</v>
      </c>
      <c r="S547">
        <v>283</v>
      </c>
      <c r="T547">
        <v>4166.301969365426</v>
      </c>
      <c r="U547">
        <v>1</v>
      </c>
      <c r="V547">
        <v>0.91400000000000003</v>
      </c>
      <c r="W547">
        <v>0.91400000000000003</v>
      </c>
      <c r="X547">
        <v>2.4E-2</v>
      </c>
      <c r="Z547">
        <v>3.5000000000000003E-2</v>
      </c>
      <c r="AA547">
        <v>0</v>
      </c>
      <c r="AB547">
        <v>2.0349999999999997E-2</v>
      </c>
      <c r="AH547">
        <v>20.6</v>
      </c>
      <c r="AI547">
        <v>16.2</v>
      </c>
    </row>
    <row r="548" spans="1:35" x14ac:dyDescent="0.25">
      <c r="A548">
        <v>2025</v>
      </c>
      <c r="B548">
        <v>5</v>
      </c>
      <c r="C548" t="s">
        <v>28</v>
      </c>
      <c r="D548" t="s">
        <v>25</v>
      </c>
      <c r="E548">
        <v>3</v>
      </c>
      <c r="F548">
        <v>708</v>
      </c>
      <c r="G548" s="12">
        <v>45902</v>
      </c>
      <c r="H548">
        <v>244</v>
      </c>
      <c r="I548">
        <v>91</v>
      </c>
      <c r="J548" t="s">
        <v>26</v>
      </c>
      <c r="K548">
        <v>37000</v>
      </c>
      <c r="L548">
        <v>41</v>
      </c>
      <c r="N548">
        <v>66</v>
      </c>
      <c r="O548">
        <v>29.650000000000002</v>
      </c>
      <c r="P548">
        <v>10.650000000000002</v>
      </c>
      <c r="R548">
        <v>147.30000000000001</v>
      </c>
      <c r="S548">
        <v>215</v>
      </c>
      <c r="T548">
        <v>3963.8949671772425</v>
      </c>
      <c r="U548">
        <v>1</v>
      </c>
      <c r="V548">
        <v>0.91400000000000003</v>
      </c>
      <c r="W548">
        <v>0.91400000000000003</v>
      </c>
      <c r="X548">
        <v>4.1000000000000002E-2</v>
      </c>
      <c r="Z548">
        <v>6.6000000000000003E-2</v>
      </c>
      <c r="AA548">
        <v>0</v>
      </c>
      <c r="AB548">
        <v>1.0650000000000001E-2</v>
      </c>
      <c r="AH548">
        <v>21.6</v>
      </c>
      <c r="AI548">
        <v>14.2</v>
      </c>
    </row>
    <row r="549" spans="1:35" x14ac:dyDescent="0.25">
      <c r="A549">
        <v>2025</v>
      </c>
      <c r="B549">
        <v>5</v>
      </c>
      <c r="C549" t="s">
        <v>32</v>
      </c>
      <c r="D549" t="s">
        <v>25</v>
      </c>
      <c r="E549">
        <v>3</v>
      </c>
      <c r="F549">
        <v>709</v>
      </c>
      <c r="G549" s="12">
        <v>45902</v>
      </c>
      <c r="H549">
        <v>244</v>
      </c>
      <c r="I549">
        <v>91</v>
      </c>
      <c r="J549" t="s">
        <v>26</v>
      </c>
      <c r="K549">
        <v>37000</v>
      </c>
      <c r="L549">
        <v>16</v>
      </c>
      <c r="N549">
        <v>24</v>
      </c>
      <c r="O549">
        <v>9.5500000000000007</v>
      </c>
      <c r="P549">
        <v>4.9499999999999993</v>
      </c>
      <c r="R549">
        <v>54.5</v>
      </c>
      <c r="S549">
        <v>241</v>
      </c>
      <c r="T549">
        <v>3233.0415754923411</v>
      </c>
      <c r="U549">
        <v>1</v>
      </c>
      <c r="V549">
        <v>0.91400000000000003</v>
      </c>
      <c r="W549">
        <v>0.91400000000000003</v>
      </c>
      <c r="X549">
        <v>1.6E-2</v>
      </c>
      <c r="Z549">
        <v>2.4E-2</v>
      </c>
      <c r="AA549">
        <v>0</v>
      </c>
      <c r="AB549">
        <v>4.9499999999999995E-3</v>
      </c>
      <c r="AH549">
        <v>22.2</v>
      </c>
      <c r="AI549">
        <v>13.6</v>
      </c>
    </row>
    <row r="550" spans="1:35" x14ac:dyDescent="0.25">
      <c r="A550">
        <v>2025</v>
      </c>
      <c r="B550">
        <v>5</v>
      </c>
      <c r="C550" t="s">
        <v>24</v>
      </c>
      <c r="D550" t="s">
        <v>25</v>
      </c>
      <c r="E550">
        <v>4</v>
      </c>
      <c r="F550">
        <v>802</v>
      </c>
      <c r="G550" s="12">
        <v>45902</v>
      </c>
      <c r="H550">
        <v>244</v>
      </c>
      <c r="I550">
        <v>91</v>
      </c>
      <c r="J550" t="s">
        <v>26</v>
      </c>
      <c r="K550">
        <v>37000</v>
      </c>
      <c r="L550">
        <v>36</v>
      </c>
      <c r="N550">
        <v>48</v>
      </c>
      <c r="O550">
        <v>24.55</v>
      </c>
      <c r="P550">
        <v>29.45</v>
      </c>
      <c r="R550">
        <v>138</v>
      </c>
      <c r="S550">
        <v>144</v>
      </c>
      <c r="T550">
        <v>3085.3391684901535</v>
      </c>
      <c r="U550">
        <v>1</v>
      </c>
      <c r="V550">
        <v>0.91400000000000003</v>
      </c>
      <c r="W550">
        <v>0.91400000000000003</v>
      </c>
      <c r="X550">
        <v>3.5999999999999997E-2</v>
      </c>
      <c r="Z550">
        <v>4.8000000000000001E-2</v>
      </c>
      <c r="AA550">
        <v>0</v>
      </c>
      <c r="AB550">
        <v>2.945E-2</v>
      </c>
      <c r="AH550">
        <v>17.600000000000001</v>
      </c>
      <c r="AI550">
        <v>12</v>
      </c>
    </row>
    <row r="551" spans="1:35" x14ac:dyDescent="0.25">
      <c r="A551">
        <v>2025</v>
      </c>
      <c r="B551">
        <v>5</v>
      </c>
      <c r="C551" t="s">
        <v>29</v>
      </c>
      <c r="D551" t="s">
        <v>25</v>
      </c>
      <c r="E551">
        <v>4</v>
      </c>
      <c r="F551">
        <v>803</v>
      </c>
      <c r="G551" s="12">
        <v>45902</v>
      </c>
      <c r="H551">
        <v>244</v>
      </c>
      <c r="I551">
        <v>91</v>
      </c>
      <c r="J551" t="s">
        <v>26</v>
      </c>
      <c r="K551">
        <v>37000</v>
      </c>
      <c r="L551">
        <v>16</v>
      </c>
      <c r="N551">
        <v>24</v>
      </c>
      <c r="O551">
        <v>8.5500000000000007</v>
      </c>
      <c r="P551">
        <v>9.4499999999999993</v>
      </c>
      <c r="R551">
        <v>58</v>
      </c>
      <c r="S551">
        <v>226</v>
      </c>
      <c r="T551">
        <v>3107.2210065645513</v>
      </c>
      <c r="U551">
        <v>1</v>
      </c>
      <c r="V551">
        <v>0.91400000000000003</v>
      </c>
      <c r="W551">
        <v>0.91400000000000003</v>
      </c>
      <c r="X551">
        <v>1.6E-2</v>
      </c>
      <c r="Z551">
        <v>2.4E-2</v>
      </c>
      <c r="AA551">
        <v>0</v>
      </c>
      <c r="AB551">
        <v>9.4500000000000001E-3</v>
      </c>
      <c r="AH551">
        <v>21</v>
      </c>
      <c r="AI551">
        <v>14.8</v>
      </c>
    </row>
    <row r="552" spans="1:35" x14ac:dyDescent="0.25">
      <c r="A552">
        <v>2025</v>
      </c>
      <c r="B552">
        <v>5</v>
      </c>
      <c r="C552" t="s">
        <v>32</v>
      </c>
      <c r="D552" t="s">
        <v>25</v>
      </c>
      <c r="E552">
        <v>4</v>
      </c>
      <c r="F552">
        <v>804</v>
      </c>
      <c r="G552" s="12">
        <v>45902</v>
      </c>
      <c r="H552">
        <v>244</v>
      </c>
      <c r="I552">
        <v>91</v>
      </c>
      <c r="J552" t="s">
        <v>26</v>
      </c>
      <c r="K552">
        <v>37000</v>
      </c>
      <c r="L552">
        <v>33</v>
      </c>
      <c r="N552">
        <v>41</v>
      </c>
      <c r="O552">
        <v>18.150000000000002</v>
      </c>
      <c r="P552">
        <v>5.6500000000000021</v>
      </c>
      <c r="R552">
        <v>97.800000000000011</v>
      </c>
      <c r="S552">
        <v>151</v>
      </c>
      <c r="T552">
        <v>2722.1006564551421</v>
      </c>
      <c r="U552">
        <v>1</v>
      </c>
      <c r="V552">
        <v>0.91400000000000003</v>
      </c>
      <c r="W552">
        <v>0.91400000000000003</v>
      </c>
      <c r="X552">
        <v>3.3000000000000002E-2</v>
      </c>
      <c r="Z552">
        <v>4.1000000000000002E-2</v>
      </c>
      <c r="AA552">
        <v>0</v>
      </c>
      <c r="AB552">
        <v>5.6500000000000022E-3</v>
      </c>
      <c r="AH552">
        <v>21.1</v>
      </c>
      <c r="AI552">
        <v>13.2</v>
      </c>
    </row>
    <row r="553" spans="1:35" x14ac:dyDescent="0.25">
      <c r="A553">
        <v>2025</v>
      </c>
      <c r="B553">
        <v>5</v>
      </c>
      <c r="C553" t="s">
        <v>28</v>
      </c>
      <c r="D553" t="s">
        <v>25</v>
      </c>
      <c r="E553">
        <v>4</v>
      </c>
      <c r="F553">
        <v>805</v>
      </c>
      <c r="G553" s="12">
        <v>45902</v>
      </c>
      <c r="H553">
        <v>244</v>
      </c>
      <c r="I553">
        <v>91</v>
      </c>
      <c r="J553" t="s">
        <v>26</v>
      </c>
      <c r="K553">
        <v>37000</v>
      </c>
      <c r="L553">
        <v>18</v>
      </c>
      <c r="N553">
        <v>25</v>
      </c>
      <c r="O553">
        <v>10.850000000000001</v>
      </c>
      <c r="P553">
        <v>4.3500000000000014</v>
      </c>
      <c r="R553">
        <v>58.2</v>
      </c>
      <c r="S553">
        <v>267</v>
      </c>
      <c r="T553">
        <v>3557.9868708971553</v>
      </c>
      <c r="U553">
        <v>1</v>
      </c>
      <c r="V553">
        <v>0.91400000000000003</v>
      </c>
      <c r="W553">
        <v>0.91400000000000003</v>
      </c>
      <c r="X553">
        <v>1.7999999999999999E-2</v>
      </c>
      <c r="Z553">
        <v>2.5000000000000001E-2</v>
      </c>
      <c r="AA553">
        <v>0</v>
      </c>
      <c r="AB553">
        <v>4.3500000000000014E-3</v>
      </c>
      <c r="AH553">
        <v>21.1</v>
      </c>
      <c r="AI553">
        <v>18.600000000000001</v>
      </c>
    </row>
    <row r="554" spans="1:35" x14ac:dyDescent="0.25">
      <c r="A554">
        <v>2025</v>
      </c>
      <c r="B554">
        <v>6</v>
      </c>
      <c r="C554" t="s">
        <v>24</v>
      </c>
      <c r="D554" t="s">
        <v>38</v>
      </c>
      <c r="E554" s="15">
        <v>1</v>
      </c>
      <c r="F554">
        <v>101</v>
      </c>
      <c r="G554" s="12">
        <v>45916</v>
      </c>
      <c r="H554">
        <v>258</v>
      </c>
      <c r="I554">
        <v>105</v>
      </c>
      <c r="J554" t="s">
        <v>26</v>
      </c>
      <c r="K554">
        <v>37000</v>
      </c>
      <c r="L554">
        <v>26</v>
      </c>
      <c r="N554">
        <v>47</v>
      </c>
      <c r="O554">
        <v>42.75</v>
      </c>
      <c r="P554">
        <v>74.55</v>
      </c>
      <c r="R554">
        <v>190.3</v>
      </c>
      <c r="S554">
        <v>578</v>
      </c>
      <c r="T554">
        <v>8405.9080962800872</v>
      </c>
      <c r="U554">
        <v>1</v>
      </c>
      <c r="V554">
        <v>0.91400000000000003</v>
      </c>
      <c r="W554">
        <v>0.91400000000000003</v>
      </c>
      <c r="X554">
        <v>2.5999999999999999E-2</v>
      </c>
      <c r="Z554">
        <v>4.7E-2</v>
      </c>
      <c r="AA554">
        <v>0</v>
      </c>
      <c r="AB554">
        <v>7.4549999999999991E-2</v>
      </c>
      <c r="AH554">
        <v>29.2</v>
      </c>
      <c r="AI554">
        <v>11.4</v>
      </c>
    </row>
    <row r="555" spans="1:35" x14ac:dyDescent="0.25">
      <c r="A555">
        <v>2025</v>
      </c>
      <c r="B555">
        <v>6</v>
      </c>
      <c r="C555" t="s">
        <v>29</v>
      </c>
      <c r="D555" t="s">
        <v>38</v>
      </c>
      <c r="E555">
        <v>1</v>
      </c>
      <c r="F555">
        <v>105</v>
      </c>
      <c r="G555" s="12">
        <v>45916</v>
      </c>
      <c r="H555">
        <v>258</v>
      </c>
      <c r="I555">
        <v>105</v>
      </c>
      <c r="J555" t="s">
        <v>26</v>
      </c>
      <c r="K555">
        <v>37000</v>
      </c>
      <c r="L555">
        <v>32</v>
      </c>
      <c r="N555">
        <v>63</v>
      </c>
      <c r="O555">
        <v>35.150000000000006</v>
      </c>
      <c r="P555">
        <v>39.950000000000003</v>
      </c>
      <c r="R555">
        <v>170.10000000000002</v>
      </c>
      <c r="S555">
        <v>599</v>
      </c>
      <c r="T555">
        <v>8414.6608315098474</v>
      </c>
      <c r="U555">
        <v>1</v>
      </c>
      <c r="V555">
        <v>0.91400000000000003</v>
      </c>
      <c r="W555">
        <v>0.91400000000000003</v>
      </c>
      <c r="X555">
        <v>3.2000000000000001E-2</v>
      </c>
      <c r="Z555">
        <v>6.3E-2</v>
      </c>
      <c r="AA555">
        <v>0</v>
      </c>
      <c r="AB555">
        <v>3.9949999999999999E-2</v>
      </c>
      <c r="AH555">
        <v>34.200000000000003</v>
      </c>
      <c r="AI555">
        <v>13.6</v>
      </c>
    </row>
    <row r="556" spans="1:35" x14ac:dyDescent="0.25">
      <c r="A556">
        <v>2025</v>
      </c>
      <c r="B556">
        <v>6</v>
      </c>
      <c r="C556" t="s">
        <v>28</v>
      </c>
      <c r="D556" t="s">
        <v>38</v>
      </c>
      <c r="E556">
        <v>1</v>
      </c>
      <c r="F556">
        <v>107</v>
      </c>
      <c r="G556" s="12">
        <v>45916</v>
      </c>
      <c r="H556">
        <v>258</v>
      </c>
      <c r="I556">
        <v>105</v>
      </c>
      <c r="J556" t="s">
        <v>26</v>
      </c>
      <c r="K556">
        <v>37000</v>
      </c>
      <c r="L556">
        <v>32</v>
      </c>
      <c r="N556">
        <v>69</v>
      </c>
      <c r="O556">
        <v>44.55</v>
      </c>
      <c r="P556">
        <v>53.55</v>
      </c>
      <c r="R556">
        <v>199.10000000000002</v>
      </c>
      <c r="S556">
        <v>408</v>
      </c>
      <c r="T556">
        <v>6642.2319474835876</v>
      </c>
      <c r="U556">
        <v>1</v>
      </c>
      <c r="V556">
        <v>0.91400000000000003</v>
      </c>
      <c r="W556">
        <v>0.91400000000000003</v>
      </c>
      <c r="X556">
        <v>3.2000000000000001E-2</v>
      </c>
      <c r="Z556">
        <v>6.9000000000000006E-2</v>
      </c>
      <c r="AA556">
        <v>0</v>
      </c>
      <c r="AB556">
        <v>5.355E-2</v>
      </c>
      <c r="AH556">
        <v>35</v>
      </c>
      <c r="AI556">
        <v>12.2</v>
      </c>
    </row>
    <row r="557" spans="1:35" x14ac:dyDescent="0.25">
      <c r="A557">
        <v>2025</v>
      </c>
      <c r="B557">
        <v>6</v>
      </c>
      <c r="C557" t="s">
        <v>32</v>
      </c>
      <c r="D557" t="s">
        <v>38</v>
      </c>
      <c r="E557">
        <v>1</v>
      </c>
      <c r="F557">
        <v>109</v>
      </c>
      <c r="G557" s="12">
        <v>45916</v>
      </c>
      <c r="H557">
        <v>258</v>
      </c>
      <c r="I557">
        <v>105</v>
      </c>
      <c r="J557" t="s">
        <v>26</v>
      </c>
      <c r="K557">
        <v>37000</v>
      </c>
      <c r="L557">
        <v>28</v>
      </c>
      <c r="N557">
        <v>56</v>
      </c>
      <c r="O557">
        <v>33.450000000000003</v>
      </c>
      <c r="P557">
        <v>46.95</v>
      </c>
      <c r="R557">
        <v>164.4</v>
      </c>
      <c r="S557">
        <v>602</v>
      </c>
      <c r="T557">
        <v>8385.1203501094078</v>
      </c>
      <c r="U557">
        <v>1</v>
      </c>
      <c r="V557">
        <v>0.91400000000000003</v>
      </c>
      <c r="W557">
        <v>0.91400000000000003</v>
      </c>
      <c r="X557">
        <v>2.8000000000000001E-2</v>
      </c>
      <c r="Z557">
        <v>5.6000000000000001E-2</v>
      </c>
      <c r="AA557">
        <v>0</v>
      </c>
      <c r="AB557">
        <v>4.6950000000000006E-2</v>
      </c>
      <c r="AH557">
        <v>36.5</v>
      </c>
      <c r="AI557">
        <v>16</v>
      </c>
    </row>
    <row r="558" spans="1:35" x14ac:dyDescent="0.25">
      <c r="A558">
        <v>2025</v>
      </c>
      <c r="B558">
        <v>6</v>
      </c>
      <c r="C558" t="s">
        <v>29</v>
      </c>
      <c r="D558" t="s">
        <v>38</v>
      </c>
      <c r="E558">
        <v>3</v>
      </c>
      <c r="F558">
        <v>304</v>
      </c>
      <c r="G558" s="12">
        <v>45916</v>
      </c>
      <c r="H558">
        <v>258</v>
      </c>
      <c r="I558">
        <v>105</v>
      </c>
      <c r="J558" t="s">
        <v>26</v>
      </c>
      <c r="K558">
        <v>37000</v>
      </c>
      <c r="L558">
        <v>35</v>
      </c>
      <c r="N558">
        <v>64</v>
      </c>
      <c r="O558">
        <v>35.450000000000003</v>
      </c>
      <c r="P558">
        <v>49.95</v>
      </c>
      <c r="R558">
        <v>184.39999999999998</v>
      </c>
      <c r="S558">
        <v>734</v>
      </c>
      <c r="T558">
        <v>10048.140043763677</v>
      </c>
      <c r="U558">
        <v>1</v>
      </c>
      <c r="V558">
        <v>0.91400000000000003</v>
      </c>
      <c r="W558">
        <v>0.91400000000000003</v>
      </c>
      <c r="X558">
        <v>3.5000000000000003E-2</v>
      </c>
      <c r="Z558">
        <v>6.4000000000000001E-2</v>
      </c>
      <c r="AA558">
        <v>0</v>
      </c>
      <c r="AB558">
        <v>4.9950000000000001E-2</v>
      </c>
      <c r="AH558">
        <v>37.799999999999997</v>
      </c>
      <c r="AI558">
        <v>13.8</v>
      </c>
    </row>
    <row r="559" spans="1:35" x14ac:dyDescent="0.25">
      <c r="A559">
        <v>2025</v>
      </c>
      <c r="B559">
        <v>6</v>
      </c>
      <c r="C559" t="s">
        <v>24</v>
      </c>
      <c r="D559" t="s">
        <v>38</v>
      </c>
      <c r="E559">
        <v>3</v>
      </c>
      <c r="F559">
        <v>306</v>
      </c>
      <c r="G559" s="12">
        <v>45916</v>
      </c>
      <c r="H559">
        <v>258</v>
      </c>
      <c r="I559">
        <v>105</v>
      </c>
      <c r="J559" t="s">
        <v>26</v>
      </c>
      <c r="K559">
        <v>37000</v>
      </c>
      <c r="L559">
        <v>25</v>
      </c>
      <c r="N559">
        <v>49</v>
      </c>
      <c r="O559">
        <v>40.25</v>
      </c>
      <c r="P559">
        <v>78.75</v>
      </c>
      <c r="R559">
        <v>193</v>
      </c>
      <c r="S559">
        <v>482</v>
      </c>
      <c r="T559">
        <v>7385.1203501094087</v>
      </c>
      <c r="U559">
        <v>1</v>
      </c>
      <c r="V559">
        <v>0.91400000000000003</v>
      </c>
      <c r="W559">
        <v>0.91400000000000003</v>
      </c>
      <c r="X559">
        <v>2.5000000000000001E-2</v>
      </c>
      <c r="Z559">
        <v>4.9000000000000002E-2</v>
      </c>
      <c r="AA559">
        <v>0</v>
      </c>
      <c r="AB559">
        <v>7.8750000000000001E-2</v>
      </c>
      <c r="AH559">
        <v>33.700000000000003</v>
      </c>
      <c r="AI559">
        <v>15</v>
      </c>
    </row>
    <row r="560" spans="1:35" x14ac:dyDescent="0.25">
      <c r="A560">
        <v>2025</v>
      </c>
      <c r="B560">
        <v>6</v>
      </c>
      <c r="C560" t="s">
        <v>28</v>
      </c>
      <c r="D560" t="s">
        <v>38</v>
      </c>
      <c r="E560">
        <v>3</v>
      </c>
      <c r="F560">
        <v>308</v>
      </c>
      <c r="G560" s="12">
        <v>45916</v>
      </c>
      <c r="H560">
        <v>258</v>
      </c>
      <c r="I560">
        <v>105</v>
      </c>
      <c r="J560" t="s">
        <v>26</v>
      </c>
      <c r="K560">
        <v>37000</v>
      </c>
      <c r="L560">
        <v>22</v>
      </c>
      <c r="N560">
        <v>52</v>
      </c>
      <c r="O560">
        <v>24.05</v>
      </c>
      <c r="P560">
        <v>37.950000000000003</v>
      </c>
      <c r="R560">
        <v>136</v>
      </c>
      <c r="S560">
        <v>590</v>
      </c>
      <c r="T560">
        <v>7943.107221006564</v>
      </c>
      <c r="U560">
        <v>1</v>
      </c>
      <c r="V560">
        <v>0.91400000000000003</v>
      </c>
      <c r="W560">
        <v>0.91400000000000003</v>
      </c>
      <c r="X560">
        <v>2.1999999999999999E-2</v>
      </c>
      <c r="Z560">
        <v>5.1999999999999998E-2</v>
      </c>
      <c r="AA560">
        <v>0</v>
      </c>
      <c r="AB560">
        <v>3.7950000000000005E-2</v>
      </c>
      <c r="AH560">
        <v>39.9</v>
      </c>
      <c r="AI560">
        <v>15</v>
      </c>
    </row>
    <row r="561" spans="1:35" x14ac:dyDescent="0.25">
      <c r="A561">
        <v>2025</v>
      </c>
      <c r="B561">
        <v>6</v>
      </c>
      <c r="C561" t="s">
        <v>32</v>
      </c>
      <c r="D561" t="s">
        <v>38</v>
      </c>
      <c r="E561">
        <v>3</v>
      </c>
      <c r="F561">
        <v>309</v>
      </c>
      <c r="G561" s="12">
        <v>45916</v>
      </c>
      <c r="H561">
        <v>258</v>
      </c>
      <c r="I561">
        <v>105</v>
      </c>
      <c r="J561" t="s">
        <v>26</v>
      </c>
      <c r="K561">
        <v>37000</v>
      </c>
      <c r="L561">
        <v>49</v>
      </c>
      <c r="N561">
        <v>80</v>
      </c>
      <c r="O561">
        <v>54.45</v>
      </c>
      <c r="P561">
        <v>34.849999999999994</v>
      </c>
      <c r="R561">
        <v>218.29999999999998</v>
      </c>
      <c r="S561">
        <v>336</v>
      </c>
      <c r="T561">
        <v>6064.551422319475</v>
      </c>
      <c r="U561">
        <v>1</v>
      </c>
      <c r="V561">
        <v>0.91400000000000003</v>
      </c>
      <c r="W561">
        <v>0.91400000000000003</v>
      </c>
      <c r="X561">
        <v>4.9000000000000002E-2</v>
      </c>
      <c r="Z561">
        <v>0.08</v>
      </c>
      <c r="AA561">
        <v>0</v>
      </c>
      <c r="AB561">
        <v>3.4849999999999992E-2</v>
      </c>
      <c r="AH561">
        <v>31.1</v>
      </c>
      <c r="AI561">
        <v>14.4</v>
      </c>
    </row>
    <row r="562" spans="1:35" x14ac:dyDescent="0.25">
      <c r="A562">
        <v>2025</v>
      </c>
      <c r="B562">
        <v>6</v>
      </c>
      <c r="C562" t="s">
        <v>24</v>
      </c>
      <c r="D562" t="s">
        <v>38</v>
      </c>
      <c r="E562">
        <v>4</v>
      </c>
      <c r="F562">
        <v>402</v>
      </c>
      <c r="G562" s="12">
        <v>45916</v>
      </c>
      <c r="H562">
        <v>258</v>
      </c>
      <c r="I562">
        <v>105</v>
      </c>
      <c r="J562" t="s">
        <v>26</v>
      </c>
      <c r="K562">
        <v>37000</v>
      </c>
      <c r="L562">
        <v>10</v>
      </c>
      <c r="N562">
        <v>25</v>
      </c>
      <c r="O562">
        <v>23.45</v>
      </c>
      <c r="P562">
        <v>44.25</v>
      </c>
      <c r="R562">
        <v>102.7</v>
      </c>
      <c r="S562">
        <v>396</v>
      </c>
      <c r="T562">
        <v>5456.2363238512035</v>
      </c>
      <c r="U562">
        <v>1</v>
      </c>
      <c r="V562">
        <v>0.91400000000000003</v>
      </c>
      <c r="W562">
        <v>0.91400000000000003</v>
      </c>
      <c r="X562">
        <v>0.01</v>
      </c>
      <c r="Z562">
        <v>2.5000000000000001E-2</v>
      </c>
      <c r="AA562">
        <v>0</v>
      </c>
      <c r="AB562">
        <v>4.4249999999999998E-2</v>
      </c>
      <c r="AH562">
        <v>30.6</v>
      </c>
      <c r="AI562">
        <v>11</v>
      </c>
    </row>
    <row r="563" spans="1:35" x14ac:dyDescent="0.25">
      <c r="A563">
        <v>2025</v>
      </c>
      <c r="B563">
        <v>6</v>
      </c>
      <c r="C563" t="s">
        <v>29</v>
      </c>
      <c r="D563" t="s">
        <v>38</v>
      </c>
      <c r="E563">
        <v>4</v>
      </c>
      <c r="F563">
        <v>403</v>
      </c>
      <c r="G563" s="12">
        <v>45916</v>
      </c>
      <c r="H563">
        <v>258</v>
      </c>
      <c r="I563">
        <v>105</v>
      </c>
      <c r="J563" t="s">
        <v>26</v>
      </c>
      <c r="K563">
        <v>37000</v>
      </c>
      <c r="L563">
        <v>31</v>
      </c>
      <c r="N563">
        <v>61</v>
      </c>
      <c r="O563">
        <v>32.450000000000003</v>
      </c>
      <c r="P563">
        <v>49.25</v>
      </c>
      <c r="R563">
        <v>173.7</v>
      </c>
      <c r="S563">
        <v>439</v>
      </c>
      <c r="T563">
        <v>6703.5010940919037</v>
      </c>
      <c r="U563">
        <v>1</v>
      </c>
      <c r="V563">
        <v>0.91400000000000003</v>
      </c>
      <c r="W563">
        <v>0.91400000000000003</v>
      </c>
      <c r="X563">
        <v>3.1E-2</v>
      </c>
      <c r="Z563">
        <v>6.0999999999999999E-2</v>
      </c>
      <c r="AA563">
        <v>0</v>
      </c>
      <c r="AB563">
        <v>4.9250000000000002E-2</v>
      </c>
      <c r="AH563">
        <v>29.7</v>
      </c>
      <c r="AI563">
        <v>11.8</v>
      </c>
    </row>
    <row r="564" spans="1:35" x14ac:dyDescent="0.25">
      <c r="A564">
        <v>2025</v>
      </c>
      <c r="B564">
        <v>6</v>
      </c>
      <c r="C564" t="s">
        <v>32</v>
      </c>
      <c r="D564" t="s">
        <v>38</v>
      </c>
      <c r="E564">
        <v>4</v>
      </c>
      <c r="F564">
        <v>404</v>
      </c>
      <c r="G564" s="12">
        <v>45916</v>
      </c>
      <c r="H564">
        <v>258</v>
      </c>
      <c r="I564">
        <v>105</v>
      </c>
      <c r="J564" t="s">
        <v>26</v>
      </c>
      <c r="K564">
        <v>37000</v>
      </c>
      <c r="L564">
        <v>26</v>
      </c>
      <c r="N564">
        <v>49</v>
      </c>
      <c r="O564">
        <v>25.95</v>
      </c>
      <c r="P564">
        <v>24.150000000000002</v>
      </c>
      <c r="R564">
        <v>125.10000000000001</v>
      </c>
      <c r="S564">
        <v>692</v>
      </c>
      <c r="T564">
        <v>8939.8249452954042</v>
      </c>
      <c r="U564">
        <v>1</v>
      </c>
      <c r="V564">
        <v>0.91400000000000003</v>
      </c>
      <c r="W564">
        <v>0.91400000000000003</v>
      </c>
      <c r="X564">
        <v>2.5999999999999999E-2</v>
      </c>
      <c r="Z564">
        <v>4.9000000000000002E-2</v>
      </c>
      <c r="AA564">
        <v>0</v>
      </c>
      <c r="AB564">
        <v>2.4150000000000001E-2</v>
      </c>
      <c r="AH564">
        <v>33.700000000000003</v>
      </c>
      <c r="AI564">
        <v>18.600000000000001</v>
      </c>
    </row>
    <row r="565" spans="1:35" x14ac:dyDescent="0.25">
      <c r="A565">
        <v>2025</v>
      </c>
      <c r="B565">
        <v>6</v>
      </c>
      <c r="C565" t="s">
        <v>28</v>
      </c>
      <c r="D565" t="s">
        <v>38</v>
      </c>
      <c r="E565">
        <v>4</v>
      </c>
      <c r="F565">
        <v>405</v>
      </c>
      <c r="G565" s="12">
        <v>45916</v>
      </c>
      <c r="H565">
        <v>258</v>
      </c>
      <c r="I565">
        <v>105</v>
      </c>
      <c r="J565" t="s">
        <v>26</v>
      </c>
      <c r="K565">
        <v>37000</v>
      </c>
      <c r="L565">
        <v>69</v>
      </c>
      <c r="N565">
        <v>145</v>
      </c>
      <c r="O565">
        <v>83.149999999999991</v>
      </c>
      <c r="P565">
        <v>83.75</v>
      </c>
      <c r="R565">
        <v>380.9</v>
      </c>
      <c r="S565">
        <v>675</v>
      </c>
      <c r="T565">
        <v>11552.516411378556</v>
      </c>
      <c r="U565">
        <v>1</v>
      </c>
      <c r="V565">
        <v>0.91400000000000003</v>
      </c>
      <c r="W565">
        <v>0.91400000000000003</v>
      </c>
      <c r="X565">
        <v>6.9000000000000006E-2</v>
      </c>
      <c r="Z565">
        <v>0.14499999999999999</v>
      </c>
      <c r="AA565">
        <v>0</v>
      </c>
      <c r="AB565">
        <v>8.3750000000000005E-2</v>
      </c>
      <c r="AH565">
        <v>32.4</v>
      </c>
      <c r="AI565">
        <v>16</v>
      </c>
    </row>
    <row r="566" spans="1:35" x14ac:dyDescent="0.25">
      <c r="A566">
        <v>2025</v>
      </c>
      <c r="B566">
        <v>6</v>
      </c>
      <c r="C566" t="s">
        <v>24</v>
      </c>
      <c r="D566" t="s">
        <v>25</v>
      </c>
      <c r="E566">
        <v>1</v>
      </c>
      <c r="F566">
        <v>501</v>
      </c>
      <c r="G566" s="12">
        <v>45916</v>
      </c>
      <c r="H566">
        <v>258</v>
      </c>
      <c r="I566">
        <v>105</v>
      </c>
      <c r="J566" t="s">
        <v>26</v>
      </c>
      <c r="K566">
        <v>37000</v>
      </c>
      <c r="L566">
        <v>21</v>
      </c>
      <c r="N566">
        <v>52</v>
      </c>
      <c r="O566">
        <v>36.75</v>
      </c>
      <c r="P566">
        <v>53.95</v>
      </c>
      <c r="R566">
        <v>163.69999999999999</v>
      </c>
      <c r="S566">
        <v>846</v>
      </c>
      <c r="T566">
        <v>11047.045951859956</v>
      </c>
      <c r="U566">
        <v>1</v>
      </c>
      <c r="V566">
        <v>0.91400000000000003</v>
      </c>
      <c r="W566">
        <v>0.91400000000000003</v>
      </c>
      <c r="X566">
        <v>2.1000000000000001E-2</v>
      </c>
      <c r="Z566">
        <v>5.1999999999999998E-2</v>
      </c>
      <c r="AA566">
        <v>0</v>
      </c>
      <c r="AB566">
        <v>5.3950000000000005E-2</v>
      </c>
      <c r="AH566">
        <v>29.8</v>
      </c>
      <c r="AI566">
        <v>14.2</v>
      </c>
    </row>
    <row r="567" spans="1:35" x14ac:dyDescent="0.25">
      <c r="A567">
        <v>2025</v>
      </c>
      <c r="B567">
        <v>6</v>
      </c>
      <c r="C567" t="s">
        <v>29</v>
      </c>
      <c r="D567" t="s">
        <v>25</v>
      </c>
      <c r="E567">
        <v>1</v>
      </c>
      <c r="F567">
        <v>505</v>
      </c>
      <c r="G567" s="12">
        <v>45916</v>
      </c>
      <c r="H567">
        <v>258</v>
      </c>
      <c r="I567">
        <v>105</v>
      </c>
      <c r="J567" t="s">
        <v>26</v>
      </c>
      <c r="K567">
        <v>37000</v>
      </c>
      <c r="L567">
        <v>12</v>
      </c>
      <c r="N567">
        <v>29</v>
      </c>
      <c r="O567">
        <v>15.150000000000002</v>
      </c>
      <c r="P567">
        <v>29.349999999999998</v>
      </c>
      <c r="R567">
        <v>85.5</v>
      </c>
      <c r="S567">
        <v>195</v>
      </c>
      <c r="T567">
        <v>3068.9277899343542</v>
      </c>
      <c r="U567">
        <v>1</v>
      </c>
      <c r="V567">
        <v>0.91400000000000003</v>
      </c>
      <c r="W567">
        <v>0.91400000000000003</v>
      </c>
      <c r="X567">
        <v>1.2E-2</v>
      </c>
      <c r="Z567">
        <v>2.9000000000000001E-2</v>
      </c>
      <c r="AA567">
        <v>0</v>
      </c>
      <c r="AB567">
        <v>2.9349999999999998E-2</v>
      </c>
      <c r="AH567">
        <v>23</v>
      </c>
      <c r="AI567">
        <v>10.6</v>
      </c>
    </row>
    <row r="568" spans="1:35" x14ac:dyDescent="0.25">
      <c r="A568">
        <v>2025</v>
      </c>
      <c r="B568">
        <v>6</v>
      </c>
      <c r="C568" t="s">
        <v>28</v>
      </c>
      <c r="D568" t="s">
        <v>25</v>
      </c>
      <c r="E568">
        <v>1</v>
      </c>
      <c r="F568">
        <v>507</v>
      </c>
      <c r="G568" s="12">
        <v>45916</v>
      </c>
      <c r="H568">
        <v>258</v>
      </c>
      <c r="I568">
        <v>105</v>
      </c>
      <c r="J568" t="s">
        <v>26</v>
      </c>
      <c r="K568">
        <v>37000</v>
      </c>
      <c r="L568">
        <v>14</v>
      </c>
      <c r="N568">
        <v>33</v>
      </c>
      <c r="O568">
        <v>12.95</v>
      </c>
      <c r="P568">
        <v>21.55</v>
      </c>
      <c r="R568">
        <v>81.5</v>
      </c>
      <c r="S568">
        <v>251</v>
      </c>
      <c r="T568">
        <v>3637.8555798687089</v>
      </c>
      <c r="U568">
        <v>1</v>
      </c>
      <c r="V568">
        <v>0.91400000000000003</v>
      </c>
      <c r="W568">
        <v>0.91400000000000003</v>
      </c>
      <c r="X568">
        <v>1.4E-2</v>
      </c>
      <c r="Z568">
        <v>3.3000000000000002E-2</v>
      </c>
      <c r="AA568">
        <v>0</v>
      </c>
      <c r="AB568">
        <v>2.155E-2</v>
      </c>
      <c r="AH568">
        <v>23.2</v>
      </c>
      <c r="AI568">
        <v>13.4</v>
      </c>
    </row>
    <row r="569" spans="1:35" x14ac:dyDescent="0.25">
      <c r="A569">
        <v>2025</v>
      </c>
      <c r="B569">
        <v>6</v>
      </c>
      <c r="C569" t="s">
        <v>32</v>
      </c>
      <c r="D569" t="s">
        <v>25</v>
      </c>
      <c r="E569">
        <v>1</v>
      </c>
      <c r="F569">
        <v>509</v>
      </c>
      <c r="G569" s="12">
        <v>45916</v>
      </c>
      <c r="H569">
        <v>258</v>
      </c>
      <c r="I569">
        <v>105</v>
      </c>
      <c r="J569" t="s">
        <v>26</v>
      </c>
      <c r="K569">
        <v>37000</v>
      </c>
      <c r="L569">
        <v>27</v>
      </c>
      <c r="N569">
        <v>44</v>
      </c>
      <c r="O569">
        <v>25.349999999999998</v>
      </c>
      <c r="P569">
        <v>20.95</v>
      </c>
      <c r="R569">
        <v>117.3</v>
      </c>
      <c r="S569">
        <v>280</v>
      </c>
      <c r="T569">
        <v>4346.8271334792125</v>
      </c>
      <c r="U569">
        <v>1</v>
      </c>
      <c r="V569">
        <v>0.91400000000000003</v>
      </c>
      <c r="W569">
        <v>0.91400000000000003</v>
      </c>
      <c r="X569">
        <v>2.7E-2</v>
      </c>
      <c r="Z569">
        <v>4.3999999999999997E-2</v>
      </c>
      <c r="AA569">
        <v>0</v>
      </c>
      <c r="AB569">
        <v>2.095E-2</v>
      </c>
      <c r="AH569">
        <v>26.8</v>
      </c>
      <c r="AI569">
        <v>11.4</v>
      </c>
    </row>
    <row r="570" spans="1:35" x14ac:dyDescent="0.25">
      <c r="A570">
        <v>2025</v>
      </c>
      <c r="B570">
        <v>6</v>
      </c>
      <c r="C570" t="s">
        <v>29</v>
      </c>
      <c r="D570" t="s">
        <v>25</v>
      </c>
      <c r="E570">
        <v>3</v>
      </c>
      <c r="F570">
        <v>704</v>
      </c>
      <c r="G570" s="12">
        <v>45916</v>
      </c>
      <c r="H570">
        <v>258</v>
      </c>
      <c r="I570">
        <v>105</v>
      </c>
      <c r="J570" t="s">
        <v>26</v>
      </c>
      <c r="K570">
        <v>37000</v>
      </c>
      <c r="L570">
        <v>27</v>
      </c>
      <c r="N570">
        <v>51</v>
      </c>
      <c r="O570">
        <v>24.349999999999998</v>
      </c>
      <c r="P570">
        <v>42.849999999999994</v>
      </c>
      <c r="R570">
        <v>145.19999999999999</v>
      </c>
      <c r="S570">
        <v>510</v>
      </c>
      <c r="T570">
        <v>7168.4901531728665</v>
      </c>
      <c r="U570">
        <v>1</v>
      </c>
      <c r="V570">
        <v>0.91400000000000003</v>
      </c>
      <c r="W570">
        <v>0.91400000000000003</v>
      </c>
      <c r="X570">
        <v>2.7E-2</v>
      </c>
      <c r="Z570">
        <v>5.0999999999999997E-2</v>
      </c>
      <c r="AA570">
        <v>0</v>
      </c>
      <c r="AB570">
        <v>4.2849999999999992E-2</v>
      </c>
      <c r="AH570">
        <v>36.5</v>
      </c>
      <c r="AI570">
        <v>7.8</v>
      </c>
    </row>
    <row r="571" spans="1:35" x14ac:dyDescent="0.25">
      <c r="A571">
        <v>2025</v>
      </c>
      <c r="B571">
        <v>6</v>
      </c>
      <c r="C571" t="s">
        <v>24</v>
      </c>
      <c r="D571" t="s">
        <v>25</v>
      </c>
      <c r="E571">
        <v>3</v>
      </c>
      <c r="F571">
        <v>706</v>
      </c>
      <c r="G571" s="12">
        <v>45916</v>
      </c>
      <c r="H571">
        <v>258</v>
      </c>
      <c r="I571">
        <v>105</v>
      </c>
      <c r="J571" t="s">
        <v>26</v>
      </c>
      <c r="K571">
        <v>37000</v>
      </c>
      <c r="L571">
        <v>3</v>
      </c>
      <c r="N571">
        <v>17</v>
      </c>
      <c r="O571">
        <v>11.45</v>
      </c>
      <c r="P571">
        <v>18.750000000000004</v>
      </c>
      <c r="R571">
        <v>50.2</v>
      </c>
      <c r="S571">
        <v>271</v>
      </c>
      <c r="T571">
        <v>3514.2231947483588</v>
      </c>
      <c r="U571">
        <v>1</v>
      </c>
      <c r="V571">
        <v>0.91400000000000003</v>
      </c>
      <c r="W571">
        <v>0.91400000000000003</v>
      </c>
      <c r="X571">
        <v>3.0000000000000001E-3</v>
      </c>
      <c r="Z571">
        <v>1.7000000000000001E-2</v>
      </c>
      <c r="AA571">
        <v>0</v>
      </c>
      <c r="AB571">
        <v>1.8750000000000003E-2</v>
      </c>
      <c r="AH571">
        <v>22.1</v>
      </c>
      <c r="AI571">
        <v>9.6</v>
      </c>
    </row>
    <row r="572" spans="1:35" x14ac:dyDescent="0.25">
      <c r="A572">
        <v>2025</v>
      </c>
      <c r="B572">
        <v>6</v>
      </c>
      <c r="C572" t="s">
        <v>28</v>
      </c>
      <c r="D572" t="s">
        <v>25</v>
      </c>
      <c r="E572">
        <v>3</v>
      </c>
      <c r="F572">
        <v>708</v>
      </c>
      <c r="G572" s="12">
        <v>45916</v>
      </c>
      <c r="H572">
        <v>258</v>
      </c>
      <c r="I572">
        <v>105</v>
      </c>
      <c r="J572" t="s">
        <v>26</v>
      </c>
      <c r="K572">
        <v>37000</v>
      </c>
      <c r="L572">
        <v>14</v>
      </c>
      <c r="N572">
        <v>27</v>
      </c>
      <c r="O572">
        <v>14.95</v>
      </c>
      <c r="P572">
        <v>27.250000000000004</v>
      </c>
      <c r="R572">
        <v>83.2</v>
      </c>
      <c r="S572">
        <v>257</v>
      </c>
      <c r="T572">
        <v>3722.1006564551421</v>
      </c>
      <c r="U572">
        <v>1</v>
      </c>
      <c r="V572">
        <v>0.91400000000000003</v>
      </c>
      <c r="W572">
        <v>0.91400000000000003</v>
      </c>
      <c r="X572">
        <v>1.4E-2</v>
      </c>
      <c r="Z572">
        <v>2.7E-2</v>
      </c>
      <c r="AA572">
        <v>0</v>
      </c>
      <c r="AB572">
        <v>2.7250000000000003E-2</v>
      </c>
      <c r="AH572">
        <v>22.2</v>
      </c>
      <c r="AI572">
        <v>13</v>
      </c>
    </row>
    <row r="573" spans="1:35" x14ac:dyDescent="0.25">
      <c r="A573">
        <v>2025</v>
      </c>
      <c r="B573">
        <v>6</v>
      </c>
      <c r="C573" t="s">
        <v>32</v>
      </c>
      <c r="D573" t="s">
        <v>25</v>
      </c>
      <c r="E573">
        <v>3</v>
      </c>
      <c r="F573">
        <v>709</v>
      </c>
      <c r="G573" s="12">
        <v>45916</v>
      </c>
      <c r="H573">
        <v>258</v>
      </c>
      <c r="I573">
        <v>105</v>
      </c>
      <c r="J573" t="s">
        <v>26</v>
      </c>
      <c r="K573">
        <v>37000</v>
      </c>
      <c r="L573">
        <v>35</v>
      </c>
      <c r="N573">
        <v>44</v>
      </c>
      <c r="O573">
        <v>32.950000000000003</v>
      </c>
      <c r="P573">
        <v>34.450000000000003</v>
      </c>
      <c r="R573">
        <v>146.4</v>
      </c>
      <c r="S573">
        <v>183</v>
      </c>
      <c r="T573">
        <v>3603.9387308533915</v>
      </c>
      <c r="U573">
        <v>1</v>
      </c>
      <c r="V573">
        <v>0.91400000000000003</v>
      </c>
      <c r="W573">
        <v>0.91400000000000003</v>
      </c>
      <c r="X573">
        <v>3.5000000000000003E-2</v>
      </c>
      <c r="Z573">
        <v>4.3999999999999997E-2</v>
      </c>
      <c r="AA573">
        <v>0</v>
      </c>
      <c r="AB573">
        <v>3.4450000000000001E-2</v>
      </c>
      <c r="AH573">
        <v>25.3</v>
      </c>
      <c r="AI573">
        <v>6.4</v>
      </c>
    </row>
    <row r="574" spans="1:35" x14ac:dyDescent="0.25">
      <c r="A574">
        <v>2025</v>
      </c>
      <c r="B574">
        <v>6</v>
      </c>
      <c r="C574" t="s">
        <v>24</v>
      </c>
      <c r="D574" t="s">
        <v>25</v>
      </c>
      <c r="E574">
        <v>4</v>
      </c>
      <c r="F574">
        <v>802</v>
      </c>
      <c r="G574" s="12">
        <v>45916</v>
      </c>
      <c r="H574">
        <v>258</v>
      </c>
      <c r="I574">
        <v>105</v>
      </c>
      <c r="J574" t="s">
        <v>26</v>
      </c>
      <c r="K574">
        <v>37000</v>
      </c>
      <c r="L574">
        <v>7</v>
      </c>
      <c r="N574">
        <v>23</v>
      </c>
      <c r="O574">
        <v>19.45</v>
      </c>
      <c r="P574">
        <v>33.349999999999994</v>
      </c>
      <c r="R574">
        <v>82.8</v>
      </c>
      <c r="S574">
        <v>224</v>
      </c>
      <c r="T574">
        <v>3356.6739606126916</v>
      </c>
      <c r="U574">
        <v>1</v>
      </c>
      <c r="V574">
        <v>0.91400000000000003</v>
      </c>
      <c r="W574">
        <v>0.91400000000000003</v>
      </c>
      <c r="X574">
        <v>7.0000000000000001E-3</v>
      </c>
      <c r="Z574">
        <v>2.3E-2</v>
      </c>
      <c r="AA574">
        <v>0</v>
      </c>
      <c r="AB574">
        <v>3.3349999999999998E-2</v>
      </c>
      <c r="AH574">
        <v>18.899999999999999</v>
      </c>
      <c r="AI574">
        <v>16</v>
      </c>
    </row>
    <row r="575" spans="1:35" x14ac:dyDescent="0.25">
      <c r="A575">
        <v>2025</v>
      </c>
      <c r="B575">
        <v>6</v>
      </c>
      <c r="C575" t="s">
        <v>29</v>
      </c>
      <c r="D575" t="s">
        <v>25</v>
      </c>
      <c r="E575">
        <v>4</v>
      </c>
      <c r="F575">
        <v>803</v>
      </c>
      <c r="G575" s="12">
        <v>45916</v>
      </c>
      <c r="H575">
        <v>258</v>
      </c>
      <c r="I575">
        <v>105</v>
      </c>
      <c r="J575" t="s">
        <v>26</v>
      </c>
      <c r="K575">
        <v>37000</v>
      </c>
      <c r="L575">
        <v>27</v>
      </c>
      <c r="N575">
        <v>50</v>
      </c>
      <c r="O575">
        <v>26.650000000000002</v>
      </c>
      <c r="P575">
        <v>44.95</v>
      </c>
      <c r="R575">
        <v>148.60000000000002</v>
      </c>
      <c r="S575">
        <v>228</v>
      </c>
      <c r="T575">
        <v>4120.3501094091898</v>
      </c>
      <c r="U575">
        <v>1</v>
      </c>
      <c r="V575">
        <v>0.91400000000000003</v>
      </c>
      <c r="W575">
        <v>0.91400000000000003</v>
      </c>
      <c r="X575">
        <v>2.7E-2</v>
      </c>
      <c r="Z575">
        <v>0.05</v>
      </c>
      <c r="AA575">
        <v>0</v>
      </c>
      <c r="AB575">
        <v>4.4950000000000004E-2</v>
      </c>
      <c r="AH575">
        <v>27</v>
      </c>
      <c r="AI575">
        <v>15.8</v>
      </c>
    </row>
    <row r="576" spans="1:35" x14ac:dyDescent="0.25">
      <c r="A576">
        <v>2025</v>
      </c>
      <c r="B576">
        <v>6</v>
      </c>
      <c r="C576" t="s">
        <v>32</v>
      </c>
      <c r="D576" t="s">
        <v>25</v>
      </c>
      <c r="E576">
        <v>4</v>
      </c>
      <c r="F576">
        <v>804</v>
      </c>
      <c r="G576" s="12">
        <v>45916</v>
      </c>
      <c r="H576">
        <v>258</v>
      </c>
      <c r="I576">
        <v>105</v>
      </c>
      <c r="J576" t="s">
        <v>26</v>
      </c>
      <c r="K576">
        <v>37000</v>
      </c>
      <c r="L576">
        <v>44</v>
      </c>
      <c r="N576">
        <v>54</v>
      </c>
      <c r="O576">
        <v>49.45</v>
      </c>
      <c r="P576">
        <v>28.95</v>
      </c>
      <c r="R576">
        <v>176.39999999999998</v>
      </c>
      <c r="S576">
        <v>230</v>
      </c>
      <c r="T576">
        <v>4446.3894967177239</v>
      </c>
      <c r="U576">
        <v>1</v>
      </c>
      <c r="V576">
        <v>0.91400000000000003</v>
      </c>
      <c r="W576">
        <v>0.91400000000000003</v>
      </c>
      <c r="X576">
        <v>4.3999999999999997E-2</v>
      </c>
      <c r="Z576">
        <v>5.3999999999999999E-2</v>
      </c>
      <c r="AA576">
        <v>0</v>
      </c>
      <c r="AB576">
        <v>2.895E-2</v>
      </c>
      <c r="AH576">
        <v>24.1</v>
      </c>
      <c r="AI576">
        <v>15.6</v>
      </c>
    </row>
    <row r="577" spans="1:35" x14ac:dyDescent="0.25">
      <c r="A577">
        <v>2025</v>
      </c>
      <c r="B577">
        <v>6</v>
      </c>
      <c r="C577" t="s">
        <v>28</v>
      </c>
      <c r="D577" t="s">
        <v>25</v>
      </c>
      <c r="E577">
        <v>4</v>
      </c>
      <c r="F577">
        <v>805</v>
      </c>
      <c r="G577" s="12">
        <v>45916</v>
      </c>
      <c r="H577">
        <v>258</v>
      </c>
      <c r="I577">
        <v>105</v>
      </c>
      <c r="J577" t="s">
        <v>26</v>
      </c>
      <c r="K577">
        <v>37000</v>
      </c>
      <c r="L577">
        <v>23</v>
      </c>
      <c r="N577">
        <v>38</v>
      </c>
      <c r="O577">
        <v>20.250000000000004</v>
      </c>
      <c r="P577">
        <v>35.349999999999994</v>
      </c>
      <c r="R577">
        <v>116.6</v>
      </c>
      <c r="S577">
        <v>365</v>
      </c>
      <c r="T577">
        <v>5269.1466083150981</v>
      </c>
      <c r="U577">
        <v>1</v>
      </c>
      <c r="V577">
        <v>0.91400000000000003</v>
      </c>
      <c r="W577">
        <v>0.91400000000000003</v>
      </c>
      <c r="X577">
        <v>2.3E-2</v>
      </c>
      <c r="Z577">
        <v>3.7999999999999999E-2</v>
      </c>
      <c r="AA577">
        <v>0</v>
      </c>
      <c r="AB577">
        <v>3.5349999999999993E-2</v>
      </c>
      <c r="AH577">
        <v>23.8</v>
      </c>
      <c r="AI577">
        <v>14</v>
      </c>
    </row>
    <row r="578" spans="1:35" x14ac:dyDescent="0.25">
      <c r="A578" s="15">
        <v>2025</v>
      </c>
      <c r="B578" s="15">
        <v>7</v>
      </c>
      <c r="C578" s="15" t="s">
        <v>24</v>
      </c>
      <c r="D578" s="15" t="s">
        <v>38</v>
      </c>
      <c r="E578" s="15">
        <v>1</v>
      </c>
      <c r="F578" s="15">
        <v>101</v>
      </c>
      <c r="G578" s="14">
        <v>45930</v>
      </c>
      <c r="H578" s="15">
        <v>272</v>
      </c>
      <c r="I578" s="15">
        <v>119</v>
      </c>
      <c r="J578" s="15" t="s">
        <v>26</v>
      </c>
      <c r="K578" s="15">
        <v>37000</v>
      </c>
      <c r="L578" s="15"/>
      <c r="M578" s="15"/>
      <c r="N578" s="15">
        <v>21</v>
      </c>
      <c r="O578" s="15">
        <v>28.849999999999998</v>
      </c>
      <c r="P578" s="15">
        <v>54.95</v>
      </c>
      <c r="Q578" s="15"/>
      <c r="R578" s="15">
        <v>104.8</v>
      </c>
      <c r="S578" s="15">
        <v>559</v>
      </c>
      <c r="T578" s="15">
        <v>7262.5820568927784</v>
      </c>
      <c r="U578" s="15">
        <v>1</v>
      </c>
      <c r="V578" s="15">
        <v>0.91400000000000003</v>
      </c>
      <c r="W578" s="15">
        <v>0.91400000000000003</v>
      </c>
      <c r="X578" s="15">
        <v>0</v>
      </c>
      <c r="Y578" s="15"/>
      <c r="Z578" s="15">
        <v>2.1000000000000001E-2</v>
      </c>
      <c r="AA578" s="15">
        <v>0</v>
      </c>
      <c r="AB578" s="15">
        <v>5.4950000000000006E-2</v>
      </c>
      <c r="AC578" s="15"/>
      <c r="AD578" s="15"/>
      <c r="AE578" s="15"/>
      <c r="AF578" s="15"/>
      <c r="AG578" s="15"/>
      <c r="AH578" s="15">
        <v>32.6</v>
      </c>
      <c r="AI578">
        <v>17</v>
      </c>
    </row>
    <row r="579" spans="1:35" x14ac:dyDescent="0.25">
      <c r="A579">
        <v>2025</v>
      </c>
      <c r="B579">
        <v>7</v>
      </c>
      <c r="C579" t="s">
        <v>29</v>
      </c>
      <c r="D579" t="s">
        <v>38</v>
      </c>
      <c r="E579">
        <v>1</v>
      </c>
      <c r="F579">
        <v>105</v>
      </c>
      <c r="G579" s="12">
        <v>45930</v>
      </c>
      <c r="H579">
        <v>272</v>
      </c>
      <c r="I579">
        <v>119</v>
      </c>
      <c r="J579" t="s">
        <v>26</v>
      </c>
      <c r="K579">
        <v>37000</v>
      </c>
      <c r="L579">
        <v>13</v>
      </c>
      <c r="N579">
        <v>64</v>
      </c>
      <c r="O579">
        <v>28.750000000000004</v>
      </c>
      <c r="P579">
        <v>63.55</v>
      </c>
      <c r="R579">
        <v>169.3</v>
      </c>
      <c r="S579">
        <v>893</v>
      </c>
      <c r="T579">
        <v>11622.538293216629</v>
      </c>
      <c r="U579">
        <v>1</v>
      </c>
      <c r="V579">
        <v>0.91400000000000003</v>
      </c>
      <c r="W579">
        <v>0.91400000000000003</v>
      </c>
      <c r="X579">
        <v>1.2999999999999999E-2</v>
      </c>
      <c r="Z579">
        <v>6.4000000000000001E-2</v>
      </c>
      <c r="AA579">
        <v>0</v>
      </c>
      <c r="AB579">
        <v>6.3549999999999995E-2</v>
      </c>
      <c r="AH579">
        <v>40</v>
      </c>
      <c r="AI579">
        <v>15.4</v>
      </c>
    </row>
    <row r="580" spans="1:35" x14ac:dyDescent="0.25">
      <c r="A580">
        <v>2025</v>
      </c>
      <c r="B580">
        <v>7</v>
      </c>
      <c r="C580" t="s">
        <v>28</v>
      </c>
      <c r="D580" t="s">
        <v>38</v>
      </c>
      <c r="E580">
        <v>1</v>
      </c>
      <c r="F580">
        <v>107</v>
      </c>
      <c r="G580" s="12">
        <v>45930</v>
      </c>
      <c r="H580">
        <v>272</v>
      </c>
      <c r="I580">
        <v>119</v>
      </c>
      <c r="J580" t="s">
        <v>26</v>
      </c>
      <c r="K580">
        <v>37000</v>
      </c>
      <c r="L580">
        <v>0</v>
      </c>
      <c r="N580">
        <v>21</v>
      </c>
      <c r="O580">
        <v>26.05</v>
      </c>
      <c r="P580">
        <v>56.75</v>
      </c>
      <c r="R580">
        <v>103.8</v>
      </c>
      <c r="S580">
        <v>514</v>
      </c>
      <c r="T580">
        <v>6759.2997811816185</v>
      </c>
      <c r="U580">
        <v>1</v>
      </c>
      <c r="V580">
        <v>0.91400000000000003</v>
      </c>
      <c r="W580">
        <v>0.91400000000000003</v>
      </c>
      <c r="X580">
        <v>0</v>
      </c>
      <c r="Z580">
        <v>2.1000000000000001E-2</v>
      </c>
      <c r="AA580">
        <v>0</v>
      </c>
      <c r="AB580">
        <v>5.6750000000000002E-2</v>
      </c>
      <c r="AH580">
        <v>32.799999999999997</v>
      </c>
      <c r="AI580">
        <v>19.399999999999999</v>
      </c>
    </row>
    <row r="581" spans="1:35" x14ac:dyDescent="0.25">
      <c r="A581">
        <v>2025</v>
      </c>
      <c r="B581">
        <v>7</v>
      </c>
      <c r="C581" t="s">
        <v>32</v>
      </c>
      <c r="D581" t="s">
        <v>38</v>
      </c>
      <c r="E581">
        <v>1</v>
      </c>
      <c r="F581">
        <v>109</v>
      </c>
      <c r="G581" s="12">
        <v>45930</v>
      </c>
      <c r="H581">
        <v>272</v>
      </c>
      <c r="I581">
        <v>119</v>
      </c>
      <c r="J581" t="s">
        <v>26</v>
      </c>
      <c r="K581">
        <v>37000</v>
      </c>
      <c r="L581">
        <v>30</v>
      </c>
      <c r="N581">
        <v>92</v>
      </c>
      <c r="O581">
        <v>66.849999999999994</v>
      </c>
      <c r="P581">
        <v>130.95000000000002</v>
      </c>
      <c r="R581">
        <v>319.8</v>
      </c>
      <c r="S581">
        <v>668</v>
      </c>
      <c r="T581">
        <v>10807.439824945295</v>
      </c>
      <c r="U581">
        <v>1</v>
      </c>
      <c r="V581">
        <v>0.91400000000000003</v>
      </c>
      <c r="W581">
        <v>0.91400000000000003</v>
      </c>
      <c r="X581">
        <v>0.03</v>
      </c>
      <c r="Z581">
        <v>9.1999999999999998E-2</v>
      </c>
      <c r="AA581">
        <v>0</v>
      </c>
      <c r="AB581">
        <v>0.13095000000000001</v>
      </c>
      <c r="AH581">
        <v>37.200000000000003</v>
      </c>
      <c r="AI581">
        <v>14.8</v>
      </c>
    </row>
    <row r="582" spans="1:35" x14ac:dyDescent="0.25">
      <c r="A582">
        <v>2025</v>
      </c>
      <c r="B582">
        <v>7</v>
      </c>
      <c r="C582" t="s">
        <v>29</v>
      </c>
      <c r="D582" t="s">
        <v>38</v>
      </c>
      <c r="E582">
        <v>3</v>
      </c>
      <c r="F582">
        <v>304</v>
      </c>
      <c r="G582" s="12">
        <v>45930</v>
      </c>
      <c r="H582">
        <v>272</v>
      </c>
      <c r="I582">
        <v>119</v>
      </c>
      <c r="J582" t="s">
        <v>26</v>
      </c>
      <c r="K582">
        <v>37000</v>
      </c>
      <c r="N582">
        <v>25</v>
      </c>
      <c r="O582">
        <v>20.45</v>
      </c>
      <c r="P582">
        <v>48.349999999999994</v>
      </c>
      <c r="R582">
        <v>93.8</v>
      </c>
      <c r="S582">
        <v>457</v>
      </c>
      <c r="T582">
        <v>6026.2582056892779</v>
      </c>
      <c r="U582">
        <v>1</v>
      </c>
      <c r="V582">
        <v>0.91400000000000003</v>
      </c>
      <c r="W582">
        <v>0.91400000000000003</v>
      </c>
      <c r="X582">
        <v>0</v>
      </c>
      <c r="Z582">
        <v>2.5000000000000001E-2</v>
      </c>
      <c r="AA582">
        <v>0</v>
      </c>
      <c r="AB582">
        <v>4.8349999999999997E-2</v>
      </c>
      <c r="AH582">
        <v>36.6</v>
      </c>
      <c r="AI582">
        <v>17.399999999999999</v>
      </c>
    </row>
    <row r="583" spans="1:35" x14ac:dyDescent="0.25">
      <c r="A583">
        <v>2025</v>
      </c>
      <c r="B583">
        <v>7</v>
      </c>
      <c r="C583" t="s">
        <v>24</v>
      </c>
      <c r="D583" t="s">
        <v>38</v>
      </c>
      <c r="E583">
        <v>3</v>
      </c>
      <c r="F583">
        <v>306</v>
      </c>
      <c r="G583" s="12">
        <v>45930</v>
      </c>
      <c r="H583">
        <v>272</v>
      </c>
      <c r="I583">
        <v>119</v>
      </c>
      <c r="J583" t="s">
        <v>26</v>
      </c>
      <c r="K583">
        <v>37000</v>
      </c>
      <c r="N583">
        <v>26</v>
      </c>
      <c r="O583">
        <v>30.05</v>
      </c>
      <c r="P583">
        <v>68.05</v>
      </c>
      <c r="R583">
        <v>124.1</v>
      </c>
      <c r="S583">
        <v>643</v>
      </c>
      <c r="T583">
        <v>8392.7789934354478</v>
      </c>
      <c r="U583">
        <v>1</v>
      </c>
      <c r="V583">
        <v>0.91400000000000003</v>
      </c>
      <c r="W583">
        <v>0.91400000000000003</v>
      </c>
      <c r="X583">
        <v>0</v>
      </c>
      <c r="Z583">
        <v>2.5999999999999999E-2</v>
      </c>
      <c r="AA583">
        <v>0</v>
      </c>
      <c r="AB583">
        <v>6.8049999999999999E-2</v>
      </c>
      <c r="AH583">
        <v>30.2</v>
      </c>
      <c r="AI583">
        <v>15.2</v>
      </c>
    </row>
    <row r="584" spans="1:35" x14ac:dyDescent="0.25">
      <c r="A584">
        <v>2025</v>
      </c>
      <c r="B584">
        <v>7</v>
      </c>
      <c r="C584" t="s">
        <v>28</v>
      </c>
      <c r="D584" t="s">
        <v>38</v>
      </c>
      <c r="E584">
        <v>3</v>
      </c>
      <c r="F584">
        <v>308</v>
      </c>
      <c r="G584" s="12">
        <v>45930</v>
      </c>
      <c r="H584">
        <v>272</v>
      </c>
      <c r="I584">
        <v>119</v>
      </c>
      <c r="J584" t="s">
        <v>26</v>
      </c>
      <c r="K584">
        <v>37000</v>
      </c>
      <c r="N584">
        <v>17</v>
      </c>
      <c r="O584">
        <v>15.849999999999998</v>
      </c>
      <c r="P584">
        <v>40.549999999999997</v>
      </c>
      <c r="R584">
        <v>73.399999999999991</v>
      </c>
      <c r="S584">
        <v>494</v>
      </c>
      <c r="T584">
        <v>6207.8774617067829</v>
      </c>
      <c r="U584">
        <v>1</v>
      </c>
      <c r="V584">
        <v>0.91400000000000003</v>
      </c>
      <c r="W584">
        <v>0.91400000000000003</v>
      </c>
      <c r="X584">
        <v>0</v>
      </c>
      <c r="Z584">
        <v>1.7000000000000001E-2</v>
      </c>
      <c r="AA584">
        <v>0</v>
      </c>
      <c r="AB584">
        <v>4.0549999999999996E-2</v>
      </c>
      <c r="AH584">
        <v>32</v>
      </c>
      <c r="AI584">
        <v>15.6</v>
      </c>
    </row>
    <row r="585" spans="1:35" x14ac:dyDescent="0.25">
      <c r="A585">
        <v>2025</v>
      </c>
      <c r="B585">
        <v>7</v>
      </c>
      <c r="C585" t="s">
        <v>32</v>
      </c>
      <c r="D585" t="s">
        <v>38</v>
      </c>
      <c r="E585">
        <v>3</v>
      </c>
      <c r="F585">
        <v>309</v>
      </c>
      <c r="G585" s="12">
        <v>45930</v>
      </c>
      <c r="H585">
        <v>272</v>
      </c>
      <c r="I585">
        <v>119</v>
      </c>
      <c r="J585" t="s">
        <v>26</v>
      </c>
      <c r="K585">
        <v>37000</v>
      </c>
      <c r="L585">
        <v>5</v>
      </c>
      <c r="N585">
        <v>33</v>
      </c>
      <c r="O585">
        <v>21.250000000000004</v>
      </c>
      <c r="P585">
        <v>42.150000000000006</v>
      </c>
      <c r="R585">
        <v>101.4</v>
      </c>
      <c r="S585">
        <v>745</v>
      </c>
      <c r="T585">
        <v>9260.3938730853388</v>
      </c>
      <c r="U585">
        <v>1</v>
      </c>
      <c r="V585">
        <v>0.91400000000000003</v>
      </c>
      <c r="W585">
        <v>0.91400000000000003</v>
      </c>
      <c r="X585">
        <v>5.0000000000000001E-3</v>
      </c>
      <c r="Z585">
        <v>3.3000000000000002E-2</v>
      </c>
      <c r="AA585">
        <v>0</v>
      </c>
      <c r="AB585">
        <v>4.2150000000000007E-2</v>
      </c>
      <c r="AH585">
        <v>37.799999999999997</v>
      </c>
      <c r="AI585">
        <v>14.6</v>
      </c>
    </row>
    <row r="586" spans="1:35" x14ac:dyDescent="0.25">
      <c r="A586">
        <v>2025</v>
      </c>
      <c r="B586">
        <v>7</v>
      </c>
      <c r="C586" t="s">
        <v>24</v>
      </c>
      <c r="D586" t="s">
        <v>38</v>
      </c>
      <c r="E586">
        <v>4</v>
      </c>
      <c r="F586">
        <v>402</v>
      </c>
      <c r="G586" s="12">
        <v>45930</v>
      </c>
      <c r="H586">
        <v>272</v>
      </c>
      <c r="I586">
        <v>119</v>
      </c>
      <c r="J586" t="s">
        <v>26</v>
      </c>
      <c r="K586">
        <v>37000</v>
      </c>
      <c r="N586">
        <v>18</v>
      </c>
      <c r="O586">
        <v>29.250000000000004</v>
      </c>
      <c r="P586">
        <v>66.649999999999991</v>
      </c>
      <c r="R586">
        <v>113.89999999999999</v>
      </c>
      <c r="S586">
        <v>447</v>
      </c>
      <c r="T586">
        <v>6136.7614879649891</v>
      </c>
      <c r="U586">
        <v>1</v>
      </c>
      <c r="V586">
        <v>0.91400000000000003</v>
      </c>
      <c r="W586">
        <v>0.91400000000000003</v>
      </c>
      <c r="X586">
        <v>0</v>
      </c>
      <c r="Z586">
        <v>1.7999999999999999E-2</v>
      </c>
      <c r="AA586">
        <v>0</v>
      </c>
      <c r="AB586">
        <v>6.6649999999999987E-2</v>
      </c>
      <c r="AH586">
        <v>24.2</v>
      </c>
      <c r="AI586">
        <v>16.2</v>
      </c>
    </row>
    <row r="587" spans="1:35" x14ac:dyDescent="0.25">
      <c r="A587">
        <v>2025</v>
      </c>
      <c r="B587">
        <v>7</v>
      </c>
      <c r="C587" t="s">
        <v>29</v>
      </c>
      <c r="D587" t="s">
        <v>38</v>
      </c>
      <c r="E587">
        <v>4</v>
      </c>
      <c r="F587">
        <v>403</v>
      </c>
      <c r="G587" s="12">
        <v>45930</v>
      </c>
      <c r="H587">
        <v>272</v>
      </c>
      <c r="I587">
        <v>119</v>
      </c>
      <c r="J587" t="s">
        <v>26</v>
      </c>
      <c r="K587">
        <v>37000</v>
      </c>
      <c r="L587">
        <v>1</v>
      </c>
      <c r="N587">
        <v>40</v>
      </c>
      <c r="O587">
        <v>30.250000000000004</v>
      </c>
      <c r="P587">
        <v>56.75</v>
      </c>
      <c r="R587">
        <v>128</v>
      </c>
      <c r="S587">
        <v>545</v>
      </c>
      <c r="T587">
        <v>7363.23851203501</v>
      </c>
      <c r="U587">
        <v>1</v>
      </c>
      <c r="V587">
        <v>0.91400000000000003</v>
      </c>
      <c r="W587">
        <v>0.91400000000000003</v>
      </c>
      <c r="X587">
        <v>1E-3</v>
      </c>
      <c r="Z587">
        <v>0.04</v>
      </c>
      <c r="AA587">
        <v>0</v>
      </c>
      <c r="AB587">
        <v>5.6750000000000002E-2</v>
      </c>
      <c r="AH587">
        <v>32.200000000000003</v>
      </c>
      <c r="AI587">
        <v>15.4</v>
      </c>
    </row>
    <row r="588" spans="1:35" x14ac:dyDescent="0.25">
      <c r="A588">
        <v>2025</v>
      </c>
      <c r="B588">
        <v>7</v>
      </c>
      <c r="C588" t="s">
        <v>32</v>
      </c>
      <c r="D588" t="s">
        <v>38</v>
      </c>
      <c r="E588">
        <v>4</v>
      </c>
      <c r="F588">
        <v>404</v>
      </c>
      <c r="G588" s="12">
        <v>45930</v>
      </c>
      <c r="H588">
        <v>272</v>
      </c>
      <c r="I588">
        <v>119</v>
      </c>
      <c r="J588" t="s">
        <v>26</v>
      </c>
      <c r="K588">
        <v>37000</v>
      </c>
      <c r="L588">
        <v>19</v>
      </c>
      <c r="N588">
        <v>55</v>
      </c>
      <c r="O588">
        <v>37.150000000000006</v>
      </c>
      <c r="P588">
        <v>74.649999999999991</v>
      </c>
      <c r="R588">
        <v>185.8</v>
      </c>
      <c r="S588">
        <v>524</v>
      </c>
      <c r="T588">
        <v>7765.8643326039391</v>
      </c>
      <c r="U588">
        <v>1</v>
      </c>
      <c r="V588">
        <v>0.91400000000000003</v>
      </c>
      <c r="W588">
        <v>0.91400000000000003</v>
      </c>
      <c r="X588">
        <v>1.9E-2</v>
      </c>
      <c r="Z588">
        <v>5.5E-2</v>
      </c>
      <c r="AA588">
        <v>0</v>
      </c>
      <c r="AB588">
        <v>7.4649999999999994E-2</v>
      </c>
      <c r="AH588">
        <v>32</v>
      </c>
      <c r="AI588">
        <v>20</v>
      </c>
    </row>
    <row r="589" spans="1:35" x14ac:dyDescent="0.25">
      <c r="A589">
        <v>2025</v>
      </c>
      <c r="B589">
        <v>7</v>
      </c>
      <c r="C589" t="s">
        <v>28</v>
      </c>
      <c r="D589" t="s">
        <v>38</v>
      </c>
      <c r="E589">
        <v>4</v>
      </c>
      <c r="F589">
        <v>405</v>
      </c>
      <c r="G589" s="12">
        <v>45930</v>
      </c>
      <c r="H589">
        <v>272</v>
      </c>
      <c r="I589">
        <v>119</v>
      </c>
      <c r="J589" t="s">
        <v>26</v>
      </c>
      <c r="K589">
        <v>37000</v>
      </c>
      <c r="L589">
        <v>0</v>
      </c>
      <c r="N589">
        <v>46</v>
      </c>
      <c r="O589">
        <v>39.650000000000006</v>
      </c>
      <c r="P589">
        <v>96.649999999999991</v>
      </c>
      <c r="R589">
        <v>182.3</v>
      </c>
      <c r="S589">
        <v>487</v>
      </c>
      <c r="T589">
        <v>7322.7571115973742</v>
      </c>
      <c r="U589">
        <v>1</v>
      </c>
      <c r="V589">
        <v>0.91400000000000003</v>
      </c>
      <c r="W589">
        <v>0.91400000000000003</v>
      </c>
      <c r="X589">
        <v>0</v>
      </c>
      <c r="Z589">
        <v>4.5999999999999999E-2</v>
      </c>
      <c r="AA589">
        <v>0</v>
      </c>
      <c r="AB589">
        <v>9.6649999999999986E-2</v>
      </c>
      <c r="AH589">
        <v>37.200000000000003</v>
      </c>
      <c r="AI589">
        <v>15.4</v>
      </c>
    </row>
    <row r="590" spans="1:35" x14ac:dyDescent="0.25">
      <c r="A590">
        <v>2025</v>
      </c>
      <c r="B590">
        <v>7</v>
      </c>
      <c r="C590" t="s">
        <v>24</v>
      </c>
      <c r="D590" t="s">
        <v>25</v>
      </c>
      <c r="E590">
        <v>1</v>
      </c>
      <c r="F590">
        <v>501</v>
      </c>
      <c r="G590" s="12">
        <v>45930</v>
      </c>
      <c r="H590">
        <v>272</v>
      </c>
      <c r="I590">
        <v>119</v>
      </c>
      <c r="J590" t="s">
        <v>26</v>
      </c>
      <c r="K590">
        <v>37000</v>
      </c>
      <c r="N590">
        <v>27</v>
      </c>
      <c r="O590">
        <v>29.95</v>
      </c>
      <c r="P590">
        <v>52.349999999999994</v>
      </c>
      <c r="R590">
        <v>109.3</v>
      </c>
      <c r="S590">
        <v>537</v>
      </c>
      <c r="T590">
        <v>7071.1159737417938</v>
      </c>
      <c r="U590">
        <v>1</v>
      </c>
      <c r="V590">
        <v>0.91400000000000003</v>
      </c>
      <c r="W590">
        <v>0.91400000000000003</v>
      </c>
      <c r="X590">
        <v>0</v>
      </c>
      <c r="Z590">
        <v>2.7E-2</v>
      </c>
      <c r="AA590">
        <v>0</v>
      </c>
      <c r="AB590">
        <v>5.2349999999999994E-2</v>
      </c>
      <c r="AH590">
        <v>29.2</v>
      </c>
      <c r="AI590">
        <v>14.4</v>
      </c>
    </row>
    <row r="591" spans="1:35" x14ac:dyDescent="0.25">
      <c r="A591">
        <v>2025</v>
      </c>
      <c r="B591">
        <v>7</v>
      </c>
      <c r="C591" t="s">
        <v>29</v>
      </c>
      <c r="D591" t="s">
        <v>25</v>
      </c>
      <c r="E591">
        <v>1</v>
      </c>
      <c r="F591">
        <v>505</v>
      </c>
      <c r="G591" s="12">
        <v>45930</v>
      </c>
      <c r="H591">
        <v>272</v>
      </c>
      <c r="I591">
        <v>119</v>
      </c>
      <c r="J591" t="s">
        <v>26</v>
      </c>
      <c r="K591">
        <v>37000</v>
      </c>
      <c r="L591">
        <v>2</v>
      </c>
      <c r="N591">
        <v>42</v>
      </c>
      <c r="O591">
        <v>31.349999999999998</v>
      </c>
      <c r="P591">
        <v>69.649999999999991</v>
      </c>
      <c r="R591">
        <v>145</v>
      </c>
      <c r="S591">
        <v>203</v>
      </c>
      <c r="T591">
        <v>3807.4398249452952</v>
      </c>
      <c r="U591">
        <v>1</v>
      </c>
      <c r="V591">
        <v>0.91400000000000003</v>
      </c>
      <c r="W591">
        <v>0.91400000000000003</v>
      </c>
      <c r="X591">
        <v>2E-3</v>
      </c>
      <c r="Z591">
        <v>4.2000000000000003E-2</v>
      </c>
      <c r="AA591">
        <v>0</v>
      </c>
      <c r="AB591">
        <v>6.964999999999999E-2</v>
      </c>
      <c r="AH591">
        <v>25.4</v>
      </c>
      <c r="AI591">
        <v>12.2</v>
      </c>
    </row>
    <row r="592" spans="1:35" x14ac:dyDescent="0.25">
      <c r="A592">
        <v>2025</v>
      </c>
      <c r="B592">
        <v>7</v>
      </c>
      <c r="C592" t="s">
        <v>28</v>
      </c>
      <c r="D592" t="s">
        <v>25</v>
      </c>
      <c r="E592">
        <v>1</v>
      </c>
      <c r="F592">
        <v>507</v>
      </c>
      <c r="G592" s="12">
        <v>45930</v>
      </c>
      <c r="H592">
        <v>272</v>
      </c>
      <c r="I592">
        <v>119</v>
      </c>
      <c r="J592" t="s">
        <v>26</v>
      </c>
      <c r="K592">
        <v>37000</v>
      </c>
      <c r="N592">
        <v>12</v>
      </c>
      <c r="O592">
        <v>13.75</v>
      </c>
      <c r="P592">
        <v>19.349999999999998</v>
      </c>
      <c r="R592">
        <v>45.099999999999994</v>
      </c>
      <c r="S592">
        <v>204</v>
      </c>
      <c r="T592">
        <v>2725.3829321663015</v>
      </c>
      <c r="U592">
        <v>1</v>
      </c>
      <c r="V592">
        <v>0.91400000000000003</v>
      </c>
      <c r="W592">
        <v>0.91400000000000003</v>
      </c>
      <c r="X592">
        <v>0</v>
      </c>
      <c r="Z592">
        <v>1.2E-2</v>
      </c>
      <c r="AA592">
        <v>0</v>
      </c>
      <c r="AB592">
        <v>1.9349999999999999E-2</v>
      </c>
      <c r="AH592">
        <v>21.4</v>
      </c>
      <c r="AI592">
        <v>15</v>
      </c>
    </row>
    <row r="593" spans="1:35" x14ac:dyDescent="0.25">
      <c r="A593">
        <v>2025</v>
      </c>
      <c r="B593">
        <v>7</v>
      </c>
      <c r="C593" t="s">
        <v>32</v>
      </c>
      <c r="D593" t="s">
        <v>25</v>
      </c>
      <c r="E593">
        <v>1</v>
      </c>
      <c r="F593">
        <v>509</v>
      </c>
      <c r="G593" s="12">
        <v>45930</v>
      </c>
      <c r="H593">
        <v>272</v>
      </c>
      <c r="I593">
        <v>119</v>
      </c>
      <c r="J593" t="s">
        <v>26</v>
      </c>
      <c r="K593">
        <v>37000</v>
      </c>
      <c r="L593">
        <v>0</v>
      </c>
      <c r="N593">
        <v>18</v>
      </c>
      <c r="O593">
        <v>19.750000000000004</v>
      </c>
      <c r="P593">
        <v>31.849999999999998</v>
      </c>
      <c r="R593">
        <v>69.599999999999994</v>
      </c>
      <c r="S593">
        <v>181</v>
      </c>
      <c r="T593">
        <v>2741.7943107221004</v>
      </c>
      <c r="U593">
        <v>1</v>
      </c>
      <c r="V593">
        <v>0.91400000000000003</v>
      </c>
      <c r="W593">
        <v>0.91400000000000003</v>
      </c>
      <c r="X593">
        <v>0</v>
      </c>
      <c r="Z593">
        <v>1.7999999999999999E-2</v>
      </c>
      <c r="AA593">
        <v>0</v>
      </c>
      <c r="AB593">
        <v>3.1849999999999996E-2</v>
      </c>
      <c r="AH593">
        <v>21.5</v>
      </c>
      <c r="AI593">
        <v>17.600000000000001</v>
      </c>
    </row>
    <row r="594" spans="1:35" x14ac:dyDescent="0.25">
      <c r="A594">
        <v>2025</v>
      </c>
      <c r="B594">
        <v>7</v>
      </c>
      <c r="C594" t="s">
        <v>29</v>
      </c>
      <c r="D594" t="s">
        <v>25</v>
      </c>
      <c r="E594">
        <v>3</v>
      </c>
      <c r="F594">
        <v>704</v>
      </c>
      <c r="G594" s="12">
        <v>45930</v>
      </c>
      <c r="H594">
        <v>272</v>
      </c>
      <c r="I594">
        <v>119</v>
      </c>
      <c r="J594" t="s">
        <v>26</v>
      </c>
      <c r="K594">
        <v>37000</v>
      </c>
      <c r="L594">
        <v>2</v>
      </c>
      <c r="N594">
        <v>36</v>
      </c>
      <c r="O594">
        <v>22.150000000000002</v>
      </c>
      <c r="P594">
        <v>55.849999999999994</v>
      </c>
      <c r="R594">
        <v>116</v>
      </c>
      <c r="S594">
        <v>367</v>
      </c>
      <c r="T594">
        <v>5284.4638949671771</v>
      </c>
      <c r="U594">
        <v>1</v>
      </c>
      <c r="V594">
        <v>0.91400000000000003</v>
      </c>
      <c r="W594">
        <v>0.91400000000000003</v>
      </c>
      <c r="X594">
        <v>2E-3</v>
      </c>
      <c r="Z594">
        <v>3.5999999999999997E-2</v>
      </c>
      <c r="AA594">
        <v>0</v>
      </c>
      <c r="AB594">
        <v>5.5849999999999997E-2</v>
      </c>
      <c r="AH594">
        <v>35.799999999999997</v>
      </c>
      <c r="AI594">
        <v>11.2</v>
      </c>
    </row>
    <row r="595" spans="1:35" x14ac:dyDescent="0.25">
      <c r="A595">
        <v>2025</v>
      </c>
      <c r="B595">
        <v>7</v>
      </c>
      <c r="C595" t="s">
        <v>24</v>
      </c>
      <c r="D595" t="s">
        <v>25</v>
      </c>
      <c r="E595">
        <v>3</v>
      </c>
      <c r="F595">
        <v>706</v>
      </c>
      <c r="G595" s="12">
        <v>45930</v>
      </c>
      <c r="H595">
        <v>272</v>
      </c>
      <c r="I595">
        <v>119</v>
      </c>
      <c r="J595" t="s">
        <v>26</v>
      </c>
      <c r="K595">
        <v>37000</v>
      </c>
      <c r="N595">
        <v>14</v>
      </c>
      <c r="O595">
        <v>16.150000000000002</v>
      </c>
      <c r="P595">
        <v>33.049999999999997</v>
      </c>
      <c r="R595">
        <v>63.2</v>
      </c>
      <c r="S595">
        <v>249</v>
      </c>
      <c r="T595">
        <v>3415.7549234135668</v>
      </c>
      <c r="U595">
        <v>1</v>
      </c>
      <c r="V595">
        <v>0.91400000000000003</v>
      </c>
      <c r="W595">
        <v>0.91400000000000003</v>
      </c>
      <c r="X595">
        <v>0</v>
      </c>
      <c r="Z595">
        <v>1.4E-2</v>
      </c>
      <c r="AA595">
        <v>0</v>
      </c>
      <c r="AB595">
        <v>3.3049999999999996E-2</v>
      </c>
      <c r="AH595">
        <v>21.6</v>
      </c>
      <c r="AI595">
        <v>14.8</v>
      </c>
    </row>
    <row r="596" spans="1:35" x14ac:dyDescent="0.25">
      <c r="A596">
        <v>2025</v>
      </c>
      <c r="B596">
        <v>7</v>
      </c>
      <c r="C596" t="s">
        <v>28</v>
      </c>
      <c r="D596" t="s">
        <v>25</v>
      </c>
      <c r="E596">
        <v>3</v>
      </c>
      <c r="F596">
        <v>708</v>
      </c>
      <c r="G596" s="12">
        <v>45930</v>
      </c>
      <c r="H596">
        <v>272</v>
      </c>
      <c r="I596">
        <v>119</v>
      </c>
      <c r="J596" t="s">
        <v>26</v>
      </c>
      <c r="K596">
        <v>37000</v>
      </c>
      <c r="N596">
        <v>26</v>
      </c>
      <c r="O596">
        <v>21.45</v>
      </c>
      <c r="P596">
        <v>47.55</v>
      </c>
      <c r="R596">
        <v>95</v>
      </c>
      <c r="S596">
        <v>189</v>
      </c>
      <c r="T596">
        <v>3107.2210065645513</v>
      </c>
      <c r="U596">
        <v>1</v>
      </c>
      <c r="V596">
        <v>0.91400000000000003</v>
      </c>
      <c r="W596">
        <v>0.91400000000000003</v>
      </c>
      <c r="X596">
        <v>0</v>
      </c>
      <c r="Z596">
        <v>2.5999999999999999E-2</v>
      </c>
      <c r="AA596">
        <v>0</v>
      </c>
      <c r="AB596">
        <v>4.7549999999999995E-2</v>
      </c>
      <c r="AH596">
        <v>25.2</v>
      </c>
      <c r="AI596">
        <v>14.4</v>
      </c>
    </row>
    <row r="597" spans="1:35" x14ac:dyDescent="0.25">
      <c r="A597">
        <v>2025</v>
      </c>
      <c r="B597">
        <v>7</v>
      </c>
      <c r="C597" t="s">
        <v>32</v>
      </c>
      <c r="D597" t="s">
        <v>25</v>
      </c>
      <c r="E597">
        <v>3</v>
      </c>
      <c r="F597">
        <v>709</v>
      </c>
      <c r="G597" s="12">
        <v>45930</v>
      </c>
      <c r="H597">
        <v>272</v>
      </c>
      <c r="I597">
        <v>119</v>
      </c>
      <c r="J597" t="s">
        <v>26</v>
      </c>
      <c r="K597">
        <v>37000</v>
      </c>
      <c r="N597">
        <v>15</v>
      </c>
      <c r="O597">
        <v>15.05</v>
      </c>
      <c r="P597">
        <v>25.650000000000002</v>
      </c>
      <c r="R597">
        <v>55.7</v>
      </c>
      <c r="S597">
        <v>253</v>
      </c>
      <c r="T597">
        <v>3377.4617067833697</v>
      </c>
      <c r="U597">
        <v>1</v>
      </c>
      <c r="V597">
        <v>0.91400000000000003</v>
      </c>
      <c r="W597">
        <v>0.91400000000000003</v>
      </c>
      <c r="X597">
        <v>0</v>
      </c>
      <c r="Z597">
        <v>1.4999999999999999E-2</v>
      </c>
      <c r="AA597">
        <v>0</v>
      </c>
      <c r="AB597">
        <v>2.5650000000000003E-2</v>
      </c>
      <c r="AH597">
        <v>19.8</v>
      </c>
      <c r="AI597">
        <v>12.6</v>
      </c>
    </row>
    <row r="598" spans="1:35" x14ac:dyDescent="0.25">
      <c r="A598">
        <v>2025</v>
      </c>
      <c r="B598">
        <v>7</v>
      </c>
      <c r="C598" t="s">
        <v>24</v>
      </c>
      <c r="D598" t="s">
        <v>25</v>
      </c>
      <c r="E598">
        <v>4</v>
      </c>
      <c r="F598">
        <v>802</v>
      </c>
      <c r="G598" s="12">
        <v>45930</v>
      </c>
      <c r="H598">
        <v>272</v>
      </c>
      <c r="I598">
        <v>119</v>
      </c>
      <c r="J598" t="s">
        <v>26</v>
      </c>
      <c r="K598">
        <v>37000</v>
      </c>
      <c r="N598">
        <v>9</v>
      </c>
      <c r="O598">
        <v>13.650000000000002</v>
      </c>
      <c r="P598">
        <v>23.55</v>
      </c>
      <c r="R598">
        <v>46.2</v>
      </c>
      <c r="S598">
        <v>208</v>
      </c>
      <c r="T598">
        <v>2781.1816192560173</v>
      </c>
      <c r="U598">
        <v>1</v>
      </c>
      <c r="V598">
        <v>0.91400000000000003</v>
      </c>
      <c r="W598">
        <v>0.91400000000000003</v>
      </c>
      <c r="X598">
        <v>0</v>
      </c>
      <c r="Z598">
        <v>8.9999999999999993E-3</v>
      </c>
      <c r="AA598">
        <v>0</v>
      </c>
      <c r="AB598">
        <v>2.3550000000000001E-2</v>
      </c>
      <c r="AH598">
        <v>18.600000000000001</v>
      </c>
      <c r="AI598">
        <v>14</v>
      </c>
    </row>
    <row r="599" spans="1:35" x14ac:dyDescent="0.25">
      <c r="A599">
        <v>2025</v>
      </c>
      <c r="B599">
        <v>7</v>
      </c>
      <c r="C599" t="s">
        <v>29</v>
      </c>
      <c r="D599" t="s">
        <v>25</v>
      </c>
      <c r="E599">
        <v>4</v>
      </c>
      <c r="F599">
        <v>803</v>
      </c>
      <c r="G599" s="12">
        <v>45930</v>
      </c>
      <c r="H599">
        <v>272</v>
      </c>
      <c r="I599">
        <v>119</v>
      </c>
      <c r="J599" t="s">
        <v>26</v>
      </c>
      <c r="K599">
        <v>37000</v>
      </c>
      <c r="N599">
        <v>30</v>
      </c>
      <c r="O599">
        <v>22.95</v>
      </c>
      <c r="P599">
        <v>52.649999999999991</v>
      </c>
      <c r="R599">
        <v>105.6</v>
      </c>
      <c r="S599">
        <v>182</v>
      </c>
      <c r="T599">
        <v>3146.6083150984682</v>
      </c>
      <c r="U599">
        <v>1</v>
      </c>
      <c r="V599">
        <v>0.91400000000000003</v>
      </c>
      <c r="W599">
        <v>0.91400000000000003</v>
      </c>
      <c r="X599">
        <v>0</v>
      </c>
      <c r="Z599">
        <v>0.03</v>
      </c>
      <c r="AA599">
        <v>0</v>
      </c>
      <c r="AB599">
        <v>5.2649999999999988E-2</v>
      </c>
      <c r="AH599">
        <v>24.4</v>
      </c>
      <c r="AI599">
        <v>13.8</v>
      </c>
    </row>
    <row r="600" spans="1:35" x14ac:dyDescent="0.25">
      <c r="A600">
        <v>2025</v>
      </c>
      <c r="B600">
        <v>7</v>
      </c>
      <c r="C600" t="s">
        <v>32</v>
      </c>
      <c r="D600" t="s">
        <v>25</v>
      </c>
      <c r="E600">
        <v>4</v>
      </c>
      <c r="F600">
        <v>804</v>
      </c>
      <c r="G600" s="12">
        <v>45930</v>
      </c>
      <c r="H600">
        <v>272</v>
      </c>
      <c r="I600">
        <v>119</v>
      </c>
      <c r="J600" t="s">
        <v>26</v>
      </c>
      <c r="K600">
        <v>37000</v>
      </c>
      <c r="N600">
        <v>18</v>
      </c>
      <c r="O600">
        <v>21.250000000000004</v>
      </c>
      <c r="P600">
        <v>32.349999999999994</v>
      </c>
      <c r="R600">
        <v>71.599999999999994</v>
      </c>
      <c r="S600">
        <v>299</v>
      </c>
      <c r="T600">
        <v>4054.7045951859955</v>
      </c>
      <c r="U600">
        <v>1</v>
      </c>
      <c r="V600">
        <v>0.91400000000000003</v>
      </c>
      <c r="W600">
        <v>0.91400000000000003</v>
      </c>
      <c r="X600">
        <v>0</v>
      </c>
      <c r="Z600">
        <v>1.7999999999999999E-2</v>
      </c>
      <c r="AA600">
        <v>0</v>
      </c>
      <c r="AB600">
        <v>3.2349999999999997E-2</v>
      </c>
      <c r="AH600">
        <v>20.3</v>
      </c>
      <c r="AI600">
        <v>14.4</v>
      </c>
    </row>
    <row r="601" spans="1:35" x14ac:dyDescent="0.25">
      <c r="A601">
        <v>2025</v>
      </c>
      <c r="B601">
        <v>7</v>
      </c>
      <c r="C601" t="s">
        <v>28</v>
      </c>
      <c r="D601" t="s">
        <v>25</v>
      </c>
      <c r="E601">
        <v>4</v>
      </c>
      <c r="F601">
        <v>805</v>
      </c>
      <c r="G601" s="12">
        <v>45930</v>
      </c>
      <c r="H601">
        <v>272</v>
      </c>
      <c r="I601">
        <v>119</v>
      </c>
      <c r="J601" t="s">
        <v>26</v>
      </c>
      <c r="K601">
        <v>37000</v>
      </c>
      <c r="N601">
        <v>18</v>
      </c>
      <c r="O601">
        <v>18.650000000000002</v>
      </c>
      <c r="P601">
        <v>43.349999999999994</v>
      </c>
      <c r="R601">
        <v>80</v>
      </c>
      <c r="S601">
        <v>327</v>
      </c>
      <c r="T601">
        <v>4452.9540481400436</v>
      </c>
      <c r="U601">
        <v>1</v>
      </c>
      <c r="V601">
        <v>0.91400000000000003</v>
      </c>
      <c r="W601">
        <v>0.91400000000000003</v>
      </c>
      <c r="X601">
        <v>0</v>
      </c>
      <c r="Z601">
        <v>1.7999999999999999E-2</v>
      </c>
      <c r="AA601">
        <v>0</v>
      </c>
      <c r="AB601">
        <v>4.3349999999999993E-2</v>
      </c>
      <c r="AH601">
        <v>27.8</v>
      </c>
      <c r="AI601">
        <v>0</v>
      </c>
    </row>
    <row r="602" spans="1:35" x14ac:dyDescent="0.25">
      <c r="A602">
        <v>2025</v>
      </c>
      <c r="B602" t="s">
        <v>103</v>
      </c>
      <c r="C602" t="s">
        <v>24</v>
      </c>
      <c r="D602" t="s">
        <v>38</v>
      </c>
      <c r="E602">
        <v>1</v>
      </c>
      <c r="F602">
        <v>101</v>
      </c>
      <c r="G602" s="22">
        <v>45940</v>
      </c>
      <c r="H602">
        <v>282</v>
      </c>
      <c r="I602">
        <v>129</v>
      </c>
      <c r="J602" t="s">
        <v>26</v>
      </c>
      <c r="K602">
        <v>37000</v>
      </c>
      <c r="Q602">
        <v>335.2</v>
      </c>
      <c r="S602">
        <v>654</v>
      </c>
      <c r="T602">
        <v>7155.361050328228</v>
      </c>
      <c r="U602">
        <v>1</v>
      </c>
      <c r="AD602">
        <v>3565.9574468085111</v>
      </c>
      <c r="AE602">
        <v>3158.5344650697257</v>
      </c>
      <c r="AF602">
        <v>0.51253822629969414</v>
      </c>
      <c r="AG602">
        <v>46.867871546144258</v>
      </c>
    </row>
    <row r="603" spans="1:35" x14ac:dyDescent="0.25">
      <c r="A603">
        <v>2025</v>
      </c>
      <c r="B603" t="s">
        <v>103</v>
      </c>
      <c r="C603" t="s">
        <v>105</v>
      </c>
      <c r="D603" t="s">
        <v>38</v>
      </c>
      <c r="E603">
        <v>1</v>
      </c>
      <c r="F603">
        <v>102</v>
      </c>
      <c r="G603" s="23">
        <v>45947</v>
      </c>
      <c r="H603">
        <v>289</v>
      </c>
      <c r="I603">
        <v>136</v>
      </c>
      <c r="J603" t="s">
        <v>26</v>
      </c>
      <c r="K603">
        <v>37000</v>
      </c>
      <c r="Q603">
        <v>282.89999999999998</v>
      </c>
      <c r="S603">
        <v>666</v>
      </c>
      <c r="T603">
        <v>7286.6520787746167</v>
      </c>
      <c r="U603">
        <v>1</v>
      </c>
      <c r="AD603">
        <v>3009.5744680851067</v>
      </c>
      <c r="AE603">
        <v>2848.4764946454493</v>
      </c>
      <c r="AF603">
        <v>0.42477477477477477</v>
      </c>
      <c r="AG603">
        <v>42.267080486109911</v>
      </c>
    </row>
    <row r="604" spans="1:35" x14ac:dyDescent="0.25">
      <c r="A604">
        <v>2025</v>
      </c>
      <c r="B604" t="s">
        <v>103</v>
      </c>
      <c r="C604" t="s">
        <v>27</v>
      </c>
      <c r="D604" t="s">
        <v>38</v>
      </c>
      <c r="E604">
        <v>1</v>
      </c>
      <c r="F604">
        <v>103</v>
      </c>
      <c r="G604" s="22">
        <v>45940</v>
      </c>
      <c r="H604">
        <v>282</v>
      </c>
      <c r="I604">
        <v>129</v>
      </c>
      <c r="J604" t="s">
        <v>26</v>
      </c>
      <c r="K604">
        <v>37000</v>
      </c>
      <c r="Q604">
        <v>429.7</v>
      </c>
      <c r="S604">
        <v>941</v>
      </c>
      <c r="T604">
        <v>10295.404814004376</v>
      </c>
      <c r="U604">
        <v>1</v>
      </c>
      <c r="AD604">
        <v>4571.2765957446818</v>
      </c>
      <c r="AE604">
        <v>3833.6291114595356</v>
      </c>
      <c r="AF604">
        <v>0.45664187035069076</v>
      </c>
      <c r="AG604">
        <v>56.885254455337503</v>
      </c>
    </row>
    <row r="605" spans="1:35" x14ac:dyDescent="0.25">
      <c r="A605">
        <v>2025</v>
      </c>
      <c r="B605" t="s">
        <v>103</v>
      </c>
      <c r="C605" t="s">
        <v>33</v>
      </c>
      <c r="D605" t="s">
        <v>38</v>
      </c>
      <c r="E605">
        <v>1</v>
      </c>
      <c r="F605">
        <v>104</v>
      </c>
      <c r="G605" s="23">
        <v>45953</v>
      </c>
      <c r="H605">
        <v>295</v>
      </c>
      <c r="I605">
        <v>142</v>
      </c>
      <c r="J605" t="s">
        <v>26</v>
      </c>
      <c r="K605">
        <v>37000</v>
      </c>
      <c r="Q605">
        <v>333.9</v>
      </c>
      <c r="S605">
        <v>795</v>
      </c>
      <c r="T605">
        <v>8698.0306345733025</v>
      </c>
      <c r="U605">
        <v>1</v>
      </c>
      <c r="AD605">
        <v>3552.127659574468</v>
      </c>
      <c r="AE605">
        <v>3593.195171271982</v>
      </c>
      <c r="AF605">
        <v>0.42</v>
      </c>
      <c r="AG605">
        <v>53.31757863965035</v>
      </c>
    </row>
    <row r="606" spans="1:35" x14ac:dyDescent="0.25">
      <c r="A606">
        <v>2025</v>
      </c>
      <c r="B606" t="s">
        <v>103</v>
      </c>
      <c r="C606" t="s">
        <v>29</v>
      </c>
      <c r="D606" t="s">
        <v>38</v>
      </c>
      <c r="E606">
        <v>1</v>
      </c>
      <c r="F606">
        <v>105</v>
      </c>
      <c r="G606" s="22">
        <v>45940</v>
      </c>
      <c r="H606">
        <v>282</v>
      </c>
      <c r="I606">
        <v>129</v>
      </c>
      <c r="J606" t="s">
        <v>26</v>
      </c>
      <c r="K606">
        <v>37000</v>
      </c>
      <c r="Q606">
        <v>287.60000000000002</v>
      </c>
      <c r="S606">
        <v>669</v>
      </c>
      <c r="T606">
        <v>7319.4748358862144</v>
      </c>
      <c r="U606">
        <v>1</v>
      </c>
      <c r="AD606">
        <v>3059.5744680851067</v>
      </c>
      <c r="AE606">
        <v>3581.0559983960629</v>
      </c>
      <c r="AF606">
        <v>0.42989536621823621</v>
      </c>
      <c r="AG606">
        <v>53.137451684786669</v>
      </c>
    </row>
    <row r="607" spans="1:35" x14ac:dyDescent="0.25">
      <c r="A607">
        <v>2025</v>
      </c>
      <c r="B607" t="s">
        <v>103</v>
      </c>
      <c r="C607" t="s">
        <v>30</v>
      </c>
      <c r="D607" t="s">
        <v>38</v>
      </c>
      <c r="E607">
        <v>1</v>
      </c>
      <c r="F607">
        <v>106</v>
      </c>
      <c r="G607" s="23">
        <v>45947</v>
      </c>
      <c r="H607">
        <v>289</v>
      </c>
      <c r="I607">
        <v>136</v>
      </c>
      <c r="J607" t="s">
        <v>26</v>
      </c>
      <c r="K607">
        <v>37000</v>
      </c>
      <c r="Q607">
        <v>401.8</v>
      </c>
      <c r="S607">
        <v>724</v>
      </c>
      <c r="T607">
        <v>7921.2253829321653</v>
      </c>
      <c r="U607">
        <v>1</v>
      </c>
      <c r="AD607">
        <v>4274.4680851063831</v>
      </c>
      <c r="AE607">
        <v>3205.6227082416362</v>
      </c>
      <c r="AF607">
        <v>0.55497237569060776</v>
      </c>
      <c r="AG607">
        <v>47.566589814607411</v>
      </c>
    </row>
    <row r="608" spans="1:35" x14ac:dyDescent="0.25">
      <c r="A608">
        <v>2025</v>
      </c>
      <c r="B608" t="s">
        <v>103</v>
      </c>
      <c r="C608" t="s">
        <v>28</v>
      </c>
      <c r="D608" t="s">
        <v>38</v>
      </c>
      <c r="E608">
        <v>1</v>
      </c>
      <c r="F608">
        <v>107</v>
      </c>
      <c r="G608" s="23">
        <v>45953</v>
      </c>
      <c r="H608">
        <v>295</v>
      </c>
      <c r="I608">
        <v>142</v>
      </c>
      <c r="J608" t="s">
        <v>26</v>
      </c>
      <c r="K608">
        <v>37000</v>
      </c>
      <c r="Q608">
        <v>229.3</v>
      </c>
      <c r="S608">
        <v>421</v>
      </c>
      <c r="T608">
        <v>4606.1269146608311</v>
      </c>
      <c r="U608">
        <v>1</v>
      </c>
      <c r="AD608">
        <v>2439.3617021276596</v>
      </c>
      <c r="AE608">
        <v>3090.1047728095054</v>
      </c>
      <c r="AF608">
        <v>0.54465558194774355</v>
      </c>
      <c r="AG608">
        <v>45.852478469936877</v>
      </c>
    </row>
    <row r="609" spans="1:33" x14ac:dyDescent="0.25">
      <c r="A609">
        <v>2025</v>
      </c>
      <c r="B609" t="s">
        <v>103</v>
      </c>
      <c r="C609" t="s">
        <v>31</v>
      </c>
      <c r="D609" t="s">
        <v>38</v>
      </c>
      <c r="E609">
        <v>1</v>
      </c>
      <c r="F609">
        <v>108</v>
      </c>
      <c r="G609" s="23">
        <v>45953</v>
      </c>
      <c r="H609">
        <v>295</v>
      </c>
      <c r="I609">
        <v>142</v>
      </c>
      <c r="J609" t="s">
        <v>26</v>
      </c>
      <c r="K609">
        <v>37000</v>
      </c>
      <c r="Q609">
        <v>265.8</v>
      </c>
      <c r="S609">
        <v>481</v>
      </c>
      <c r="T609">
        <v>5262.5820568927784</v>
      </c>
      <c r="U609">
        <v>1</v>
      </c>
      <c r="AD609">
        <v>2827.6595744680849</v>
      </c>
      <c r="AE609">
        <v>3581.0559983960629</v>
      </c>
      <c r="AF609">
        <v>0.55259875259875257</v>
      </c>
      <c r="AG609">
        <v>53.137451684786669</v>
      </c>
    </row>
    <row r="610" spans="1:33" x14ac:dyDescent="0.25">
      <c r="A610">
        <v>2025</v>
      </c>
      <c r="B610" t="s">
        <v>103</v>
      </c>
      <c r="C610" t="s">
        <v>32</v>
      </c>
      <c r="D610" t="s">
        <v>38</v>
      </c>
      <c r="E610">
        <v>1</v>
      </c>
      <c r="F610">
        <v>109</v>
      </c>
      <c r="G610" s="23">
        <v>45953</v>
      </c>
      <c r="H610">
        <v>295</v>
      </c>
      <c r="I610">
        <v>142</v>
      </c>
      <c r="J610" t="s">
        <v>26</v>
      </c>
      <c r="K610">
        <v>37000</v>
      </c>
      <c r="Q610">
        <v>335.4</v>
      </c>
      <c r="S610">
        <v>688</v>
      </c>
      <c r="T610">
        <v>7527.3522975929973</v>
      </c>
      <c r="U610">
        <v>1</v>
      </c>
      <c r="AD610">
        <v>3568.0851063829791</v>
      </c>
      <c r="AE610">
        <v>3324.8933449660535</v>
      </c>
      <c r="AF610">
        <v>0.48749999999999999</v>
      </c>
      <c r="AG610">
        <v>49.336385567367529</v>
      </c>
    </row>
    <row r="611" spans="1:33" x14ac:dyDescent="0.25">
      <c r="A611">
        <v>2025</v>
      </c>
      <c r="B611" t="s">
        <v>103</v>
      </c>
      <c r="C611" t="s">
        <v>28</v>
      </c>
      <c r="D611" t="s">
        <v>38</v>
      </c>
      <c r="E611">
        <v>2</v>
      </c>
      <c r="F611">
        <v>201</v>
      </c>
      <c r="G611" s="23">
        <v>45953</v>
      </c>
      <c r="H611">
        <v>295</v>
      </c>
      <c r="I611">
        <v>142</v>
      </c>
      <c r="J611" t="s">
        <v>26</v>
      </c>
      <c r="K611">
        <v>37000</v>
      </c>
      <c r="Q611">
        <v>269.39999999999998</v>
      </c>
      <c r="S611">
        <v>525</v>
      </c>
      <c r="T611">
        <v>5743.9824945295404</v>
      </c>
      <c r="U611">
        <v>1</v>
      </c>
      <c r="AD611">
        <v>2865.9574468085111</v>
      </c>
      <c r="AE611">
        <v>2715.0173838176734</v>
      </c>
      <c r="AF611">
        <v>0.51314285714285712</v>
      </c>
      <c r="AG611">
        <v>40.286749249546766</v>
      </c>
    </row>
    <row r="612" spans="1:33" x14ac:dyDescent="0.25">
      <c r="A612">
        <v>2025</v>
      </c>
      <c r="B612" t="s">
        <v>103</v>
      </c>
      <c r="C612" t="s">
        <v>29</v>
      </c>
      <c r="D612" t="s">
        <v>38</v>
      </c>
      <c r="E612">
        <v>2</v>
      </c>
      <c r="F612">
        <v>202</v>
      </c>
      <c r="G612" s="22">
        <v>45940</v>
      </c>
      <c r="H612">
        <v>282</v>
      </c>
      <c r="I612">
        <v>129</v>
      </c>
      <c r="J612" t="s">
        <v>26</v>
      </c>
      <c r="K612">
        <v>37000</v>
      </c>
      <c r="Q612">
        <v>275.2</v>
      </c>
      <c r="S612">
        <v>573</v>
      </c>
      <c r="T612">
        <v>6269.1466083150981</v>
      </c>
      <c r="U612">
        <v>1</v>
      </c>
      <c r="AD612">
        <v>2927.6595744680849</v>
      </c>
      <c r="AE612">
        <v>2657.0234643685249</v>
      </c>
      <c r="AF612">
        <v>0.48027923211169282</v>
      </c>
      <c r="AG612">
        <v>39.426207249052837</v>
      </c>
    </row>
    <row r="613" spans="1:33" x14ac:dyDescent="0.25">
      <c r="A613">
        <v>2025</v>
      </c>
      <c r="B613" t="s">
        <v>103</v>
      </c>
      <c r="C613" t="s">
        <v>32</v>
      </c>
      <c r="D613" t="s">
        <v>38</v>
      </c>
      <c r="E613">
        <v>2</v>
      </c>
      <c r="F613">
        <v>203</v>
      </c>
      <c r="G613" s="23">
        <v>45953</v>
      </c>
      <c r="H613">
        <v>295</v>
      </c>
      <c r="I613">
        <v>142</v>
      </c>
      <c r="J613" t="s">
        <v>26</v>
      </c>
      <c r="K613">
        <v>37000</v>
      </c>
      <c r="Q613">
        <v>315.89999999999998</v>
      </c>
      <c r="S613">
        <v>634</v>
      </c>
      <c r="T613">
        <v>6936.5426695842443</v>
      </c>
      <c r="U613">
        <v>1</v>
      </c>
      <c r="AD613">
        <v>3360.6382978723409</v>
      </c>
      <c r="AE613">
        <v>3523.2970306799966</v>
      </c>
      <c r="AF613">
        <v>0.49826498422712928</v>
      </c>
      <c r="AG613">
        <v>52.280396012451391</v>
      </c>
    </row>
    <row r="614" spans="1:33" x14ac:dyDescent="0.25">
      <c r="A614">
        <v>2025</v>
      </c>
      <c r="B614" t="s">
        <v>103</v>
      </c>
      <c r="C614" t="s">
        <v>33</v>
      </c>
      <c r="D614" t="s">
        <v>38</v>
      </c>
      <c r="E614">
        <v>2</v>
      </c>
      <c r="F614">
        <v>205</v>
      </c>
      <c r="G614" s="23">
        <v>45953</v>
      </c>
      <c r="H614">
        <v>295</v>
      </c>
      <c r="I614">
        <v>142</v>
      </c>
      <c r="J614" t="s">
        <v>26</v>
      </c>
      <c r="K614">
        <v>37000</v>
      </c>
      <c r="Q614">
        <v>377.8</v>
      </c>
      <c r="S614">
        <v>677</v>
      </c>
      <c r="T614">
        <v>7407.0021881838065</v>
      </c>
      <c r="U614">
        <v>1</v>
      </c>
      <c r="AD614">
        <v>4019.1489361702129</v>
      </c>
      <c r="AE614">
        <v>6730.3229228830978</v>
      </c>
      <c r="AF614">
        <v>0.55805022156573114</v>
      </c>
      <c r="AG614">
        <v>99.867806953561882</v>
      </c>
    </row>
    <row r="615" spans="1:33" x14ac:dyDescent="0.25">
      <c r="A615">
        <v>2025</v>
      </c>
      <c r="B615" t="s">
        <v>103</v>
      </c>
      <c r="C615" t="s">
        <v>27</v>
      </c>
      <c r="D615" t="s">
        <v>38</v>
      </c>
      <c r="E615">
        <v>2</v>
      </c>
      <c r="F615">
        <v>206</v>
      </c>
      <c r="G615" s="23">
        <v>45947</v>
      </c>
      <c r="H615">
        <v>289</v>
      </c>
      <c r="I615">
        <v>136</v>
      </c>
      <c r="J615" t="s">
        <v>26</v>
      </c>
      <c r="K615">
        <v>37000</v>
      </c>
      <c r="Q615">
        <v>370</v>
      </c>
      <c r="S615">
        <v>673</v>
      </c>
      <c r="T615">
        <v>7363.23851203501</v>
      </c>
      <c r="U615">
        <v>1</v>
      </c>
      <c r="AD615">
        <v>3936.1702127659578</v>
      </c>
      <c r="AE615">
        <v>3862.67175624332</v>
      </c>
      <c r="AF615">
        <v>0.54977711738484403</v>
      </c>
      <c r="AG615">
        <v>57.316203352726433</v>
      </c>
    </row>
    <row r="616" spans="1:33" x14ac:dyDescent="0.25">
      <c r="A616">
        <v>2025</v>
      </c>
      <c r="B616" t="s">
        <v>103</v>
      </c>
      <c r="C616" t="s">
        <v>24</v>
      </c>
      <c r="D616" t="s">
        <v>38</v>
      </c>
      <c r="E616">
        <v>2</v>
      </c>
      <c r="F616">
        <v>207</v>
      </c>
      <c r="G616" s="22">
        <v>45940</v>
      </c>
      <c r="H616">
        <v>282</v>
      </c>
      <c r="I616">
        <v>129</v>
      </c>
      <c r="J616" t="s">
        <v>26</v>
      </c>
      <c r="K616">
        <v>37000</v>
      </c>
      <c r="Q616">
        <v>386.7</v>
      </c>
      <c r="S616">
        <v>719</v>
      </c>
      <c r="T616">
        <v>7866.5207877461708</v>
      </c>
      <c r="U616">
        <v>1</v>
      </c>
      <c r="AD616">
        <v>4113.8297872340427</v>
      </c>
      <c r="AE616">
        <v>3187.51184548321</v>
      </c>
      <c r="AF616">
        <v>0.53783031988873431</v>
      </c>
      <c r="AG616">
        <v>47.297852019044662</v>
      </c>
    </row>
    <row r="617" spans="1:33" x14ac:dyDescent="0.25">
      <c r="A617">
        <v>2025</v>
      </c>
      <c r="B617" t="s">
        <v>103</v>
      </c>
      <c r="C617" t="s">
        <v>31</v>
      </c>
      <c r="D617" t="s">
        <v>38</v>
      </c>
      <c r="E617">
        <v>2</v>
      </c>
      <c r="F617">
        <v>208</v>
      </c>
      <c r="G617" s="23">
        <v>45953</v>
      </c>
      <c r="H617">
        <v>295</v>
      </c>
      <c r="I617">
        <v>142</v>
      </c>
      <c r="J617" t="s">
        <v>26</v>
      </c>
      <c r="K617">
        <v>37000</v>
      </c>
      <c r="Q617">
        <v>344.9</v>
      </c>
      <c r="S617">
        <v>624</v>
      </c>
      <c r="T617">
        <v>6827.1334792122534</v>
      </c>
      <c r="U617">
        <v>1</v>
      </c>
      <c r="AD617">
        <v>3669.1489361702129</v>
      </c>
      <c r="AE617">
        <v>2816.0401026060313</v>
      </c>
      <c r="AF617">
        <v>0.5527243589743589</v>
      </c>
      <c r="AG617">
        <v>41.78577351531824</v>
      </c>
    </row>
    <row r="618" spans="1:33" x14ac:dyDescent="0.25">
      <c r="A618">
        <v>2025</v>
      </c>
      <c r="B618" t="s">
        <v>103</v>
      </c>
      <c r="C618" t="s">
        <v>30</v>
      </c>
      <c r="D618" t="s">
        <v>38</v>
      </c>
      <c r="E618">
        <v>2</v>
      </c>
      <c r="F618">
        <v>209</v>
      </c>
      <c r="G618" s="23">
        <v>45947</v>
      </c>
      <c r="H618">
        <v>289</v>
      </c>
      <c r="I618">
        <v>136</v>
      </c>
      <c r="J618" t="s">
        <v>26</v>
      </c>
      <c r="K618">
        <v>37000</v>
      </c>
      <c r="Q618">
        <v>346.9</v>
      </c>
      <c r="S618">
        <v>649</v>
      </c>
      <c r="T618">
        <v>7100.6564551422316</v>
      </c>
      <c r="U618">
        <v>1</v>
      </c>
      <c r="AD618">
        <v>3690.4255319148938</v>
      </c>
      <c r="AE618">
        <v>3133.6361078000318</v>
      </c>
      <c r="AF618">
        <v>0.5345146379044684</v>
      </c>
      <c r="AG618">
        <v>46.498417603776005</v>
      </c>
    </row>
    <row r="619" spans="1:33" x14ac:dyDescent="0.25">
      <c r="A619">
        <v>2025</v>
      </c>
      <c r="B619" t="s">
        <v>103</v>
      </c>
      <c r="C619" t="s">
        <v>27</v>
      </c>
      <c r="D619" t="s">
        <v>38</v>
      </c>
      <c r="E619">
        <v>3</v>
      </c>
      <c r="F619">
        <v>301</v>
      </c>
      <c r="G619" s="22">
        <v>45940</v>
      </c>
      <c r="H619">
        <v>282</v>
      </c>
      <c r="I619">
        <v>129</v>
      </c>
      <c r="J619" t="s">
        <v>26</v>
      </c>
      <c r="K619">
        <v>37000</v>
      </c>
      <c r="Q619">
        <v>500.20000000000005</v>
      </c>
      <c r="S619">
        <v>1020</v>
      </c>
      <c r="T619">
        <v>11159.737417943106</v>
      </c>
      <c r="U619">
        <v>1</v>
      </c>
      <c r="AD619">
        <v>5321.2765957446818</v>
      </c>
      <c r="AE619">
        <v>3771.3016378224252</v>
      </c>
      <c r="AF619">
        <v>0.49039215686274512</v>
      </c>
      <c r="AG619">
        <v>55.960409068806229</v>
      </c>
    </row>
    <row r="620" spans="1:33" x14ac:dyDescent="0.25">
      <c r="A620">
        <v>2025</v>
      </c>
      <c r="B620" t="s">
        <v>103</v>
      </c>
      <c r="C620" t="s">
        <v>33</v>
      </c>
      <c r="D620" t="s">
        <v>38</v>
      </c>
      <c r="E620">
        <v>3</v>
      </c>
      <c r="F620">
        <v>303</v>
      </c>
      <c r="G620" s="23">
        <v>45953</v>
      </c>
      <c r="H620">
        <v>295</v>
      </c>
      <c r="I620">
        <v>142</v>
      </c>
      <c r="J620" t="s">
        <v>26</v>
      </c>
      <c r="K620">
        <v>37000</v>
      </c>
      <c r="Q620">
        <v>219.2</v>
      </c>
      <c r="S620">
        <v>465</v>
      </c>
      <c r="T620">
        <v>5087.5273522975931</v>
      </c>
      <c r="U620">
        <v>1</v>
      </c>
      <c r="AD620">
        <v>2331.9148936170213</v>
      </c>
      <c r="AE620">
        <v>3078.5203470811425</v>
      </c>
      <c r="AF620">
        <v>0.47139784946236557</v>
      </c>
      <c r="AG620">
        <v>45.680583123225567</v>
      </c>
    </row>
    <row r="621" spans="1:33" x14ac:dyDescent="0.25">
      <c r="A621">
        <v>2025</v>
      </c>
      <c r="B621" t="s">
        <v>103</v>
      </c>
      <c r="C621" t="s">
        <v>29</v>
      </c>
      <c r="D621" t="s">
        <v>38</v>
      </c>
      <c r="E621">
        <v>3</v>
      </c>
      <c r="F621">
        <v>304</v>
      </c>
      <c r="G621" s="22">
        <v>45940</v>
      </c>
      <c r="H621">
        <v>282</v>
      </c>
      <c r="I621">
        <v>129</v>
      </c>
      <c r="J621" t="s">
        <v>26</v>
      </c>
      <c r="K621">
        <v>37000</v>
      </c>
      <c r="Q621">
        <v>328.6</v>
      </c>
      <c r="S621">
        <v>682</v>
      </c>
      <c r="T621">
        <v>7461.7067833698029</v>
      </c>
      <c r="U621">
        <v>1</v>
      </c>
      <c r="AD621">
        <v>3495.744680851064</v>
      </c>
      <c r="AE621">
        <v>3365.1614614415489</v>
      </c>
      <c r="AF621">
        <v>0.48181818181818187</v>
      </c>
      <c r="AG621">
        <v>49.933903476780941</v>
      </c>
    </row>
    <row r="622" spans="1:33" x14ac:dyDescent="0.25">
      <c r="A622">
        <v>2025</v>
      </c>
      <c r="B622" t="s">
        <v>103</v>
      </c>
      <c r="C622" t="s">
        <v>30</v>
      </c>
      <c r="D622" t="s">
        <v>38</v>
      </c>
      <c r="E622">
        <v>3</v>
      </c>
      <c r="F622">
        <v>305</v>
      </c>
      <c r="G622" s="22">
        <v>45940</v>
      </c>
      <c r="H622">
        <v>282</v>
      </c>
      <c r="I622">
        <v>129</v>
      </c>
      <c r="J622" t="s">
        <v>26</v>
      </c>
      <c r="K622">
        <v>37000</v>
      </c>
      <c r="Q622">
        <v>203.6</v>
      </c>
      <c r="S622">
        <v>388</v>
      </c>
      <c r="T622">
        <v>4245.0765864332598</v>
      </c>
      <c r="U622">
        <v>1</v>
      </c>
      <c r="AD622">
        <v>2165.9574468085111</v>
      </c>
      <c r="AE622">
        <v>2720.0623196419119</v>
      </c>
      <c r="AF622">
        <v>0.52474226804123714</v>
      </c>
      <c r="AG622">
        <v>40.361608462508919</v>
      </c>
    </row>
    <row r="623" spans="1:33" x14ac:dyDescent="0.25">
      <c r="A623">
        <v>2025</v>
      </c>
      <c r="B623" t="s">
        <v>103</v>
      </c>
      <c r="C623" t="s">
        <v>24</v>
      </c>
      <c r="D623" t="s">
        <v>38</v>
      </c>
      <c r="E623">
        <v>3</v>
      </c>
      <c r="F623">
        <v>306</v>
      </c>
      <c r="G623" s="22">
        <v>45940</v>
      </c>
      <c r="H623">
        <v>282</v>
      </c>
      <c r="I623">
        <v>129</v>
      </c>
      <c r="J623" t="s">
        <v>26</v>
      </c>
      <c r="K623">
        <v>37000</v>
      </c>
      <c r="Q623">
        <v>377.2</v>
      </c>
      <c r="S623">
        <v>729</v>
      </c>
      <c r="T623">
        <v>7975.9299781181617</v>
      </c>
      <c r="U623">
        <v>1</v>
      </c>
      <c r="AD623">
        <v>4012.7659574468089</v>
      </c>
      <c r="AE623">
        <v>3187.51184548321</v>
      </c>
      <c r="AF623">
        <v>0.5174211248285322</v>
      </c>
      <c r="AG623">
        <v>47.297852019044662</v>
      </c>
    </row>
    <row r="624" spans="1:33" x14ac:dyDescent="0.25">
      <c r="A624">
        <v>2025</v>
      </c>
      <c r="B624" t="s">
        <v>103</v>
      </c>
      <c r="C624" t="s">
        <v>31</v>
      </c>
      <c r="D624" t="s">
        <v>38</v>
      </c>
      <c r="E624">
        <v>3</v>
      </c>
      <c r="F624">
        <v>307</v>
      </c>
      <c r="G624" s="23">
        <v>45953</v>
      </c>
      <c r="H624">
        <v>295</v>
      </c>
      <c r="I624">
        <v>142</v>
      </c>
      <c r="J624" t="s">
        <v>26</v>
      </c>
      <c r="K624">
        <v>37000</v>
      </c>
      <c r="Q624">
        <v>287.5</v>
      </c>
      <c r="S624">
        <v>524</v>
      </c>
      <c r="T624">
        <v>5733.0415754923415</v>
      </c>
      <c r="U624">
        <v>1</v>
      </c>
      <c r="AD624">
        <v>3058.5106382978724</v>
      </c>
      <c r="AE624">
        <v>3357.5907944866744</v>
      </c>
      <c r="AF624">
        <v>0.54866412213740456</v>
      </c>
      <c r="AG624">
        <v>49.821566236113263</v>
      </c>
    </row>
    <row r="625" spans="1:33" x14ac:dyDescent="0.25">
      <c r="A625">
        <v>2025</v>
      </c>
      <c r="B625" t="s">
        <v>103</v>
      </c>
      <c r="C625" t="s">
        <v>28</v>
      </c>
      <c r="D625" t="s">
        <v>38</v>
      </c>
      <c r="E625">
        <v>3</v>
      </c>
      <c r="F625">
        <v>308</v>
      </c>
      <c r="G625" s="23">
        <v>45953</v>
      </c>
      <c r="H625">
        <v>295</v>
      </c>
      <c r="I625">
        <v>142</v>
      </c>
      <c r="J625" t="s">
        <v>26</v>
      </c>
      <c r="K625">
        <v>37000</v>
      </c>
      <c r="Q625">
        <v>333.9</v>
      </c>
      <c r="S625">
        <v>642</v>
      </c>
      <c r="T625">
        <v>7024.0700218818374</v>
      </c>
      <c r="U625">
        <v>1</v>
      </c>
      <c r="AD625">
        <v>3552.127659574468</v>
      </c>
      <c r="AE625">
        <v>3864.9560092038419</v>
      </c>
      <c r="AF625">
        <v>0.52009345794392525</v>
      </c>
      <c r="AG625">
        <v>57.350098209824424</v>
      </c>
    </row>
    <row r="626" spans="1:33" x14ac:dyDescent="0.25">
      <c r="A626">
        <v>2025</v>
      </c>
      <c r="B626" t="s">
        <v>103</v>
      </c>
      <c r="C626" t="s">
        <v>32</v>
      </c>
      <c r="D626" t="s">
        <v>38</v>
      </c>
      <c r="E626">
        <v>3</v>
      </c>
      <c r="F626">
        <v>309</v>
      </c>
      <c r="G626" s="23">
        <v>45953</v>
      </c>
      <c r="H626">
        <v>295</v>
      </c>
      <c r="I626">
        <v>142</v>
      </c>
      <c r="J626" t="s">
        <v>26</v>
      </c>
      <c r="K626">
        <v>37000</v>
      </c>
      <c r="Q626">
        <v>341.1</v>
      </c>
      <c r="S626">
        <v>650</v>
      </c>
      <c r="T626">
        <v>7111.5973741794314</v>
      </c>
      <c r="U626">
        <v>1</v>
      </c>
      <c r="AD626">
        <v>3628.7234042553196</v>
      </c>
      <c r="AE626">
        <v>3502.3145356283417</v>
      </c>
      <c r="AF626">
        <v>0.52476923076923077</v>
      </c>
      <c r="AG626">
        <v>51.969047539394005</v>
      </c>
    </row>
    <row r="627" spans="1:33" x14ac:dyDescent="0.25">
      <c r="A627">
        <v>2025</v>
      </c>
      <c r="B627" t="s">
        <v>103</v>
      </c>
      <c r="C627" t="s">
        <v>33</v>
      </c>
      <c r="D627" t="s">
        <v>38</v>
      </c>
      <c r="E627">
        <v>4</v>
      </c>
      <c r="F627">
        <v>401</v>
      </c>
      <c r="G627" s="23">
        <v>45953</v>
      </c>
      <c r="H627">
        <v>295</v>
      </c>
      <c r="I627">
        <v>142</v>
      </c>
      <c r="J627" t="s">
        <v>26</v>
      </c>
      <c r="K627">
        <v>37000</v>
      </c>
      <c r="Q627">
        <v>305.3</v>
      </c>
      <c r="S627">
        <v>578</v>
      </c>
      <c r="T627">
        <v>6323.8512035010945</v>
      </c>
      <c r="U627">
        <v>1</v>
      </c>
      <c r="AD627">
        <v>3247.8723404255325</v>
      </c>
      <c r="AE627">
        <v>3299.7012980300078</v>
      </c>
      <c r="AF627">
        <v>0.52820069204152253</v>
      </c>
      <c r="AG627">
        <v>48.962573714800968</v>
      </c>
    </row>
    <row r="628" spans="1:33" x14ac:dyDescent="0.25">
      <c r="A628">
        <v>2025</v>
      </c>
      <c r="B628" t="s">
        <v>103</v>
      </c>
      <c r="C628" t="s">
        <v>24</v>
      </c>
      <c r="D628" t="s">
        <v>38</v>
      </c>
      <c r="E628">
        <v>4</v>
      </c>
      <c r="F628">
        <v>402</v>
      </c>
      <c r="G628" s="22">
        <v>45940</v>
      </c>
      <c r="H628">
        <v>282</v>
      </c>
      <c r="I628">
        <v>129</v>
      </c>
      <c r="J628" t="s">
        <v>26</v>
      </c>
      <c r="K628">
        <v>37000</v>
      </c>
      <c r="Q628">
        <v>269</v>
      </c>
      <c r="S628">
        <v>479</v>
      </c>
      <c r="T628">
        <v>5240.7002188183806</v>
      </c>
      <c r="U628">
        <v>1</v>
      </c>
      <c r="AD628">
        <v>2861.7021276595747</v>
      </c>
      <c r="AE628">
        <v>2829.0244490773443</v>
      </c>
      <c r="AF628">
        <v>0.56158663883089766</v>
      </c>
      <c r="AG628">
        <v>41.978441567308188</v>
      </c>
    </row>
    <row r="629" spans="1:33" x14ac:dyDescent="0.25">
      <c r="A629">
        <v>2025</v>
      </c>
      <c r="B629" t="s">
        <v>103</v>
      </c>
      <c r="C629" t="s">
        <v>29</v>
      </c>
      <c r="D629" t="s">
        <v>38</v>
      </c>
      <c r="E629">
        <v>4</v>
      </c>
      <c r="F629">
        <v>403</v>
      </c>
      <c r="G629" s="23">
        <v>45947</v>
      </c>
      <c r="H629">
        <v>289</v>
      </c>
      <c r="I629">
        <v>136</v>
      </c>
      <c r="J629" t="s">
        <v>26</v>
      </c>
      <c r="K629">
        <v>37000</v>
      </c>
      <c r="Q629">
        <v>347.3</v>
      </c>
      <c r="S629">
        <v>646</v>
      </c>
      <c r="T629">
        <v>7067.833698030634</v>
      </c>
      <c r="U629">
        <v>1</v>
      </c>
      <c r="AD629">
        <v>3694.6808510638298</v>
      </c>
      <c r="AE629">
        <v>3238.1569968365043</v>
      </c>
      <c r="AF629">
        <v>0.53761609907120744</v>
      </c>
      <c r="AG629">
        <v>48.049349422131847</v>
      </c>
    </row>
    <row r="630" spans="1:33" x14ac:dyDescent="0.25">
      <c r="A630">
        <v>2025</v>
      </c>
      <c r="B630" t="s">
        <v>103</v>
      </c>
      <c r="C630" t="s">
        <v>32</v>
      </c>
      <c r="D630" t="s">
        <v>38</v>
      </c>
      <c r="E630">
        <v>4</v>
      </c>
      <c r="F630">
        <v>404</v>
      </c>
      <c r="G630" s="23">
        <v>45953</v>
      </c>
      <c r="H630">
        <v>295</v>
      </c>
      <c r="I630">
        <v>142</v>
      </c>
      <c r="J630" t="s">
        <v>26</v>
      </c>
      <c r="K630">
        <v>37000</v>
      </c>
      <c r="Q630">
        <v>326.5</v>
      </c>
      <c r="S630">
        <v>627</v>
      </c>
      <c r="T630">
        <v>6859.956236323851</v>
      </c>
      <c r="U630">
        <v>1</v>
      </c>
      <c r="AD630">
        <v>3473.4042553191493</v>
      </c>
      <c r="AE630">
        <v>3444.4250391716751</v>
      </c>
      <c r="AF630">
        <v>0.52073365231259972</v>
      </c>
      <c r="AG630">
        <v>51.110055018081717</v>
      </c>
    </row>
    <row r="631" spans="1:33" x14ac:dyDescent="0.25">
      <c r="A631">
        <v>2025</v>
      </c>
      <c r="B631" t="s">
        <v>103</v>
      </c>
      <c r="C631" t="s">
        <v>28</v>
      </c>
      <c r="D631" t="s">
        <v>38</v>
      </c>
      <c r="E631">
        <v>4</v>
      </c>
      <c r="F631">
        <v>405</v>
      </c>
      <c r="G631" s="23">
        <v>45953</v>
      </c>
      <c r="H631">
        <v>295</v>
      </c>
      <c r="I631">
        <v>142</v>
      </c>
      <c r="J631" t="s">
        <v>26</v>
      </c>
      <c r="K631">
        <v>37000</v>
      </c>
      <c r="Q631">
        <v>326.10000000000002</v>
      </c>
      <c r="S631">
        <v>616</v>
      </c>
      <c r="T631">
        <v>6739.6061269146603</v>
      </c>
      <c r="U631">
        <v>1</v>
      </c>
      <c r="AD631">
        <v>3469.1489361702129</v>
      </c>
      <c r="AE631">
        <v>3313.6352410891946</v>
      </c>
      <c r="AF631">
        <v>0.5293831168831169</v>
      </c>
      <c r="AG631">
        <v>49.169332343098795</v>
      </c>
    </row>
    <row r="632" spans="1:33" x14ac:dyDescent="0.25">
      <c r="A632">
        <v>2025</v>
      </c>
      <c r="B632" t="s">
        <v>103</v>
      </c>
      <c r="C632" t="s">
        <v>27</v>
      </c>
      <c r="D632" t="s">
        <v>38</v>
      </c>
      <c r="E632">
        <v>4</v>
      </c>
      <c r="F632">
        <v>406</v>
      </c>
      <c r="G632" s="23">
        <v>45947</v>
      </c>
      <c r="H632">
        <v>289</v>
      </c>
      <c r="I632">
        <v>136</v>
      </c>
      <c r="J632" t="s">
        <v>26</v>
      </c>
      <c r="K632">
        <v>37000</v>
      </c>
      <c r="Q632">
        <v>439.2</v>
      </c>
      <c r="S632">
        <v>757</v>
      </c>
      <c r="T632">
        <v>8282.2757111597366</v>
      </c>
      <c r="U632">
        <v>1</v>
      </c>
      <c r="AD632">
        <v>4672.3404255319156</v>
      </c>
      <c r="AE632">
        <v>4414.4820071352224</v>
      </c>
      <c r="AF632">
        <v>0.58018494055482162</v>
      </c>
      <c r="AG632">
        <v>65.504232403115907</v>
      </c>
    </row>
    <row r="633" spans="1:33" x14ac:dyDescent="0.25">
      <c r="A633">
        <v>2025</v>
      </c>
      <c r="B633" t="s">
        <v>103</v>
      </c>
      <c r="C633" t="s">
        <v>30</v>
      </c>
      <c r="D633" t="s">
        <v>38</v>
      </c>
      <c r="E633">
        <v>4</v>
      </c>
      <c r="F633">
        <v>407</v>
      </c>
      <c r="G633" s="23">
        <v>45947</v>
      </c>
      <c r="H633">
        <v>289</v>
      </c>
      <c r="I633">
        <v>136</v>
      </c>
      <c r="J633" t="s">
        <v>26</v>
      </c>
      <c r="K633">
        <v>37000</v>
      </c>
      <c r="Q633">
        <v>345.5</v>
      </c>
      <c r="S633">
        <v>638</v>
      </c>
      <c r="T633">
        <v>6980.3063457330409</v>
      </c>
      <c r="U633">
        <v>1</v>
      </c>
      <c r="AD633">
        <v>3675.5319148936173</v>
      </c>
      <c r="AE633">
        <v>3165.9746032839985</v>
      </c>
      <c r="AF633">
        <v>0.54153605015673978</v>
      </c>
      <c r="AG633">
        <v>46.978271937834897</v>
      </c>
    </row>
    <row r="634" spans="1:33" x14ac:dyDescent="0.25">
      <c r="A634">
        <v>2025</v>
      </c>
      <c r="B634" t="s">
        <v>103</v>
      </c>
      <c r="C634" t="s">
        <v>31</v>
      </c>
      <c r="D634" t="s">
        <v>38</v>
      </c>
      <c r="E634">
        <v>4</v>
      </c>
      <c r="F634">
        <v>408</v>
      </c>
      <c r="G634" s="23">
        <v>45953</v>
      </c>
      <c r="H634">
        <v>295</v>
      </c>
      <c r="I634">
        <v>142</v>
      </c>
      <c r="J634" t="s">
        <v>26</v>
      </c>
      <c r="K634">
        <v>37000</v>
      </c>
      <c r="Q634">
        <v>280.7</v>
      </c>
      <c r="S634">
        <v>519</v>
      </c>
      <c r="T634">
        <v>5678.336980306346</v>
      </c>
      <c r="U634">
        <v>1</v>
      </c>
      <c r="AD634">
        <v>2986.1702127659578</v>
      </c>
      <c r="AE634">
        <v>3671.8387374842505</v>
      </c>
      <c r="AF634">
        <v>0.54084778420038537</v>
      </c>
      <c r="AG634">
        <v>54.484530148310228</v>
      </c>
    </row>
    <row r="635" spans="1:33" x14ac:dyDescent="0.25">
      <c r="A635">
        <v>2025</v>
      </c>
      <c r="B635" t="s">
        <v>103</v>
      </c>
      <c r="C635" t="s">
        <v>24</v>
      </c>
      <c r="D635" t="s">
        <v>25</v>
      </c>
      <c r="E635">
        <v>1</v>
      </c>
      <c r="F635">
        <v>501</v>
      </c>
      <c r="G635" s="22">
        <v>45940</v>
      </c>
      <c r="H635">
        <v>282</v>
      </c>
      <c r="I635">
        <v>129</v>
      </c>
      <c r="J635" t="s">
        <v>26</v>
      </c>
      <c r="K635">
        <v>37000</v>
      </c>
      <c r="Q635">
        <v>353.7</v>
      </c>
      <c r="S635">
        <v>783</v>
      </c>
      <c r="T635">
        <v>8566.7396061269137</v>
      </c>
      <c r="U635">
        <v>1</v>
      </c>
      <c r="AD635">
        <v>3762.7659574468089</v>
      </c>
      <c r="AE635">
        <v>3212.638628048956</v>
      </c>
      <c r="AF635">
        <v>0.45172413793103444</v>
      </c>
      <c r="AG635">
        <v>47.670695447122725</v>
      </c>
    </row>
    <row r="636" spans="1:33" x14ac:dyDescent="0.25">
      <c r="A636">
        <v>2025</v>
      </c>
      <c r="B636" t="s">
        <v>103</v>
      </c>
      <c r="C636" t="s">
        <v>105</v>
      </c>
      <c r="D636" t="s">
        <v>25</v>
      </c>
      <c r="E636">
        <v>1</v>
      </c>
      <c r="F636">
        <v>502</v>
      </c>
      <c r="G636" s="23">
        <v>45947</v>
      </c>
      <c r="H636">
        <v>289</v>
      </c>
      <c r="I636">
        <v>136</v>
      </c>
      <c r="J636" t="s">
        <v>26</v>
      </c>
      <c r="K636">
        <v>37000</v>
      </c>
      <c r="Q636">
        <v>282.10000000000002</v>
      </c>
      <c r="S636">
        <v>631</v>
      </c>
      <c r="T636">
        <v>6903.7199124726476</v>
      </c>
      <c r="U636">
        <v>1</v>
      </c>
      <c r="AD636">
        <v>3001.0638297872342</v>
      </c>
      <c r="AE636">
        <v>2680.6361135432967</v>
      </c>
      <c r="AF636">
        <v>0.44706814580031701</v>
      </c>
      <c r="AG636">
        <v>39.77658322899736</v>
      </c>
    </row>
    <row r="637" spans="1:33" x14ac:dyDescent="0.25">
      <c r="A637">
        <v>2025</v>
      </c>
      <c r="B637" t="s">
        <v>103</v>
      </c>
      <c r="C637" t="s">
        <v>27</v>
      </c>
      <c r="D637" t="s">
        <v>25</v>
      </c>
      <c r="E637">
        <v>1</v>
      </c>
      <c r="F637">
        <v>503</v>
      </c>
      <c r="G637" s="22">
        <v>45940</v>
      </c>
      <c r="H637">
        <v>282</v>
      </c>
      <c r="I637">
        <v>129</v>
      </c>
      <c r="J637" t="s">
        <v>26</v>
      </c>
      <c r="K637">
        <v>37000</v>
      </c>
      <c r="Q637">
        <v>341.9</v>
      </c>
      <c r="S637">
        <v>799</v>
      </c>
      <c r="T637">
        <v>8741.7943107220999</v>
      </c>
      <c r="U637">
        <v>1</v>
      </c>
      <c r="AD637">
        <v>3637.2340425531916</v>
      </c>
      <c r="AE637">
        <v>3241.8444337584915</v>
      </c>
      <c r="AF637">
        <v>0.42790988735919899</v>
      </c>
      <c r="AG637">
        <v>48.104065405732925</v>
      </c>
    </row>
    <row r="638" spans="1:33" x14ac:dyDescent="0.25">
      <c r="A638">
        <v>2025</v>
      </c>
      <c r="B638" t="s">
        <v>103</v>
      </c>
      <c r="C638" t="s">
        <v>33</v>
      </c>
      <c r="D638" t="s">
        <v>25</v>
      </c>
      <c r="E638">
        <v>1</v>
      </c>
      <c r="F638">
        <v>504</v>
      </c>
      <c r="G638" s="23">
        <v>45953</v>
      </c>
      <c r="H638">
        <v>295</v>
      </c>
      <c r="I638">
        <v>142</v>
      </c>
      <c r="J638" t="s">
        <v>26</v>
      </c>
      <c r="K638">
        <v>37000</v>
      </c>
      <c r="Q638">
        <v>134.30000000000001</v>
      </c>
      <c r="S638">
        <v>284</v>
      </c>
      <c r="T638">
        <v>3107.2210065645513</v>
      </c>
      <c r="U638">
        <v>1</v>
      </c>
      <c r="AD638">
        <v>1428.7234042553191</v>
      </c>
      <c r="AE638">
        <v>2077.1299549362575</v>
      </c>
      <c r="AF638">
        <v>0.47288732394366201</v>
      </c>
      <c r="AG638">
        <v>30.821465141255594</v>
      </c>
    </row>
    <row r="639" spans="1:33" x14ac:dyDescent="0.25">
      <c r="A639">
        <v>2025</v>
      </c>
      <c r="B639" t="s">
        <v>103</v>
      </c>
      <c r="C639" t="s">
        <v>29</v>
      </c>
      <c r="D639" t="s">
        <v>25</v>
      </c>
      <c r="E639">
        <v>1</v>
      </c>
      <c r="F639">
        <v>505</v>
      </c>
      <c r="G639" s="22">
        <v>45940</v>
      </c>
      <c r="H639">
        <v>282</v>
      </c>
      <c r="I639">
        <v>129</v>
      </c>
      <c r="J639" t="s">
        <v>26</v>
      </c>
      <c r="K639">
        <v>37000</v>
      </c>
      <c r="Q639">
        <v>107.7</v>
      </c>
      <c r="S639">
        <v>331</v>
      </c>
      <c r="T639">
        <v>3621.4442013129101</v>
      </c>
      <c r="U639">
        <v>1</v>
      </c>
      <c r="AD639">
        <v>1145.744680851064</v>
      </c>
      <c r="AE639">
        <v>1277.915529108692</v>
      </c>
      <c r="AF639">
        <v>0.32537764350453174</v>
      </c>
      <c r="AG639">
        <v>18.962332539805608</v>
      </c>
    </row>
    <row r="640" spans="1:33" x14ac:dyDescent="0.25">
      <c r="A640">
        <v>2025</v>
      </c>
      <c r="B640" t="s">
        <v>103</v>
      </c>
      <c r="C640" t="s">
        <v>30</v>
      </c>
      <c r="D640" t="s">
        <v>25</v>
      </c>
      <c r="E640">
        <v>1</v>
      </c>
      <c r="F640">
        <v>506</v>
      </c>
      <c r="G640" s="23">
        <v>45947</v>
      </c>
      <c r="H640">
        <v>289</v>
      </c>
      <c r="I640">
        <v>136</v>
      </c>
      <c r="J640" t="s">
        <v>26</v>
      </c>
      <c r="K640">
        <v>37000</v>
      </c>
      <c r="Q640">
        <v>177.7</v>
      </c>
      <c r="S640">
        <v>351</v>
      </c>
      <c r="T640">
        <v>3840.2625820568924</v>
      </c>
      <c r="U640">
        <v>1</v>
      </c>
      <c r="AD640">
        <v>1890.4255319148938</v>
      </c>
      <c r="AE640">
        <v>1501.3154686477797</v>
      </c>
      <c r="AF640">
        <v>0.50626780626780621</v>
      </c>
      <c r="AG640">
        <v>22.277249563990495</v>
      </c>
    </row>
    <row r="641" spans="1:33" x14ac:dyDescent="0.25">
      <c r="A641">
        <v>2025</v>
      </c>
      <c r="B641" t="s">
        <v>103</v>
      </c>
      <c r="C641" t="s">
        <v>28</v>
      </c>
      <c r="D641" t="s">
        <v>25</v>
      </c>
      <c r="E641">
        <v>1</v>
      </c>
      <c r="F641">
        <v>507</v>
      </c>
      <c r="G641" s="23">
        <v>45953</v>
      </c>
      <c r="H641">
        <v>295</v>
      </c>
      <c r="I641">
        <v>142</v>
      </c>
      <c r="J641" t="s">
        <v>26</v>
      </c>
      <c r="K641">
        <v>37000</v>
      </c>
      <c r="Q641">
        <v>142.69999999999999</v>
      </c>
      <c r="S641">
        <v>311</v>
      </c>
      <c r="T641">
        <v>3402.6258205689273</v>
      </c>
      <c r="U641">
        <v>1</v>
      </c>
      <c r="AD641">
        <v>1518.0851063829789</v>
      </c>
      <c r="AE641">
        <v>1417.9826574294086</v>
      </c>
      <c r="AF641">
        <v>0.45884244372990352</v>
      </c>
      <c r="AG641">
        <v>21.040716755830847</v>
      </c>
    </row>
    <row r="642" spans="1:33" x14ac:dyDescent="0.25">
      <c r="A642">
        <v>2025</v>
      </c>
      <c r="B642" t="s">
        <v>103</v>
      </c>
      <c r="C642" t="s">
        <v>31</v>
      </c>
      <c r="D642" t="s">
        <v>25</v>
      </c>
      <c r="E642">
        <v>1</v>
      </c>
      <c r="F642">
        <v>508</v>
      </c>
      <c r="G642" s="23">
        <v>45953</v>
      </c>
      <c r="H642">
        <v>295</v>
      </c>
      <c r="I642">
        <v>142</v>
      </c>
      <c r="J642" t="s">
        <v>26</v>
      </c>
      <c r="K642">
        <v>37000</v>
      </c>
      <c r="Q642">
        <v>128.4</v>
      </c>
      <c r="S642">
        <v>272</v>
      </c>
      <c r="T642">
        <v>2975.9299781181617</v>
      </c>
      <c r="U642">
        <v>1</v>
      </c>
      <c r="AD642">
        <v>1365.9574468085107</v>
      </c>
      <c r="AE642">
        <v>1344.4460281931638</v>
      </c>
      <c r="AF642">
        <v>0.47205882352941181</v>
      </c>
      <c r="AG642">
        <v>19.949544463397217</v>
      </c>
    </row>
    <row r="643" spans="1:33" x14ac:dyDescent="0.25">
      <c r="A643">
        <v>2025</v>
      </c>
      <c r="B643" t="s">
        <v>103</v>
      </c>
      <c r="C643" t="s">
        <v>32</v>
      </c>
      <c r="D643" t="s">
        <v>25</v>
      </c>
      <c r="E643">
        <v>1</v>
      </c>
      <c r="F643">
        <v>509</v>
      </c>
      <c r="G643" s="23">
        <v>45953</v>
      </c>
      <c r="H643">
        <v>295</v>
      </c>
      <c r="I643">
        <v>142</v>
      </c>
      <c r="J643" t="s">
        <v>26</v>
      </c>
      <c r="K643">
        <v>37000</v>
      </c>
      <c r="Q643">
        <v>150.4</v>
      </c>
      <c r="S643">
        <v>312</v>
      </c>
      <c r="T643">
        <v>3413.5667396061267</v>
      </c>
      <c r="U643">
        <v>1</v>
      </c>
      <c r="AD643">
        <v>1600</v>
      </c>
      <c r="AE643">
        <v>1821.828791194218</v>
      </c>
      <c r="AF643">
        <v>0.48205128205128206</v>
      </c>
      <c r="AG643">
        <v>27.033182227084854</v>
      </c>
    </row>
    <row r="644" spans="1:33" x14ac:dyDescent="0.25">
      <c r="A644">
        <v>2025</v>
      </c>
      <c r="B644" t="s">
        <v>103</v>
      </c>
      <c r="C644" t="s">
        <v>28</v>
      </c>
      <c r="D644" t="s">
        <v>25</v>
      </c>
      <c r="E644">
        <v>2</v>
      </c>
      <c r="F644">
        <v>601</v>
      </c>
      <c r="G644" s="23">
        <v>45953</v>
      </c>
      <c r="H644">
        <v>295</v>
      </c>
      <c r="I644">
        <v>142</v>
      </c>
      <c r="J644" t="s">
        <v>26</v>
      </c>
      <c r="K644">
        <v>37000</v>
      </c>
      <c r="Q644">
        <v>100.6</v>
      </c>
      <c r="S644">
        <v>215</v>
      </c>
      <c r="T644">
        <v>2352.2975929978115</v>
      </c>
      <c r="U644">
        <v>1</v>
      </c>
      <c r="AD644">
        <v>1070.2127659574467</v>
      </c>
      <c r="AE644">
        <v>1520.1246601684238</v>
      </c>
      <c r="AF644">
        <v>0.46790697674418602</v>
      </c>
      <c r="AG644">
        <v>22.556349501580357</v>
      </c>
    </row>
    <row r="645" spans="1:33" x14ac:dyDescent="0.25">
      <c r="A645">
        <v>2025</v>
      </c>
      <c r="B645" t="s">
        <v>103</v>
      </c>
      <c r="C645" t="s">
        <v>29</v>
      </c>
      <c r="D645" t="s">
        <v>25</v>
      </c>
      <c r="E645">
        <v>2</v>
      </c>
      <c r="F645">
        <v>602</v>
      </c>
      <c r="G645" s="22">
        <v>45940</v>
      </c>
      <c r="H645">
        <v>282</v>
      </c>
      <c r="I645">
        <v>129</v>
      </c>
      <c r="J645" t="s">
        <v>26</v>
      </c>
      <c r="K645">
        <v>37000</v>
      </c>
      <c r="Q645">
        <v>100.2</v>
      </c>
      <c r="S645">
        <v>217</v>
      </c>
      <c r="T645">
        <v>2374.1794310722098</v>
      </c>
      <c r="U645">
        <v>1</v>
      </c>
      <c r="AD645">
        <v>1065.9574468085107</v>
      </c>
      <c r="AE645">
        <v>1250.4816510528187</v>
      </c>
      <c r="AF645">
        <v>0.46175115207373274</v>
      </c>
      <c r="AG645">
        <v>18.555255306058573</v>
      </c>
    </row>
    <row r="646" spans="1:33" x14ac:dyDescent="0.25">
      <c r="A646">
        <v>2025</v>
      </c>
      <c r="B646" t="s">
        <v>103</v>
      </c>
      <c r="C646" t="s">
        <v>32</v>
      </c>
      <c r="D646" t="s">
        <v>25</v>
      </c>
      <c r="E646">
        <v>2</v>
      </c>
      <c r="F646">
        <v>603</v>
      </c>
      <c r="G646" s="23">
        <v>45953</v>
      </c>
      <c r="H646">
        <v>295</v>
      </c>
      <c r="I646">
        <v>142</v>
      </c>
      <c r="J646" t="s">
        <v>26</v>
      </c>
      <c r="K646">
        <v>37000</v>
      </c>
      <c r="Q646">
        <v>131.6</v>
      </c>
      <c r="S646">
        <v>270</v>
      </c>
      <c r="T646">
        <v>2954.0481400437634</v>
      </c>
      <c r="U646">
        <v>1</v>
      </c>
      <c r="AD646">
        <v>1400</v>
      </c>
      <c r="AE646">
        <v>1534.6525089973459</v>
      </c>
      <c r="AF646">
        <v>0.4874074074074074</v>
      </c>
      <c r="AG646">
        <v>22.77192079272367</v>
      </c>
    </row>
    <row r="647" spans="1:33" x14ac:dyDescent="0.25">
      <c r="A647">
        <v>2025</v>
      </c>
      <c r="B647" t="s">
        <v>103</v>
      </c>
      <c r="C647" t="s">
        <v>33</v>
      </c>
      <c r="D647" t="s">
        <v>25</v>
      </c>
      <c r="E647">
        <v>2</v>
      </c>
      <c r="F647">
        <v>605</v>
      </c>
      <c r="G647" s="23">
        <v>45953</v>
      </c>
      <c r="H647">
        <v>295</v>
      </c>
      <c r="I647">
        <v>142</v>
      </c>
      <c r="J647" t="s">
        <v>26</v>
      </c>
      <c r="K647">
        <v>37000</v>
      </c>
      <c r="Q647">
        <v>144.30000000000001</v>
      </c>
      <c r="S647">
        <v>286</v>
      </c>
      <c r="T647">
        <v>3129.1028446389496</v>
      </c>
      <c r="U647">
        <v>1</v>
      </c>
      <c r="AD647">
        <v>1535.1063829787233</v>
      </c>
      <c r="AE647">
        <v>1789.0269186811165</v>
      </c>
      <c r="AF647">
        <v>0.50454545454545463</v>
      </c>
      <c r="AG647">
        <v>26.546452079157504</v>
      </c>
    </row>
    <row r="648" spans="1:33" x14ac:dyDescent="0.25">
      <c r="A648">
        <v>2025</v>
      </c>
      <c r="B648" t="s">
        <v>103</v>
      </c>
      <c r="C648" t="s">
        <v>27</v>
      </c>
      <c r="D648" t="s">
        <v>25</v>
      </c>
      <c r="E648">
        <v>2</v>
      </c>
      <c r="F648">
        <v>606</v>
      </c>
      <c r="G648" s="23">
        <v>45947</v>
      </c>
      <c r="H648">
        <v>289</v>
      </c>
      <c r="I648">
        <v>136</v>
      </c>
      <c r="J648" t="s">
        <v>26</v>
      </c>
      <c r="K648">
        <v>37000</v>
      </c>
      <c r="Q648">
        <v>109.30000000000001</v>
      </c>
      <c r="S648">
        <v>232</v>
      </c>
      <c r="T648">
        <v>2538.2932166301966</v>
      </c>
      <c r="U648">
        <v>1</v>
      </c>
      <c r="AD648">
        <v>1162.7659574468084</v>
      </c>
      <c r="AE648">
        <v>1845.3990185282935</v>
      </c>
      <c r="AF648">
        <v>0.47112068965517245</v>
      </c>
      <c r="AG648">
        <v>27.382928731111839</v>
      </c>
    </row>
    <row r="649" spans="1:33" x14ac:dyDescent="0.25">
      <c r="A649">
        <v>2025</v>
      </c>
      <c r="B649" t="s">
        <v>103</v>
      </c>
      <c r="C649" t="s">
        <v>24</v>
      </c>
      <c r="D649" t="s">
        <v>25</v>
      </c>
      <c r="E649">
        <v>2</v>
      </c>
      <c r="F649">
        <v>607</v>
      </c>
      <c r="G649" s="22">
        <v>45940</v>
      </c>
      <c r="H649">
        <v>282</v>
      </c>
      <c r="I649">
        <v>129</v>
      </c>
      <c r="J649" t="s">
        <v>26</v>
      </c>
      <c r="K649">
        <v>37000</v>
      </c>
      <c r="Q649">
        <v>132.30000000000001</v>
      </c>
      <c r="S649">
        <v>292</v>
      </c>
      <c r="T649">
        <v>3194.7483588621444</v>
      </c>
      <c r="U649">
        <v>1</v>
      </c>
      <c r="AD649">
        <v>1407.4468085106382</v>
      </c>
      <c r="AE649">
        <v>1858.7292661621991</v>
      </c>
      <c r="AF649">
        <v>0.45308219178082193</v>
      </c>
      <c r="AG649">
        <v>27.580729432890912</v>
      </c>
    </row>
    <row r="650" spans="1:33" x14ac:dyDescent="0.25">
      <c r="A650">
        <v>2025</v>
      </c>
      <c r="B650" t="s">
        <v>103</v>
      </c>
      <c r="C650" t="s">
        <v>31</v>
      </c>
      <c r="D650" t="s">
        <v>25</v>
      </c>
      <c r="E650">
        <v>2</v>
      </c>
      <c r="F650">
        <v>608</v>
      </c>
      <c r="G650" s="23">
        <v>45953</v>
      </c>
      <c r="H650">
        <v>295</v>
      </c>
      <c r="I650">
        <v>142</v>
      </c>
      <c r="J650" t="s">
        <v>26</v>
      </c>
      <c r="K650">
        <v>37000</v>
      </c>
      <c r="Q650">
        <v>172.4</v>
      </c>
      <c r="S650">
        <v>326</v>
      </c>
      <c r="T650">
        <v>3566.7396061269146</v>
      </c>
      <c r="U650">
        <v>1</v>
      </c>
      <c r="AD650">
        <v>1834.0425531914896</v>
      </c>
      <c r="AE650">
        <v>1690.1513976756485</v>
      </c>
      <c r="AF650">
        <v>0.52883435582822091</v>
      </c>
      <c r="AG650">
        <v>25.079288979058145</v>
      </c>
    </row>
    <row r="651" spans="1:33" x14ac:dyDescent="0.25">
      <c r="A651">
        <v>2025</v>
      </c>
      <c r="B651" t="s">
        <v>103</v>
      </c>
      <c r="C651" t="s">
        <v>30</v>
      </c>
      <c r="D651" t="s">
        <v>25</v>
      </c>
      <c r="E651">
        <v>2</v>
      </c>
      <c r="F651">
        <v>609</v>
      </c>
      <c r="G651" s="23">
        <v>45947</v>
      </c>
      <c r="H651">
        <v>289</v>
      </c>
      <c r="I651">
        <v>136</v>
      </c>
      <c r="J651" t="s">
        <v>26</v>
      </c>
      <c r="K651">
        <v>37000</v>
      </c>
      <c r="Q651">
        <v>206</v>
      </c>
      <c r="S651">
        <v>385</v>
      </c>
      <c r="T651">
        <v>4212.253829321663</v>
      </c>
      <c r="U651">
        <v>1</v>
      </c>
      <c r="AD651">
        <v>2191.489361702128</v>
      </c>
      <c r="AE651">
        <v>1709.6654443955397</v>
      </c>
      <c r="AF651">
        <v>0.53506493506493502</v>
      </c>
      <c r="AG651">
        <v>25.368847901123956</v>
      </c>
    </row>
    <row r="652" spans="1:33" x14ac:dyDescent="0.25">
      <c r="A652">
        <v>2025</v>
      </c>
      <c r="B652" t="s">
        <v>103</v>
      </c>
      <c r="C652" t="s">
        <v>27</v>
      </c>
      <c r="D652" t="s">
        <v>25</v>
      </c>
      <c r="E652">
        <v>3</v>
      </c>
      <c r="F652">
        <v>701</v>
      </c>
      <c r="G652" s="22">
        <v>45940</v>
      </c>
      <c r="H652">
        <v>282</v>
      </c>
      <c r="I652">
        <v>129</v>
      </c>
      <c r="J652" t="s">
        <v>26</v>
      </c>
      <c r="K652">
        <v>37000</v>
      </c>
      <c r="Q652">
        <v>322.3</v>
      </c>
      <c r="S652">
        <v>649</v>
      </c>
      <c r="T652">
        <v>7100.6564551422316</v>
      </c>
      <c r="U652">
        <v>1</v>
      </c>
      <c r="AD652">
        <v>3428.7234042553196</v>
      </c>
      <c r="AE652">
        <v>3391.6587957836082</v>
      </c>
      <c r="AF652">
        <v>0.49661016949152542</v>
      </c>
      <c r="AG652">
        <v>50.327083819117789</v>
      </c>
    </row>
    <row r="653" spans="1:33" x14ac:dyDescent="0.25">
      <c r="A653">
        <v>2025</v>
      </c>
      <c r="B653" t="s">
        <v>103</v>
      </c>
      <c r="C653" t="s">
        <v>33</v>
      </c>
      <c r="D653" t="s">
        <v>25</v>
      </c>
      <c r="E653">
        <v>3</v>
      </c>
      <c r="F653">
        <v>703</v>
      </c>
      <c r="G653" s="23">
        <v>45953</v>
      </c>
      <c r="H653">
        <v>295</v>
      </c>
      <c r="I653">
        <v>142</v>
      </c>
      <c r="J653" t="s">
        <v>26</v>
      </c>
      <c r="K653">
        <v>37000</v>
      </c>
      <c r="Q653">
        <v>215.4</v>
      </c>
      <c r="S653">
        <v>465</v>
      </c>
      <c r="T653">
        <v>5087.5273522975931</v>
      </c>
      <c r="U653">
        <v>1</v>
      </c>
      <c r="AD653">
        <v>2291.489361702128</v>
      </c>
      <c r="AE653">
        <v>2879.3922268568622</v>
      </c>
      <c r="AF653">
        <v>0.46322580645161293</v>
      </c>
      <c r="AG653">
        <v>42.725823166319195</v>
      </c>
    </row>
    <row r="654" spans="1:33" x14ac:dyDescent="0.25">
      <c r="A654">
        <v>2025</v>
      </c>
      <c r="B654" t="s">
        <v>103</v>
      </c>
      <c r="C654" t="s">
        <v>29</v>
      </c>
      <c r="D654" t="s">
        <v>25</v>
      </c>
      <c r="E654">
        <v>3</v>
      </c>
      <c r="F654">
        <v>704</v>
      </c>
      <c r="G654" s="22">
        <v>45940</v>
      </c>
      <c r="H654">
        <v>282</v>
      </c>
      <c r="I654">
        <v>129</v>
      </c>
      <c r="J654" t="s">
        <v>26</v>
      </c>
      <c r="K654">
        <v>37000</v>
      </c>
      <c r="Q654">
        <v>293.7</v>
      </c>
      <c r="S654">
        <v>637</v>
      </c>
      <c r="T654">
        <v>6969.365426695842</v>
      </c>
      <c r="U654">
        <v>1</v>
      </c>
      <c r="AD654">
        <v>3124.4680851063831</v>
      </c>
      <c r="AE654">
        <v>2774.3688021690741</v>
      </c>
      <c r="AF654">
        <v>0.46106750392464674</v>
      </c>
      <c r="AG654">
        <v>41.167434479401777</v>
      </c>
    </row>
    <row r="655" spans="1:33" x14ac:dyDescent="0.25">
      <c r="A655">
        <v>2025</v>
      </c>
      <c r="B655" t="s">
        <v>103</v>
      </c>
      <c r="C655" t="s">
        <v>30</v>
      </c>
      <c r="D655" t="s">
        <v>25</v>
      </c>
      <c r="E655">
        <v>3</v>
      </c>
      <c r="F655">
        <v>705</v>
      </c>
      <c r="G655" s="22">
        <v>45940</v>
      </c>
      <c r="H655">
        <v>282</v>
      </c>
      <c r="I655">
        <v>129</v>
      </c>
      <c r="J655" t="s">
        <v>26</v>
      </c>
      <c r="K655">
        <v>37000</v>
      </c>
      <c r="Q655">
        <v>285.2</v>
      </c>
      <c r="S655">
        <v>640</v>
      </c>
      <c r="T655">
        <v>7002.1881838074396</v>
      </c>
      <c r="U655">
        <v>1</v>
      </c>
      <c r="AD655">
        <v>3034.0425531914893</v>
      </c>
      <c r="AE655">
        <v>2330.0522323808391</v>
      </c>
      <c r="AF655">
        <v>0.44562499999999999</v>
      </c>
      <c r="AG655">
        <v>34.57444898281998</v>
      </c>
    </row>
    <row r="656" spans="1:33" x14ac:dyDescent="0.25">
      <c r="A656">
        <v>2025</v>
      </c>
      <c r="B656" t="s">
        <v>103</v>
      </c>
      <c r="C656" t="s">
        <v>24</v>
      </c>
      <c r="D656" t="s">
        <v>25</v>
      </c>
      <c r="E656">
        <v>3</v>
      </c>
      <c r="F656">
        <v>706</v>
      </c>
      <c r="G656" s="22">
        <v>45940</v>
      </c>
      <c r="H656">
        <v>282</v>
      </c>
      <c r="I656">
        <v>129</v>
      </c>
      <c r="J656" t="s">
        <v>26</v>
      </c>
      <c r="K656">
        <v>37000</v>
      </c>
      <c r="Q656">
        <v>98.3</v>
      </c>
      <c r="S656">
        <v>217</v>
      </c>
      <c r="T656">
        <v>2374.1794310722098</v>
      </c>
      <c r="U656">
        <v>1</v>
      </c>
      <c r="AD656">
        <v>1045.744680851064</v>
      </c>
      <c r="AE656">
        <v>1285.7080949225885</v>
      </c>
      <c r="AF656">
        <v>0.45299539170506908</v>
      </c>
      <c r="AG656">
        <v>19.077962423734231</v>
      </c>
    </row>
    <row r="657" spans="1:33" x14ac:dyDescent="0.25">
      <c r="A657">
        <v>2025</v>
      </c>
      <c r="B657" t="s">
        <v>103</v>
      </c>
      <c r="C657" t="s">
        <v>31</v>
      </c>
      <c r="D657" t="s">
        <v>25</v>
      </c>
      <c r="E657">
        <v>3</v>
      </c>
      <c r="F657">
        <v>707</v>
      </c>
      <c r="G657" s="23">
        <v>45953</v>
      </c>
      <c r="H657">
        <v>295</v>
      </c>
      <c r="I657">
        <v>142</v>
      </c>
      <c r="J657" t="s">
        <v>26</v>
      </c>
      <c r="K657">
        <v>37000</v>
      </c>
      <c r="Q657">
        <v>93.6</v>
      </c>
      <c r="S657">
        <v>192</v>
      </c>
      <c r="T657">
        <v>2100.6564551422316</v>
      </c>
      <c r="U657">
        <v>1</v>
      </c>
      <c r="AD657">
        <v>995.74468085106389</v>
      </c>
      <c r="AE657">
        <v>1223.7069431369814</v>
      </c>
      <c r="AF657">
        <v>0.48749999999999999</v>
      </c>
      <c r="AG657">
        <v>18.157959159645525</v>
      </c>
    </row>
    <row r="658" spans="1:33" x14ac:dyDescent="0.25">
      <c r="A658">
        <v>2025</v>
      </c>
      <c r="B658" t="s">
        <v>103</v>
      </c>
      <c r="C658" t="s">
        <v>28</v>
      </c>
      <c r="D658" t="s">
        <v>25</v>
      </c>
      <c r="E658">
        <v>3</v>
      </c>
      <c r="F658">
        <v>708</v>
      </c>
      <c r="G658" s="23">
        <v>45953</v>
      </c>
      <c r="H658">
        <v>295</v>
      </c>
      <c r="I658">
        <v>142</v>
      </c>
      <c r="J658" t="s">
        <v>26</v>
      </c>
      <c r="K658">
        <v>37000</v>
      </c>
      <c r="Q658">
        <v>120.19999999999999</v>
      </c>
      <c r="S658">
        <v>240</v>
      </c>
      <c r="T658">
        <v>2625.8205689277902</v>
      </c>
      <c r="U658">
        <v>1</v>
      </c>
      <c r="AD658">
        <v>1278.7234042553191</v>
      </c>
      <c r="AE658">
        <v>1347.6961938341353</v>
      </c>
      <c r="AF658">
        <v>0.50083333333333324</v>
      </c>
      <c r="AG658">
        <v>19.997772002925231</v>
      </c>
    </row>
    <row r="659" spans="1:33" x14ac:dyDescent="0.25">
      <c r="A659">
        <v>2025</v>
      </c>
      <c r="B659" t="s">
        <v>103</v>
      </c>
      <c r="C659" t="s">
        <v>32</v>
      </c>
      <c r="D659" t="s">
        <v>25</v>
      </c>
      <c r="E659">
        <v>3</v>
      </c>
      <c r="F659">
        <v>709</v>
      </c>
      <c r="G659" s="23">
        <v>45953</v>
      </c>
      <c r="H659">
        <v>295</v>
      </c>
      <c r="I659">
        <v>142</v>
      </c>
      <c r="J659" t="s">
        <v>26</v>
      </c>
      <c r="K659">
        <v>37000</v>
      </c>
      <c r="Q659">
        <v>152.6</v>
      </c>
      <c r="S659">
        <v>308</v>
      </c>
      <c r="T659">
        <v>3369.8030634573302</v>
      </c>
      <c r="U659">
        <v>1</v>
      </c>
      <c r="AD659">
        <v>1623.4042553191489</v>
      </c>
      <c r="AE659">
        <v>1273.4971312393386</v>
      </c>
      <c r="AF659">
        <v>0.49545454545454543</v>
      </c>
      <c r="AG659">
        <v>18.89677020193318</v>
      </c>
    </row>
    <row r="660" spans="1:33" x14ac:dyDescent="0.25">
      <c r="A660">
        <v>2025</v>
      </c>
      <c r="B660" t="s">
        <v>103</v>
      </c>
      <c r="C660" t="s">
        <v>33</v>
      </c>
      <c r="D660" t="s">
        <v>25</v>
      </c>
      <c r="E660">
        <v>4</v>
      </c>
      <c r="F660">
        <v>801</v>
      </c>
      <c r="G660" s="23">
        <v>45953</v>
      </c>
      <c r="H660">
        <v>295</v>
      </c>
      <c r="I660">
        <v>142</v>
      </c>
      <c r="J660" t="s">
        <v>26</v>
      </c>
      <c r="K660">
        <v>37000</v>
      </c>
      <c r="Q660">
        <v>147.6</v>
      </c>
      <c r="S660">
        <v>288</v>
      </c>
      <c r="T660">
        <v>3150.9846827133479</v>
      </c>
      <c r="U660">
        <v>1</v>
      </c>
      <c r="AD660">
        <v>1570.2127659574469</v>
      </c>
      <c r="AE660">
        <v>1433.7146338903776</v>
      </c>
      <c r="AF660">
        <v>0.51249999999999996</v>
      </c>
      <c r="AG660">
        <v>21.27415547878725</v>
      </c>
    </row>
    <row r="661" spans="1:33" x14ac:dyDescent="0.25">
      <c r="A661">
        <v>2025</v>
      </c>
      <c r="B661" t="s">
        <v>103</v>
      </c>
      <c r="C661" t="s">
        <v>24</v>
      </c>
      <c r="D661" t="s">
        <v>25</v>
      </c>
      <c r="E661">
        <v>4</v>
      </c>
      <c r="F661">
        <v>802</v>
      </c>
      <c r="G661" s="22">
        <v>45940</v>
      </c>
      <c r="H661">
        <v>282</v>
      </c>
      <c r="I661">
        <v>129</v>
      </c>
      <c r="J661" t="s">
        <v>26</v>
      </c>
      <c r="K661">
        <v>37000</v>
      </c>
      <c r="Q661">
        <v>121</v>
      </c>
      <c r="S661">
        <v>266</v>
      </c>
      <c r="T661">
        <v>2910.2844638949668</v>
      </c>
      <c r="U661">
        <v>1</v>
      </c>
      <c r="AD661">
        <v>1287.2340425531916</v>
      </c>
      <c r="AE661">
        <v>1328.8086850691304</v>
      </c>
      <c r="AF661">
        <v>0.45488721804511278</v>
      </c>
      <c r="AG661">
        <v>19.717509955949158</v>
      </c>
    </row>
    <row r="662" spans="1:33" x14ac:dyDescent="0.25">
      <c r="A662">
        <v>2025</v>
      </c>
      <c r="B662" t="s">
        <v>103</v>
      </c>
      <c r="C662" t="s">
        <v>29</v>
      </c>
      <c r="D662" t="s">
        <v>25</v>
      </c>
      <c r="E662">
        <v>4</v>
      </c>
      <c r="F662">
        <v>803</v>
      </c>
      <c r="G662" s="23">
        <v>45947</v>
      </c>
      <c r="H662">
        <v>289</v>
      </c>
      <c r="I662">
        <v>136</v>
      </c>
      <c r="J662" t="s">
        <v>26</v>
      </c>
      <c r="K662">
        <v>37000</v>
      </c>
      <c r="Q662">
        <v>161.5</v>
      </c>
      <c r="S662">
        <v>349</v>
      </c>
      <c r="T662">
        <v>3818.3807439824946</v>
      </c>
      <c r="U662">
        <v>1</v>
      </c>
      <c r="AD662">
        <v>1718.0851063829789</v>
      </c>
      <c r="AE662">
        <v>1413.0584606902255</v>
      </c>
      <c r="AF662">
        <v>0.46275071633237824</v>
      </c>
      <c r="AG662">
        <v>20.967649128172432</v>
      </c>
    </row>
    <row r="663" spans="1:33" x14ac:dyDescent="0.25">
      <c r="A663">
        <v>2025</v>
      </c>
      <c r="B663" t="s">
        <v>103</v>
      </c>
      <c r="C663" t="s">
        <v>32</v>
      </c>
      <c r="D663" t="s">
        <v>25</v>
      </c>
      <c r="E663">
        <v>4</v>
      </c>
      <c r="F663">
        <v>804</v>
      </c>
      <c r="G663" s="23">
        <v>45953</v>
      </c>
      <c r="H663">
        <v>295</v>
      </c>
      <c r="I663">
        <v>142</v>
      </c>
      <c r="J663" t="s">
        <v>26</v>
      </c>
      <c r="K663">
        <v>37000</v>
      </c>
      <c r="Q663">
        <v>137.6</v>
      </c>
      <c r="S663">
        <v>311</v>
      </c>
      <c r="T663">
        <v>3402.6258205689273</v>
      </c>
      <c r="U663">
        <v>1</v>
      </c>
      <c r="AD663">
        <v>1463.8297872340424</v>
      </c>
      <c r="AE663">
        <v>1445.3708504260717</v>
      </c>
      <c r="AF663">
        <v>0.44244372990353698</v>
      </c>
      <c r="AG663">
        <v>21.44711609243593</v>
      </c>
    </row>
    <row r="664" spans="1:33" x14ac:dyDescent="0.25">
      <c r="A664">
        <v>2025</v>
      </c>
      <c r="B664" t="s">
        <v>103</v>
      </c>
      <c r="C664" t="s">
        <v>28</v>
      </c>
      <c r="D664" t="s">
        <v>25</v>
      </c>
      <c r="E664">
        <v>4</v>
      </c>
      <c r="F664">
        <v>805</v>
      </c>
      <c r="G664" s="23">
        <v>45953</v>
      </c>
      <c r="H664">
        <v>295</v>
      </c>
      <c r="I664">
        <v>142</v>
      </c>
      <c r="J664" t="s">
        <v>26</v>
      </c>
      <c r="K664">
        <v>37000</v>
      </c>
      <c r="Q664">
        <v>145.30000000000001</v>
      </c>
      <c r="S664">
        <v>312</v>
      </c>
      <c r="T664">
        <v>3413.5667396061267</v>
      </c>
      <c r="U664">
        <v>1</v>
      </c>
      <c r="AD664">
        <v>1545.744680851064</v>
      </c>
      <c r="AE664">
        <v>1499.5011191534215</v>
      </c>
      <c r="AF664">
        <v>0.46570512820512822</v>
      </c>
      <c r="AG664">
        <v>22.250327363209795</v>
      </c>
    </row>
    <row r="665" spans="1:33" x14ac:dyDescent="0.25">
      <c r="A665">
        <v>2025</v>
      </c>
      <c r="B665" t="s">
        <v>103</v>
      </c>
      <c r="C665" t="s">
        <v>27</v>
      </c>
      <c r="D665" t="s">
        <v>25</v>
      </c>
      <c r="E665">
        <v>4</v>
      </c>
      <c r="F665">
        <v>806</v>
      </c>
      <c r="G665" s="23">
        <v>45947</v>
      </c>
      <c r="H665">
        <v>289</v>
      </c>
      <c r="I665">
        <v>136</v>
      </c>
      <c r="J665" t="s">
        <v>26</v>
      </c>
      <c r="K665">
        <v>37000</v>
      </c>
      <c r="Q665">
        <v>178.9</v>
      </c>
      <c r="S665">
        <v>387</v>
      </c>
      <c r="T665">
        <v>4234.1356673960609</v>
      </c>
      <c r="U665">
        <v>1</v>
      </c>
      <c r="AD665">
        <v>1903.1914893617022</v>
      </c>
      <c r="AE665">
        <v>1479.8369643818394</v>
      </c>
      <c r="AF665">
        <v>0.46227390180878553</v>
      </c>
      <c r="AG665">
        <v>21.958541064820398</v>
      </c>
    </row>
    <row r="666" spans="1:33" x14ac:dyDescent="0.25">
      <c r="A666">
        <v>2025</v>
      </c>
      <c r="B666" t="s">
        <v>103</v>
      </c>
      <c r="C666" t="s">
        <v>30</v>
      </c>
      <c r="D666" t="s">
        <v>25</v>
      </c>
      <c r="E666">
        <v>4</v>
      </c>
      <c r="F666">
        <v>807</v>
      </c>
      <c r="G666" s="23">
        <v>45947</v>
      </c>
      <c r="H666">
        <v>289</v>
      </c>
      <c r="I666">
        <v>136</v>
      </c>
      <c r="J666" t="s">
        <v>26</v>
      </c>
      <c r="K666">
        <v>37000</v>
      </c>
      <c r="Q666">
        <v>225</v>
      </c>
      <c r="S666">
        <v>409</v>
      </c>
      <c r="T666">
        <v>4474.8358862144414</v>
      </c>
      <c r="U666">
        <v>1</v>
      </c>
      <c r="AD666">
        <v>2393.617021276596</v>
      </c>
      <c r="AE666">
        <v>1415.6886148133415</v>
      </c>
      <c r="AF666">
        <v>0.55012224938875309</v>
      </c>
      <c r="AG666">
        <v>21.00667663505957</v>
      </c>
    </row>
    <row r="667" spans="1:33" x14ac:dyDescent="0.25">
      <c r="A667">
        <v>2025</v>
      </c>
      <c r="B667" t="s">
        <v>103</v>
      </c>
      <c r="C667" t="s">
        <v>31</v>
      </c>
      <c r="D667" t="s">
        <v>25</v>
      </c>
      <c r="E667">
        <v>4</v>
      </c>
      <c r="F667">
        <v>808</v>
      </c>
      <c r="G667" s="23">
        <v>45953</v>
      </c>
      <c r="H667">
        <v>295</v>
      </c>
      <c r="I667">
        <v>142</v>
      </c>
      <c r="J667" t="s">
        <v>26</v>
      </c>
      <c r="K667">
        <v>37000</v>
      </c>
      <c r="Q667">
        <v>117.19999999999999</v>
      </c>
      <c r="S667">
        <v>216</v>
      </c>
      <c r="T667">
        <v>2363.2385120350109</v>
      </c>
      <c r="U667">
        <v>1</v>
      </c>
      <c r="AD667">
        <v>1246.808510638298</v>
      </c>
      <c r="AE667">
        <v>1465.7692293635362</v>
      </c>
      <c r="AF667">
        <v>0.54259259259259252</v>
      </c>
      <c r="AG667">
        <v>21.749797166321112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0712-A704-4C8D-8A4B-FB96614D28B8}">
  <dimension ref="B1:R7"/>
  <sheetViews>
    <sheetView workbookViewId="0">
      <selection activeCell="G16" sqref="G16"/>
    </sheetView>
  </sheetViews>
  <sheetFormatPr defaultRowHeight="15" x14ac:dyDescent="0.25"/>
  <sheetData>
    <row r="1" spans="2:18" x14ac:dyDescent="0.25">
      <c r="F1" t="s">
        <v>159</v>
      </c>
      <c r="I1" t="s">
        <v>160</v>
      </c>
      <c r="O1" t="s">
        <v>162</v>
      </c>
      <c r="R1" s="72" t="s">
        <v>160</v>
      </c>
    </row>
    <row r="2" spans="2:18" x14ac:dyDescent="0.25">
      <c r="B2" s="73">
        <v>2025</v>
      </c>
      <c r="C2" s="73" t="s">
        <v>157</v>
      </c>
      <c r="D2" s="73" t="s">
        <v>156</v>
      </c>
      <c r="E2" s="73">
        <f>+AVERAGE('all mm'!R470:R634)</f>
        <v>6599.0537176413591</v>
      </c>
      <c r="F2" s="73">
        <v>5030.8133756804036</v>
      </c>
      <c r="G2" s="73"/>
      <c r="H2" s="73">
        <f>+(F2-F3)/F2</f>
        <v>0.36605124038969078</v>
      </c>
      <c r="I2" s="74">
        <f>+H2</f>
        <v>0.36605124038969078</v>
      </c>
      <c r="K2" s="73">
        <v>2025</v>
      </c>
      <c r="L2" s="73" t="s">
        <v>157</v>
      </c>
      <c r="M2" s="73" t="s">
        <v>161</v>
      </c>
      <c r="N2" s="73">
        <f>+AVERAGE('all mm'!AB470:AB634)</f>
        <v>3426.3768891509171</v>
      </c>
      <c r="O2" s="73">
        <v>3587.0631920960154</v>
      </c>
      <c r="P2" s="73"/>
      <c r="Q2" s="73">
        <f>+(O2-O3)/O2</f>
        <v>0.57337244198224124</v>
      </c>
      <c r="R2" s="74">
        <f>+Q2</f>
        <v>0.57337244198224124</v>
      </c>
    </row>
    <row r="3" spans="2:18" x14ac:dyDescent="0.25">
      <c r="B3" s="73">
        <v>2025</v>
      </c>
      <c r="C3" s="73" t="s">
        <v>158</v>
      </c>
      <c r="D3" s="73" t="s">
        <v>156</v>
      </c>
      <c r="E3" s="73">
        <f>+AVERAGE('all mm'!R635:R660)</f>
        <v>3068.6398710123231</v>
      </c>
      <c r="F3" s="73">
        <v>3189.2778993435445</v>
      </c>
      <c r="G3" s="73"/>
      <c r="H3" s="73"/>
      <c r="I3" s="73"/>
      <c r="K3" s="73">
        <v>2025</v>
      </c>
      <c r="L3" s="73" t="s">
        <v>158</v>
      </c>
      <c r="M3" s="73" t="s">
        <v>161</v>
      </c>
      <c r="N3" s="73">
        <f>+AVERAGE('all mm'!AB635:AB660)</f>
        <v>1468.5016699297478</v>
      </c>
      <c r="O3" s="73">
        <v>1530.3400100993097</v>
      </c>
      <c r="P3" s="73"/>
      <c r="Q3" s="73"/>
      <c r="R3" s="74"/>
    </row>
    <row r="4" spans="2:18" x14ac:dyDescent="0.25">
      <c r="B4" s="75">
        <v>2024</v>
      </c>
      <c r="C4" s="75" t="s">
        <v>157</v>
      </c>
      <c r="D4" s="75" t="s">
        <v>156</v>
      </c>
      <c r="E4" s="75">
        <f>+AVERAGE('all mm'!R2:R136)</f>
        <v>1922.8882456417289</v>
      </c>
      <c r="F4" s="75">
        <v>5771.8935471472878</v>
      </c>
      <c r="G4" s="75"/>
      <c r="H4" s="75">
        <f>+(F4-F5)/F4</f>
        <v>0.24787651285646831</v>
      </c>
      <c r="I4" s="76">
        <f>+H4</f>
        <v>0.24787651285646831</v>
      </c>
      <c r="K4" s="75">
        <v>2024</v>
      </c>
      <c r="L4" s="75" t="s">
        <v>157</v>
      </c>
      <c r="M4" s="75" t="s">
        <v>161</v>
      </c>
      <c r="N4" s="75" t="e">
        <f>+AVERAGE('all mm'!AB2:AB136)</f>
        <v>#DIV/0!</v>
      </c>
      <c r="O4" s="75">
        <v>3479.2214060707033</v>
      </c>
      <c r="P4" s="75"/>
      <c r="Q4" s="75">
        <f>+(O4-O5)/O4</f>
        <v>0.56344229843173366</v>
      </c>
      <c r="R4" s="76">
        <f>+Q4</f>
        <v>0.56344229843173366</v>
      </c>
    </row>
    <row r="5" spans="2:18" x14ac:dyDescent="0.25">
      <c r="B5" s="75">
        <v>2024</v>
      </c>
      <c r="C5" s="75" t="s">
        <v>155</v>
      </c>
      <c r="D5" s="75" t="s">
        <v>156</v>
      </c>
      <c r="E5" s="75">
        <f>+AVERAGE('all mm'!R138:R468)</f>
        <v>5218.1706633230087</v>
      </c>
      <c r="F5" s="75">
        <v>4341.1767021016667</v>
      </c>
      <c r="G5" s="75"/>
      <c r="H5" s="75"/>
      <c r="I5" s="75"/>
      <c r="K5" s="75">
        <v>2024</v>
      </c>
      <c r="L5" s="75" t="s">
        <v>155</v>
      </c>
      <c r="M5" s="75" t="s">
        <v>161</v>
      </c>
      <c r="N5" s="75">
        <f>+AVERAGE('all mm'!AB138:AB468)</f>
        <v>2593.8619858560869</v>
      </c>
      <c r="O5" s="75">
        <v>1518.880900281338</v>
      </c>
      <c r="P5" s="75"/>
      <c r="Q5" s="75"/>
      <c r="R5" s="76"/>
    </row>
    <row r="6" spans="2:18" x14ac:dyDescent="0.25">
      <c r="R6" s="72"/>
    </row>
    <row r="7" spans="2:18" x14ac:dyDescent="0.25">
      <c r="R7" s="7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D1A7-FE9F-42ED-9F0F-042DDB7A6C07}">
  <dimension ref="A6:S66"/>
  <sheetViews>
    <sheetView topLeftCell="A31" zoomScale="110" zoomScaleNormal="110" workbookViewId="0">
      <selection activeCell="S55" sqref="S55"/>
    </sheetView>
  </sheetViews>
  <sheetFormatPr defaultRowHeight="15" x14ac:dyDescent="0.25"/>
  <cols>
    <col min="5" max="5" width="11" bestFit="1" customWidth="1"/>
    <col min="8" max="8" width="11" bestFit="1" customWidth="1"/>
    <col min="11" max="11" width="11" bestFit="1" customWidth="1"/>
    <col min="13" max="13" width="9.7109375" customWidth="1"/>
    <col min="18" max="18" width="9.42578125" bestFit="1" customWidth="1"/>
  </cols>
  <sheetData>
    <row r="6" spans="1:13" x14ac:dyDescent="0.25">
      <c r="C6" s="79" t="s">
        <v>25</v>
      </c>
      <c r="D6" s="79"/>
      <c r="E6" s="79"/>
      <c r="F6" s="79"/>
      <c r="G6" s="79"/>
      <c r="I6" s="79" t="s">
        <v>38</v>
      </c>
      <c r="J6" s="79"/>
      <c r="K6" s="79"/>
      <c r="L6" s="79"/>
      <c r="M6" s="79"/>
    </row>
    <row r="8" spans="1:13" x14ac:dyDescent="0.25">
      <c r="C8" s="80" t="s">
        <v>113</v>
      </c>
      <c r="D8" s="80"/>
      <c r="E8" s="80"/>
      <c r="F8" s="80"/>
      <c r="G8" s="80"/>
      <c r="H8" s="80"/>
      <c r="I8" s="80"/>
      <c r="J8" s="80"/>
      <c r="K8" s="80"/>
      <c r="L8" s="80"/>
      <c r="M8" s="80"/>
    </row>
    <row r="10" spans="1:13" x14ac:dyDescent="0.25">
      <c r="A10" s="36" t="s">
        <v>114</v>
      </c>
      <c r="B10" s="81" t="s">
        <v>115</v>
      </c>
      <c r="C10" s="37">
        <v>12</v>
      </c>
      <c r="D10" s="81" t="s">
        <v>116</v>
      </c>
      <c r="E10" s="37">
        <v>24</v>
      </c>
      <c r="F10" s="81" t="s">
        <v>117</v>
      </c>
      <c r="G10" s="37">
        <v>36</v>
      </c>
      <c r="H10" s="81" t="s">
        <v>115</v>
      </c>
      <c r="I10" s="37">
        <v>48</v>
      </c>
      <c r="J10" s="81" t="s">
        <v>116</v>
      </c>
      <c r="K10" s="37">
        <v>60</v>
      </c>
      <c r="L10" s="81" t="s">
        <v>117</v>
      </c>
      <c r="M10" s="37">
        <v>72</v>
      </c>
    </row>
    <row r="11" spans="1:13" x14ac:dyDescent="0.25">
      <c r="A11" s="36" t="s">
        <v>118</v>
      </c>
      <c r="B11" s="81"/>
      <c r="C11" s="37">
        <v>11</v>
      </c>
      <c r="D11" s="81"/>
      <c r="E11" s="37">
        <v>23</v>
      </c>
      <c r="F11" s="81"/>
      <c r="G11" s="37">
        <v>35</v>
      </c>
      <c r="H11" s="81"/>
      <c r="I11" s="37">
        <v>47</v>
      </c>
      <c r="J11" s="81"/>
      <c r="K11" s="37">
        <v>59</v>
      </c>
      <c r="L11" s="81"/>
      <c r="M11" s="37">
        <v>71</v>
      </c>
    </row>
    <row r="12" spans="1:13" x14ac:dyDescent="0.25">
      <c r="A12" s="36" t="s">
        <v>119</v>
      </c>
      <c r="B12" s="81"/>
      <c r="C12" s="40">
        <v>10</v>
      </c>
      <c r="D12" s="81"/>
      <c r="E12" s="37">
        <v>22</v>
      </c>
      <c r="F12" s="81"/>
      <c r="G12" s="37">
        <v>34</v>
      </c>
      <c r="H12" s="81"/>
      <c r="I12" s="37">
        <v>46</v>
      </c>
      <c r="J12" s="81"/>
      <c r="K12" s="37">
        <v>58</v>
      </c>
      <c r="L12" s="81"/>
      <c r="M12" s="37">
        <v>70</v>
      </c>
    </row>
    <row r="13" spans="1:13" x14ac:dyDescent="0.25">
      <c r="A13" s="36" t="s">
        <v>120</v>
      </c>
      <c r="B13" s="81"/>
      <c r="C13" s="40">
        <v>9</v>
      </c>
      <c r="D13" s="81"/>
      <c r="E13" s="40">
        <v>21</v>
      </c>
      <c r="F13" s="81"/>
      <c r="G13" s="40">
        <v>33</v>
      </c>
      <c r="H13" s="81"/>
      <c r="I13" s="40">
        <v>45</v>
      </c>
      <c r="J13" s="81"/>
      <c r="K13" s="37">
        <v>57</v>
      </c>
      <c r="L13" s="81"/>
      <c r="M13" s="40">
        <v>69</v>
      </c>
    </row>
    <row r="14" spans="1:13" x14ac:dyDescent="0.25">
      <c r="A14" s="36" t="s">
        <v>121</v>
      </c>
      <c r="B14" s="81"/>
      <c r="C14" s="37">
        <v>8</v>
      </c>
      <c r="D14" s="81"/>
      <c r="E14" s="37">
        <v>20</v>
      </c>
      <c r="F14" s="81"/>
      <c r="G14" s="37">
        <v>32</v>
      </c>
      <c r="H14" s="81"/>
      <c r="I14" s="37">
        <v>44</v>
      </c>
      <c r="J14" s="81"/>
      <c r="K14" s="37">
        <v>56</v>
      </c>
      <c r="L14" s="81"/>
      <c r="M14" s="37">
        <v>68</v>
      </c>
    </row>
    <row r="15" spans="1:13" x14ac:dyDescent="0.25">
      <c r="A15" s="36" t="s">
        <v>122</v>
      </c>
      <c r="B15" s="81"/>
      <c r="C15" s="37">
        <v>7</v>
      </c>
      <c r="D15" s="81"/>
      <c r="E15" s="37">
        <v>19</v>
      </c>
      <c r="F15" s="81"/>
      <c r="G15" s="40">
        <v>31</v>
      </c>
      <c r="H15" s="81"/>
      <c r="I15" s="37">
        <v>43</v>
      </c>
      <c r="J15" s="81"/>
      <c r="K15" s="37">
        <v>55</v>
      </c>
      <c r="L15" s="81"/>
      <c r="M15" s="40">
        <v>67</v>
      </c>
    </row>
    <row r="16" spans="1:13" x14ac:dyDescent="0.25">
      <c r="A16" s="36" t="s">
        <v>123</v>
      </c>
      <c r="B16" s="81"/>
      <c r="C16" s="37">
        <v>6</v>
      </c>
      <c r="D16" s="81"/>
      <c r="E16" s="40">
        <v>18</v>
      </c>
      <c r="F16" s="81"/>
      <c r="G16" s="37">
        <v>30</v>
      </c>
      <c r="H16" s="81"/>
      <c r="I16" s="37">
        <v>42</v>
      </c>
      <c r="J16" s="81"/>
      <c r="K16" s="40">
        <v>54</v>
      </c>
      <c r="L16" s="81"/>
      <c r="M16" s="37">
        <v>66</v>
      </c>
    </row>
    <row r="17" spans="1:17" x14ac:dyDescent="0.25">
      <c r="A17" s="36" t="s">
        <v>124</v>
      </c>
      <c r="B17" s="81"/>
      <c r="C17" s="37">
        <v>5</v>
      </c>
      <c r="D17" s="81"/>
      <c r="E17" s="37">
        <v>17</v>
      </c>
      <c r="F17" s="81"/>
      <c r="G17" s="37">
        <v>29</v>
      </c>
      <c r="H17" s="81"/>
      <c r="I17" s="37">
        <v>41</v>
      </c>
      <c r="J17" s="81"/>
      <c r="K17" s="37">
        <v>53</v>
      </c>
      <c r="L17" s="81"/>
      <c r="M17" s="37">
        <v>65</v>
      </c>
    </row>
    <row r="18" spans="1:17" x14ac:dyDescent="0.25">
      <c r="A18" s="36" t="s">
        <v>125</v>
      </c>
      <c r="B18" s="81"/>
      <c r="C18" s="40">
        <v>4</v>
      </c>
      <c r="D18" s="81"/>
      <c r="E18" s="37">
        <v>16</v>
      </c>
      <c r="F18" s="81"/>
      <c r="G18" s="40">
        <v>28</v>
      </c>
      <c r="H18" s="81"/>
      <c r="I18" s="40">
        <v>40</v>
      </c>
      <c r="J18" s="81"/>
      <c r="K18" s="37">
        <v>52</v>
      </c>
      <c r="L18" s="81"/>
      <c r="M18" s="40">
        <v>64</v>
      </c>
    </row>
    <row r="19" spans="1:17" x14ac:dyDescent="0.25">
      <c r="A19" s="36" t="s">
        <v>126</v>
      </c>
      <c r="B19" s="81"/>
      <c r="C19" s="37">
        <v>3</v>
      </c>
      <c r="D19" s="81"/>
      <c r="E19" s="40">
        <v>15</v>
      </c>
      <c r="F19" s="81"/>
      <c r="G19" s="37">
        <v>27</v>
      </c>
      <c r="H19" s="81"/>
      <c r="I19" s="37">
        <v>39</v>
      </c>
      <c r="J19" s="81"/>
      <c r="K19" s="40">
        <v>51</v>
      </c>
      <c r="L19" s="81"/>
      <c r="M19" s="37">
        <v>63</v>
      </c>
    </row>
    <row r="20" spans="1:17" x14ac:dyDescent="0.25">
      <c r="A20" s="36" t="s">
        <v>127</v>
      </c>
      <c r="B20" s="81"/>
      <c r="C20" s="37">
        <v>2</v>
      </c>
      <c r="D20" s="81"/>
      <c r="E20" s="37">
        <v>14</v>
      </c>
      <c r="F20" s="81"/>
      <c r="G20" s="40">
        <v>26</v>
      </c>
      <c r="H20" s="81"/>
      <c r="I20" s="37">
        <v>38</v>
      </c>
      <c r="J20" s="81"/>
      <c r="K20" s="37">
        <v>50</v>
      </c>
      <c r="L20" s="81"/>
      <c r="M20" s="40">
        <v>62</v>
      </c>
    </row>
    <row r="21" spans="1:17" x14ac:dyDescent="0.25">
      <c r="A21" s="36" t="s">
        <v>128</v>
      </c>
      <c r="B21" s="81"/>
      <c r="C21" s="37">
        <v>1</v>
      </c>
      <c r="D21" s="81"/>
      <c r="E21" s="40">
        <v>13</v>
      </c>
      <c r="F21" s="81"/>
      <c r="G21" s="37">
        <v>25</v>
      </c>
      <c r="H21" s="81"/>
      <c r="I21" s="37">
        <v>37</v>
      </c>
      <c r="J21" s="81"/>
      <c r="K21" s="40">
        <v>49</v>
      </c>
      <c r="L21" s="81"/>
      <c r="M21" s="37">
        <v>61</v>
      </c>
    </row>
    <row r="22" spans="1:17" x14ac:dyDescent="0.25">
      <c r="P22" s="42" t="s">
        <v>140</v>
      </c>
      <c r="Q22" s="42" t="s">
        <v>139</v>
      </c>
    </row>
    <row r="23" spans="1:17" x14ac:dyDescent="0.25">
      <c r="C23" s="38" t="s">
        <v>129</v>
      </c>
      <c r="D23" s="38"/>
      <c r="E23" s="38" t="s">
        <v>130</v>
      </c>
      <c r="F23" s="38"/>
      <c r="G23" s="38" t="s">
        <v>131</v>
      </c>
      <c r="H23" s="38"/>
      <c r="I23" s="38" t="s">
        <v>132</v>
      </c>
      <c r="J23" s="38"/>
      <c r="K23" s="38" t="s">
        <v>133</v>
      </c>
      <c r="L23" s="38"/>
      <c r="M23" s="38" t="s">
        <v>134</v>
      </c>
    </row>
    <row r="34" spans="1:19" x14ac:dyDescent="0.25">
      <c r="A34" s="82" t="s">
        <v>25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</row>
    <row r="36" spans="1:19" x14ac:dyDescent="0.25">
      <c r="A36" s="36" t="s">
        <v>114</v>
      </c>
      <c r="B36" s="3"/>
      <c r="C36" s="81" t="s">
        <v>115</v>
      </c>
      <c r="D36" s="37">
        <v>12</v>
      </c>
      <c r="E36" s="39" t="s">
        <v>135</v>
      </c>
      <c r="F36" s="81" t="s">
        <v>116</v>
      </c>
      <c r="G36" s="37">
        <v>24</v>
      </c>
      <c r="H36" s="38" t="s">
        <v>28</v>
      </c>
      <c r="I36" s="81" t="s">
        <v>117</v>
      </c>
      <c r="J36" s="37">
        <v>36</v>
      </c>
      <c r="K36" s="38" t="s">
        <v>32</v>
      </c>
    </row>
    <row r="37" spans="1:19" x14ac:dyDescent="0.25">
      <c r="A37" s="36" t="s">
        <v>118</v>
      </c>
      <c r="B37" s="3"/>
      <c r="C37" s="81"/>
      <c r="D37" s="37">
        <v>11</v>
      </c>
      <c r="E37" s="39" t="s">
        <v>136</v>
      </c>
      <c r="F37" s="81"/>
      <c r="G37" s="37">
        <v>23</v>
      </c>
      <c r="H37" s="38" t="s">
        <v>31</v>
      </c>
      <c r="I37" s="81"/>
      <c r="J37" s="37">
        <v>35</v>
      </c>
      <c r="K37" s="38" t="s">
        <v>30</v>
      </c>
    </row>
    <row r="38" spans="1:19" x14ac:dyDescent="0.25">
      <c r="A38" s="36" t="s">
        <v>119</v>
      </c>
      <c r="B38" s="3"/>
      <c r="C38" s="81"/>
      <c r="D38" s="43">
        <v>10</v>
      </c>
      <c r="E38" s="44" t="s">
        <v>137</v>
      </c>
      <c r="F38" s="81"/>
      <c r="G38" s="37">
        <v>22</v>
      </c>
      <c r="H38" s="38" t="s">
        <v>135</v>
      </c>
      <c r="I38" s="81"/>
      <c r="J38" s="37">
        <v>34</v>
      </c>
      <c r="K38" s="38" t="s">
        <v>31</v>
      </c>
    </row>
    <row r="39" spans="1:19" x14ac:dyDescent="0.25">
      <c r="A39" s="36" t="s">
        <v>120</v>
      </c>
      <c r="B39" s="3"/>
      <c r="C39" s="81"/>
      <c r="D39" s="43">
        <v>9</v>
      </c>
      <c r="E39" s="44" t="s">
        <v>138</v>
      </c>
      <c r="F39" s="81"/>
      <c r="G39" s="43">
        <v>21</v>
      </c>
      <c r="H39" s="44" t="s">
        <v>24</v>
      </c>
      <c r="I39" s="81"/>
      <c r="J39" s="43">
        <v>33</v>
      </c>
      <c r="K39" s="44" t="s">
        <v>29</v>
      </c>
    </row>
    <row r="40" spans="1:19" x14ac:dyDescent="0.25">
      <c r="A40" s="36" t="s">
        <v>121</v>
      </c>
      <c r="B40" s="3"/>
      <c r="C40" s="81"/>
      <c r="D40" s="37">
        <v>8</v>
      </c>
      <c r="E40" s="39" t="s">
        <v>33</v>
      </c>
      <c r="F40" s="81"/>
      <c r="G40" s="37">
        <v>20</v>
      </c>
      <c r="H40" s="38" t="s">
        <v>136</v>
      </c>
      <c r="I40" s="81"/>
      <c r="J40" s="37">
        <v>32</v>
      </c>
      <c r="K40" s="38" t="s">
        <v>28</v>
      </c>
      <c r="M40" s="44" t="s">
        <v>29</v>
      </c>
      <c r="N40" s="35" t="s">
        <v>110</v>
      </c>
    </row>
    <row r="41" spans="1:19" x14ac:dyDescent="0.25">
      <c r="A41" s="36" t="s">
        <v>122</v>
      </c>
      <c r="B41" s="3"/>
      <c r="C41" s="81"/>
      <c r="D41" s="37">
        <v>7</v>
      </c>
      <c r="E41" s="39" t="s">
        <v>32</v>
      </c>
      <c r="F41" s="81"/>
      <c r="G41" s="37">
        <v>19</v>
      </c>
      <c r="H41" s="38" t="s">
        <v>30</v>
      </c>
      <c r="I41" s="81"/>
      <c r="J41" s="43">
        <v>31</v>
      </c>
      <c r="K41" s="44" t="s">
        <v>137</v>
      </c>
      <c r="M41" s="44" t="s">
        <v>137</v>
      </c>
    </row>
    <row r="42" spans="1:19" x14ac:dyDescent="0.25">
      <c r="A42" s="36" t="s">
        <v>123</v>
      </c>
      <c r="B42" s="3"/>
      <c r="C42" s="81"/>
      <c r="D42" s="37">
        <v>6</v>
      </c>
      <c r="E42" s="39" t="s">
        <v>31</v>
      </c>
      <c r="F42" s="81"/>
      <c r="G42" s="43">
        <v>18</v>
      </c>
      <c r="H42" s="44" t="s">
        <v>29</v>
      </c>
      <c r="I42" s="81"/>
      <c r="J42" s="37">
        <v>30</v>
      </c>
      <c r="K42" s="38" t="s">
        <v>136</v>
      </c>
      <c r="M42" s="44" t="s">
        <v>138</v>
      </c>
    </row>
    <row r="43" spans="1:19" x14ac:dyDescent="0.25">
      <c r="A43" s="36" t="s">
        <v>124</v>
      </c>
      <c r="B43" s="3"/>
      <c r="C43" s="81"/>
      <c r="D43" s="37">
        <v>5</v>
      </c>
      <c r="E43" s="39" t="s">
        <v>30</v>
      </c>
      <c r="F43" s="81"/>
      <c r="G43" s="37">
        <v>17</v>
      </c>
      <c r="H43" s="38" t="s">
        <v>32</v>
      </c>
      <c r="I43" s="81"/>
      <c r="J43" s="37">
        <v>29</v>
      </c>
      <c r="K43" s="38" t="s">
        <v>135</v>
      </c>
    </row>
    <row r="44" spans="1:19" x14ac:dyDescent="0.25">
      <c r="A44" s="36" t="s">
        <v>125</v>
      </c>
      <c r="B44" s="3"/>
      <c r="C44" s="81"/>
      <c r="D44" s="43">
        <v>4</v>
      </c>
      <c r="E44" s="44" t="s">
        <v>29</v>
      </c>
      <c r="F44" s="81"/>
      <c r="G44" s="37">
        <v>16</v>
      </c>
      <c r="H44" s="38" t="s">
        <v>27</v>
      </c>
      <c r="I44" s="81"/>
      <c r="J44" s="43">
        <v>28</v>
      </c>
      <c r="K44" s="44" t="s">
        <v>138</v>
      </c>
    </row>
    <row r="45" spans="1:19" x14ac:dyDescent="0.25">
      <c r="A45" s="36" t="s">
        <v>126</v>
      </c>
      <c r="B45" s="3"/>
      <c r="C45" s="81"/>
      <c r="D45" s="37">
        <v>3</v>
      </c>
      <c r="E45" s="39" t="s">
        <v>28</v>
      </c>
      <c r="F45" s="81"/>
      <c r="G45" s="43">
        <v>15</v>
      </c>
      <c r="H45" s="44" t="s">
        <v>138</v>
      </c>
      <c r="I45" s="81"/>
      <c r="J45" s="37">
        <v>27</v>
      </c>
      <c r="K45" s="38" t="s">
        <v>33</v>
      </c>
      <c r="M45" s="44" t="s">
        <v>24</v>
      </c>
      <c r="N45" t="s">
        <v>141</v>
      </c>
    </row>
    <row r="46" spans="1:19" x14ac:dyDescent="0.25">
      <c r="A46" s="36" t="s">
        <v>127</v>
      </c>
      <c r="B46" s="3"/>
      <c r="C46" s="81"/>
      <c r="D46" s="37">
        <v>2</v>
      </c>
      <c r="E46" s="39" t="s">
        <v>27</v>
      </c>
      <c r="F46" s="81"/>
      <c r="G46" s="37">
        <v>14</v>
      </c>
      <c r="H46" s="38" t="s">
        <v>33</v>
      </c>
      <c r="I46" s="81"/>
      <c r="J46" s="43">
        <v>26</v>
      </c>
      <c r="K46" s="44" t="s">
        <v>24</v>
      </c>
    </row>
    <row r="47" spans="1:19" x14ac:dyDescent="0.25">
      <c r="A47" s="36" t="s">
        <v>128</v>
      </c>
      <c r="B47" s="3"/>
      <c r="C47" s="81"/>
      <c r="D47" s="37">
        <v>1</v>
      </c>
      <c r="E47" s="39" t="s">
        <v>24</v>
      </c>
      <c r="F47" s="81"/>
      <c r="G47" s="43">
        <v>13</v>
      </c>
      <c r="H47" s="44" t="s">
        <v>137</v>
      </c>
      <c r="I47" s="81"/>
      <c r="J47" s="37">
        <v>25</v>
      </c>
      <c r="K47" s="38" t="s">
        <v>27</v>
      </c>
    </row>
    <row r="48" spans="1:19" x14ac:dyDescent="0.25">
      <c r="R48" s="61">
        <v>45428</v>
      </c>
      <c r="S48" t="s">
        <v>144</v>
      </c>
    </row>
    <row r="49" spans="1:19" x14ac:dyDescent="0.25">
      <c r="D49" s="38" t="s">
        <v>129</v>
      </c>
      <c r="E49" s="38"/>
      <c r="F49" s="38"/>
      <c r="G49" s="38" t="s">
        <v>130</v>
      </c>
      <c r="H49" s="38"/>
      <c r="I49" s="38"/>
      <c r="J49" s="38" t="s">
        <v>131</v>
      </c>
      <c r="K49" s="38"/>
      <c r="R49" s="63">
        <v>45429</v>
      </c>
      <c r="S49" t="s">
        <v>145</v>
      </c>
    </row>
    <row r="51" spans="1:19" x14ac:dyDescent="0.25">
      <c r="A51" s="82" t="s">
        <v>38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</row>
    <row r="53" spans="1:19" x14ac:dyDescent="0.25">
      <c r="A53" s="36" t="s">
        <v>114</v>
      </c>
      <c r="B53" s="3"/>
      <c r="C53" s="81" t="s">
        <v>115</v>
      </c>
      <c r="D53" s="37">
        <v>48</v>
      </c>
      <c r="E53" s="39" t="s">
        <v>135</v>
      </c>
      <c r="F53" s="81" t="s">
        <v>116</v>
      </c>
      <c r="G53" s="37">
        <v>60</v>
      </c>
      <c r="H53" s="38" t="s">
        <v>28</v>
      </c>
      <c r="I53" s="81" t="s">
        <v>117</v>
      </c>
      <c r="J53" s="37">
        <v>72</v>
      </c>
      <c r="K53" s="38" t="s">
        <v>32</v>
      </c>
    </row>
    <row r="54" spans="1:19" x14ac:dyDescent="0.25">
      <c r="A54" s="36" t="s">
        <v>118</v>
      </c>
      <c r="B54" s="3"/>
      <c r="C54" s="81"/>
      <c r="D54" s="37">
        <v>47</v>
      </c>
      <c r="E54" s="39" t="s">
        <v>136</v>
      </c>
      <c r="F54" s="81"/>
      <c r="G54" s="37">
        <v>59</v>
      </c>
      <c r="H54" s="38" t="s">
        <v>31</v>
      </c>
      <c r="I54" s="81"/>
      <c r="J54" s="37">
        <v>71</v>
      </c>
      <c r="K54" s="38" t="s">
        <v>30</v>
      </c>
    </row>
    <row r="55" spans="1:19" x14ac:dyDescent="0.25">
      <c r="A55" s="36" t="s">
        <v>119</v>
      </c>
      <c r="B55" s="3"/>
      <c r="C55" s="81"/>
      <c r="D55" s="37">
        <v>46</v>
      </c>
      <c r="E55" s="39" t="s">
        <v>137</v>
      </c>
      <c r="F55" s="81"/>
      <c r="G55" s="37">
        <v>58</v>
      </c>
      <c r="H55" s="38" t="s">
        <v>135</v>
      </c>
      <c r="I55" s="81"/>
      <c r="J55" s="37">
        <v>70</v>
      </c>
      <c r="K55" s="38" t="s">
        <v>31</v>
      </c>
    </row>
    <row r="56" spans="1:19" x14ac:dyDescent="0.25">
      <c r="A56" s="36" t="s">
        <v>120</v>
      </c>
      <c r="B56" s="3"/>
      <c r="C56" s="81"/>
      <c r="D56" s="43">
        <v>45</v>
      </c>
      <c r="E56" s="44" t="s">
        <v>138</v>
      </c>
      <c r="F56" s="81"/>
      <c r="G56" s="37">
        <v>57</v>
      </c>
      <c r="H56" s="38" t="s">
        <v>24</v>
      </c>
      <c r="I56" s="81"/>
      <c r="J56" s="43">
        <v>69</v>
      </c>
      <c r="K56" s="44" t="s">
        <v>29</v>
      </c>
      <c r="M56" s="44" t="s">
        <v>29</v>
      </c>
    </row>
    <row r="57" spans="1:19" x14ac:dyDescent="0.25">
      <c r="A57" s="36" t="s">
        <v>121</v>
      </c>
      <c r="B57" s="3"/>
      <c r="C57" s="81"/>
      <c r="D57" s="37">
        <v>44</v>
      </c>
      <c r="E57" s="39" t="s">
        <v>33</v>
      </c>
      <c r="F57" s="81"/>
      <c r="G57" s="37">
        <v>56</v>
      </c>
      <c r="H57" s="38" t="s">
        <v>136</v>
      </c>
      <c r="I57" s="81"/>
      <c r="J57" s="37">
        <v>68</v>
      </c>
      <c r="K57" s="38" t="s">
        <v>28</v>
      </c>
      <c r="M57" s="44" t="s">
        <v>138</v>
      </c>
    </row>
    <row r="58" spans="1:19" x14ac:dyDescent="0.25">
      <c r="A58" s="36" t="s">
        <v>122</v>
      </c>
      <c r="B58" s="3"/>
      <c r="C58" s="81"/>
      <c r="D58" s="37">
        <v>43</v>
      </c>
      <c r="E58" s="39" t="s">
        <v>32</v>
      </c>
      <c r="F58" s="81"/>
      <c r="G58" s="37">
        <v>55</v>
      </c>
      <c r="H58" s="38" t="s">
        <v>30</v>
      </c>
      <c r="I58" s="81"/>
      <c r="J58" s="43">
        <v>67</v>
      </c>
      <c r="K58" s="44" t="s">
        <v>137</v>
      </c>
    </row>
    <row r="59" spans="1:19" x14ac:dyDescent="0.25">
      <c r="A59" s="36" t="s">
        <v>123</v>
      </c>
      <c r="B59" s="3"/>
      <c r="C59" s="81"/>
      <c r="D59" s="37">
        <v>42</v>
      </c>
      <c r="E59" s="39" t="s">
        <v>31</v>
      </c>
      <c r="F59" s="81"/>
      <c r="G59" s="43">
        <v>54</v>
      </c>
      <c r="H59" s="44" t="s">
        <v>29</v>
      </c>
      <c r="I59" s="81"/>
      <c r="J59" s="37">
        <v>66</v>
      </c>
      <c r="K59" s="38" t="s">
        <v>136</v>
      </c>
      <c r="M59" s="44" t="s">
        <v>137</v>
      </c>
      <c r="N59" t="s">
        <v>141</v>
      </c>
    </row>
    <row r="60" spans="1:19" x14ac:dyDescent="0.25">
      <c r="A60" s="36" t="s">
        <v>124</v>
      </c>
      <c r="B60" s="3"/>
      <c r="C60" s="81"/>
      <c r="D60" s="37">
        <v>41</v>
      </c>
      <c r="E60" s="39" t="s">
        <v>30</v>
      </c>
      <c r="F60" s="81"/>
      <c r="G60" s="37">
        <v>53</v>
      </c>
      <c r="H60" s="38" t="s">
        <v>32</v>
      </c>
      <c r="I60" s="81"/>
      <c r="J60" s="37">
        <v>65</v>
      </c>
      <c r="K60" s="38" t="s">
        <v>135</v>
      </c>
      <c r="M60" s="44" t="s">
        <v>24</v>
      </c>
      <c r="N60" t="s">
        <v>142</v>
      </c>
    </row>
    <row r="61" spans="1:19" x14ac:dyDescent="0.25">
      <c r="A61" s="36" t="s">
        <v>125</v>
      </c>
      <c r="B61" s="3"/>
      <c r="C61" s="81"/>
      <c r="D61" s="43">
        <v>40</v>
      </c>
      <c r="E61" s="44" t="s">
        <v>29</v>
      </c>
      <c r="F61" s="81"/>
      <c r="G61" s="37">
        <v>52</v>
      </c>
      <c r="H61" s="38" t="s">
        <v>27</v>
      </c>
      <c r="I61" s="81"/>
      <c r="J61" s="43">
        <v>64</v>
      </c>
      <c r="K61" s="44" t="s">
        <v>138</v>
      </c>
    </row>
    <row r="62" spans="1:19" x14ac:dyDescent="0.25">
      <c r="A62" s="36" t="s">
        <v>126</v>
      </c>
      <c r="B62" s="3"/>
      <c r="C62" s="81"/>
      <c r="D62" s="37">
        <v>39</v>
      </c>
      <c r="E62" s="39" t="s">
        <v>28</v>
      </c>
      <c r="F62" s="81"/>
      <c r="G62" s="43">
        <v>51</v>
      </c>
      <c r="H62" s="44" t="s">
        <v>138</v>
      </c>
      <c r="I62" s="81"/>
      <c r="J62" s="37">
        <v>63</v>
      </c>
      <c r="K62" s="38" t="s">
        <v>33</v>
      </c>
    </row>
    <row r="63" spans="1:19" x14ac:dyDescent="0.25">
      <c r="A63" s="36" t="s">
        <v>127</v>
      </c>
      <c r="B63" s="3"/>
      <c r="C63" s="81"/>
      <c r="D63" s="37">
        <v>38</v>
      </c>
      <c r="E63" s="39" t="s">
        <v>27</v>
      </c>
      <c r="F63" s="81"/>
      <c r="G63" s="37">
        <v>50</v>
      </c>
      <c r="H63" s="38" t="s">
        <v>33</v>
      </c>
      <c r="I63" s="81"/>
      <c r="J63" s="43">
        <v>62</v>
      </c>
      <c r="K63" s="44" t="s">
        <v>24</v>
      </c>
    </row>
    <row r="64" spans="1:19" x14ac:dyDescent="0.25">
      <c r="A64" s="36" t="s">
        <v>128</v>
      </c>
      <c r="B64" s="3"/>
      <c r="C64" s="81"/>
      <c r="D64" s="37">
        <v>37</v>
      </c>
      <c r="E64" s="39" t="s">
        <v>24</v>
      </c>
      <c r="F64" s="81"/>
      <c r="G64" s="43">
        <v>49</v>
      </c>
      <c r="H64" s="44" t="s">
        <v>137</v>
      </c>
      <c r="I64" s="81"/>
      <c r="J64" s="37">
        <v>61</v>
      </c>
      <c r="K64" s="38" t="s">
        <v>27</v>
      </c>
    </row>
    <row r="66" spans="3:10" x14ac:dyDescent="0.25">
      <c r="C66" s="38"/>
      <c r="D66" s="38" t="s">
        <v>132</v>
      </c>
      <c r="E66" s="38"/>
      <c r="F66" s="38"/>
      <c r="G66" s="38" t="s">
        <v>133</v>
      </c>
      <c r="H66" s="38"/>
      <c r="I66" s="38"/>
      <c r="J66" s="38" t="s">
        <v>134</v>
      </c>
    </row>
  </sheetData>
  <mergeCells count="17">
    <mergeCell ref="C53:C64"/>
    <mergeCell ref="F53:F64"/>
    <mergeCell ref="I53:I64"/>
    <mergeCell ref="C36:C47"/>
    <mergeCell ref="F36:F47"/>
    <mergeCell ref="I36:I47"/>
    <mergeCell ref="A51:K51"/>
    <mergeCell ref="C6:G6"/>
    <mergeCell ref="I6:M6"/>
    <mergeCell ref="C8:M8"/>
    <mergeCell ref="L10:L21"/>
    <mergeCell ref="A34:K34"/>
    <mergeCell ref="B10:B21"/>
    <mergeCell ref="D10:D21"/>
    <mergeCell ref="F10:F21"/>
    <mergeCell ref="H10:H21"/>
    <mergeCell ref="J10:J21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2734-9666-433F-A12E-8BE8109E0B63}">
  <dimension ref="C2:E14"/>
  <sheetViews>
    <sheetView zoomScale="130" zoomScaleNormal="130" workbookViewId="0">
      <selection activeCell="C18" sqref="C18"/>
    </sheetView>
  </sheetViews>
  <sheetFormatPr defaultRowHeight="15" x14ac:dyDescent="0.25"/>
  <cols>
    <col min="3" max="3" width="11.85546875" bestFit="1" customWidth="1"/>
    <col min="4" max="4" width="45.5703125" bestFit="1" customWidth="1"/>
  </cols>
  <sheetData>
    <row r="2" spans="3:5" x14ac:dyDescent="0.25">
      <c r="C2" s="38" t="s">
        <v>1</v>
      </c>
      <c r="D2" s="38" t="s">
        <v>148</v>
      </c>
      <c r="E2" s="59"/>
    </row>
    <row r="3" spans="3:5" x14ac:dyDescent="0.25">
      <c r="C3" s="69" t="s">
        <v>24</v>
      </c>
      <c r="D3" s="69" t="s">
        <v>149</v>
      </c>
    </row>
    <row r="4" spans="3:5" x14ac:dyDescent="0.25">
      <c r="C4" s="69" t="s">
        <v>27</v>
      </c>
      <c r="D4" s="69" t="s">
        <v>149</v>
      </c>
    </row>
    <row r="5" spans="3:5" x14ac:dyDescent="0.25">
      <c r="C5" s="69" t="s">
        <v>28</v>
      </c>
      <c r="D5" s="69" t="s">
        <v>149</v>
      </c>
    </row>
    <row r="6" spans="3:5" x14ac:dyDescent="0.25">
      <c r="C6" s="68" t="s">
        <v>29</v>
      </c>
      <c r="D6" s="68" t="s">
        <v>153</v>
      </c>
    </row>
    <row r="7" spans="3:5" x14ac:dyDescent="0.25">
      <c r="C7" s="3" t="s">
        <v>30</v>
      </c>
      <c r="D7" s="3" t="s">
        <v>154</v>
      </c>
    </row>
    <row r="8" spans="3:5" x14ac:dyDescent="0.25">
      <c r="C8" s="67" t="s">
        <v>31</v>
      </c>
      <c r="D8" s="67" t="s">
        <v>150</v>
      </c>
    </row>
    <row r="9" spans="3:5" x14ac:dyDescent="0.25">
      <c r="C9" s="68" t="s">
        <v>32</v>
      </c>
      <c r="D9" s="68" t="s">
        <v>152</v>
      </c>
    </row>
    <row r="10" spans="3:5" x14ac:dyDescent="0.25">
      <c r="C10" s="68" t="s">
        <v>33</v>
      </c>
      <c r="D10" s="68" t="s">
        <v>151</v>
      </c>
    </row>
    <row r="11" spans="3:5" x14ac:dyDescent="0.25">
      <c r="C11" s="69" t="s">
        <v>34</v>
      </c>
      <c r="D11" s="69" t="s">
        <v>149</v>
      </c>
    </row>
    <row r="12" spans="3:5" x14ac:dyDescent="0.25">
      <c r="C12" s="69" t="s">
        <v>35</v>
      </c>
      <c r="D12" s="69" t="s">
        <v>149</v>
      </c>
    </row>
    <row r="13" spans="3:5" x14ac:dyDescent="0.25">
      <c r="C13" s="69" t="s">
        <v>36</v>
      </c>
      <c r="D13" s="69" t="s">
        <v>149</v>
      </c>
    </row>
    <row r="14" spans="3:5" x14ac:dyDescent="0.25">
      <c r="C14" s="67" t="s">
        <v>37</v>
      </c>
      <c r="D14" s="67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D180-17B8-43DF-90F3-9B748CD3BF83}">
  <sheetPr filterMode="1"/>
  <dimension ref="A1:AH667"/>
  <sheetViews>
    <sheetView zoomScale="90" zoomScaleNormal="90" workbookViewId="0">
      <pane ySplit="1" topLeftCell="A314" activePane="bottomLeft" state="frozen"/>
      <selection pane="bottomLeft" activeCell="A602" sqref="A602:C602"/>
    </sheetView>
  </sheetViews>
  <sheetFormatPr defaultRowHeight="15" x14ac:dyDescent="0.25"/>
  <cols>
    <col min="3" max="3" width="14" style="59" bestFit="1" customWidth="1"/>
    <col min="4" max="4" width="9.140625" style="70"/>
    <col min="8" max="8" width="34.5703125" customWidth="1"/>
    <col min="9" max="9" width="12" bestFit="1" customWidth="1"/>
    <col min="11" max="11" width="10" customWidth="1"/>
    <col min="13" max="13" width="16.28515625" bestFit="1" customWidth="1"/>
    <col min="14" max="14" width="13.42578125" bestFit="1" customWidth="1"/>
    <col min="15" max="15" width="13.42578125" customWidth="1"/>
    <col min="16" max="16" width="19.85546875" customWidth="1"/>
    <col min="17" max="17" width="17.140625" customWidth="1"/>
    <col min="18" max="18" width="27.28515625" bestFit="1" customWidth="1"/>
    <col min="20" max="20" width="10" bestFit="1" customWidth="1"/>
    <col min="21" max="21" width="16.140625" bestFit="1" customWidth="1"/>
    <col min="22" max="22" width="15.7109375" customWidth="1"/>
    <col min="23" max="23" width="14.5703125" bestFit="1" customWidth="1"/>
    <col min="24" max="24" width="13.140625" bestFit="1" customWidth="1"/>
    <col min="25" max="25" width="15.140625" bestFit="1" customWidth="1"/>
    <col min="26" max="26" width="19.42578125" bestFit="1" customWidth="1"/>
    <col min="27" max="27" width="18" customWidth="1"/>
    <col min="28" max="28" width="14" bestFit="1" customWidth="1"/>
    <col min="29" max="29" width="16.5703125" bestFit="1" customWidth="1"/>
    <col min="31" max="31" width="12" bestFit="1" customWidth="1"/>
    <col min="32" max="32" width="15.85546875" bestFit="1" customWidth="1"/>
    <col min="33" max="33" width="14.85546875" bestFit="1" customWidth="1"/>
    <col min="34" max="34" width="10.7109375" bestFit="1" customWidth="1"/>
  </cols>
  <sheetData>
    <row r="1" spans="1:34" x14ac:dyDescent="0.25">
      <c r="A1" t="s">
        <v>94</v>
      </c>
      <c r="B1" t="s">
        <v>0</v>
      </c>
      <c r="C1" s="59" t="s">
        <v>1</v>
      </c>
      <c r="D1" s="70" t="s">
        <v>2</v>
      </c>
      <c r="E1" t="s">
        <v>3</v>
      </c>
      <c r="F1" t="s">
        <v>163</v>
      </c>
      <c r="G1" t="s">
        <v>164</v>
      </c>
      <c r="H1" t="s">
        <v>4</v>
      </c>
      <c r="I1" t="s">
        <v>5</v>
      </c>
      <c r="J1" t="s">
        <v>6</v>
      </c>
      <c r="K1" t="s">
        <v>100</v>
      </c>
      <c r="L1" t="s">
        <v>7</v>
      </c>
      <c r="M1" t="s">
        <v>8</v>
      </c>
      <c r="N1" t="s">
        <v>143</v>
      </c>
      <c r="O1" t="s">
        <v>90</v>
      </c>
      <c r="P1" t="s">
        <v>91</v>
      </c>
      <c r="Q1" t="s">
        <v>98</v>
      </c>
      <c r="R1" t="s">
        <v>88</v>
      </c>
      <c r="S1" t="s">
        <v>12</v>
      </c>
      <c r="T1" t="s">
        <v>13</v>
      </c>
      <c r="U1" t="s">
        <v>14</v>
      </c>
      <c r="V1" t="s">
        <v>16</v>
      </c>
      <c r="W1" t="s">
        <v>17</v>
      </c>
      <c r="X1" t="s">
        <v>18</v>
      </c>
      <c r="Y1" t="s">
        <v>92</v>
      </c>
      <c r="Z1" t="s">
        <v>93</v>
      </c>
      <c r="AA1" t="s">
        <v>108</v>
      </c>
      <c r="AB1" t="s">
        <v>95</v>
      </c>
      <c r="AC1" t="s">
        <v>106</v>
      </c>
      <c r="AD1" t="s">
        <v>21</v>
      </c>
      <c r="AE1" t="s">
        <v>96</v>
      </c>
      <c r="AF1" s="18" t="s">
        <v>22</v>
      </c>
      <c r="AG1" s="18" t="s">
        <v>23</v>
      </c>
    </row>
    <row r="2" spans="1:34" hidden="1" x14ac:dyDescent="0.25">
      <c r="A2">
        <v>2024</v>
      </c>
      <c r="B2">
        <v>1</v>
      </c>
      <c r="C2" s="59" t="s">
        <v>31</v>
      </c>
      <c r="D2" s="56" t="s">
        <v>38</v>
      </c>
      <c r="E2">
        <v>1</v>
      </c>
      <c r="H2">
        <v>6</v>
      </c>
      <c r="I2" s="12">
        <v>45483</v>
      </c>
      <c r="J2">
        <v>191</v>
      </c>
      <c r="K2" s="64">
        <f>+I2-'2024-selected'!$R$49</f>
        <v>54</v>
      </c>
      <c r="L2" t="s">
        <v>97</v>
      </c>
      <c r="M2">
        <v>37100</v>
      </c>
      <c r="P2">
        <v>3.9360000000000006E-2</v>
      </c>
      <c r="Q2">
        <v>8.7690000000000018E-2</v>
      </c>
      <c r="R2">
        <v>1316.5803108808293</v>
      </c>
      <c r="S2" s="19">
        <v>1</v>
      </c>
      <c r="T2" s="19">
        <v>0.96499999999999997</v>
      </c>
      <c r="U2" s="19">
        <f t="shared" ref="U2:U49" si="0">T2*S2</f>
        <v>0.96499999999999997</v>
      </c>
      <c r="V2">
        <v>635.54435738657924</v>
      </c>
      <c r="X2">
        <v>681.03595349425007</v>
      </c>
      <c r="AF2">
        <v>38.1</v>
      </c>
      <c r="AG2">
        <v>12</v>
      </c>
    </row>
    <row r="3" spans="1:34" hidden="1" x14ac:dyDescent="0.25">
      <c r="A3">
        <v>2024</v>
      </c>
      <c r="B3">
        <v>1</v>
      </c>
      <c r="C3" s="59" t="s">
        <v>28</v>
      </c>
      <c r="D3" s="56" t="s">
        <v>38</v>
      </c>
      <c r="E3">
        <v>1</v>
      </c>
      <c r="H3">
        <v>3</v>
      </c>
      <c r="I3" s="12">
        <v>45483</v>
      </c>
      <c r="J3">
        <v>191</v>
      </c>
      <c r="K3" s="64">
        <f>+I3-'2024-selected'!$R$49</f>
        <v>54</v>
      </c>
      <c r="L3" t="s">
        <v>97</v>
      </c>
      <c r="M3">
        <v>37100</v>
      </c>
      <c r="P3">
        <v>3.3959999999999997E-2</v>
      </c>
      <c r="Q3">
        <v>8.9190000000000005E-2</v>
      </c>
      <c r="R3">
        <v>1276.1658031088084</v>
      </c>
      <c r="S3" s="19">
        <v>1</v>
      </c>
      <c r="T3" s="19">
        <v>0.96499999999999997</v>
      </c>
      <c r="U3" s="19">
        <f t="shared" si="0"/>
        <v>0.96499999999999997</v>
      </c>
      <c r="V3">
        <v>653.86587085080305</v>
      </c>
      <c r="X3">
        <v>622.29993225800536</v>
      </c>
      <c r="AF3">
        <v>30.226000000000003</v>
      </c>
      <c r="AG3">
        <v>11.8</v>
      </c>
    </row>
    <row r="4" spans="1:34" hidden="1" x14ac:dyDescent="0.25">
      <c r="A4">
        <v>2024</v>
      </c>
      <c r="B4">
        <v>1</v>
      </c>
      <c r="C4" s="59" t="s">
        <v>30</v>
      </c>
      <c r="D4" s="56" t="s">
        <v>38</v>
      </c>
      <c r="E4">
        <v>1</v>
      </c>
      <c r="H4">
        <v>5</v>
      </c>
      <c r="I4" s="12">
        <v>45483</v>
      </c>
      <c r="J4">
        <v>191</v>
      </c>
      <c r="K4" s="64">
        <f>+I4-'2024-selected'!$R$49</f>
        <v>54</v>
      </c>
      <c r="L4" t="s">
        <v>97</v>
      </c>
      <c r="M4">
        <v>37100</v>
      </c>
      <c r="P4">
        <v>5.1059999999999994E-2</v>
      </c>
      <c r="Q4">
        <v>0.11209</v>
      </c>
      <c r="R4">
        <v>1690.6735751295337</v>
      </c>
      <c r="S4" s="19">
        <v>1</v>
      </c>
      <c r="T4" s="19">
        <v>0.96499999999999997</v>
      </c>
      <c r="U4" s="19">
        <f t="shared" si="0"/>
        <v>0.96499999999999997</v>
      </c>
      <c r="V4">
        <v>794.67618102445783</v>
      </c>
      <c r="X4">
        <v>895.99739410507584</v>
      </c>
      <c r="AF4">
        <v>42.164000000000001</v>
      </c>
      <c r="AG4">
        <v>12.6</v>
      </c>
    </row>
    <row r="5" spans="1:34" hidden="1" x14ac:dyDescent="0.25">
      <c r="A5">
        <v>2024</v>
      </c>
      <c r="B5">
        <v>1</v>
      </c>
      <c r="C5" s="59" t="s">
        <v>33</v>
      </c>
      <c r="D5" s="56" t="s">
        <v>38</v>
      </c>
      <c r="E5">
        <v>1</v>
      </c>
      <c r="H5">
        <v>8</v>
      </c>
      <c r="I5" s="12">
        <v>45483</v>
      </c>
      <c r="J5">
        <v>191</v>
      </c>
      <c r="K5" s="64">
        <f>+I5-'2024-selected'!$R$49</f>
        <v>54</v>
      </c>
      <c r="L5" t="s">
        <v>97</v>
      </c>
      <c r="M5">
        <v>37100</v>
      </c>
      <c r="P5">
        <v>5.416E-2</v>
      </c>
      <c r="Q5">
        <v>0.11148999999999999</v>
      </c>
      <c r="R5">
        <v>1716.5803108808291</v>
      </c>
      <c r="S5" s="19">
        <v>1</v>
      </c>
      <c r="T5" s="19">
        <v>0.96499999999999997</v>
      </c>
      <c r="U5" s="19">
        <f t="shared" si="0"/>
        <v>0.96499999999999997</v>
      </c>
      <c r="V5">
        <v>805.04320340422942</v>
      </c>
      <c r="X5">
        <v>911.53710747659966</v>
      </c>
      <c r="AF5">
        <v>57.658000000000001</v>
      </c>
      <c r="AG5">
        <v>14.4</v>
      </c>
    </row>
    <row r="6" spans="1:34" hidden="1" x14ac:dyDescent="0.25">
      <c r="A6">
        <v>2024</v>
      </c>
      <c r="B6">
        <v>1</v>
      </c>
      <c r="C6" s="59" t="s">
        <v>24</v>
      </c>
      <c r="D6" s="56" t="s">
        <v>38</v>
      </c>
      <c r="E6">
        <v>1</v>
      </c>
      <c r="H6">
        <v>1</v>
      </c>
      <c r="I6" s="12">
        <v>45483</v>
      </c>
      <c r="J6">
        <v>191</v>
      </c>
      <c r="K6" s="64">
        <f>+I6-'2024-selected'!$R$49</f>
        <v>54</v>
      </c>
      <c r="L6" t="s">
        <v>97</v>
      </c>
      <c r="M6">
        <v>37100</v>
      </c>
      <c r="P6">
        <v>6.2859999999999999E-2</v>
      </c>
      <c r="Q6">
        <v>0.12899000000000002</v>
      </c>
      <c r="R6">
        <v>1988.0829015544045</v>
      </c>
      <c r="S6" s="19">
        <v>1</v>
      </c>
      <c r="T6" s="19">
        <v>0.96499999999999997</v>
      </c>
      <c r="U6" s="19">
        <f t="shared" si="0"/>
        <v>0.96499999999999997</v>
      </c>
      <c r="V6">
        <v>948.81462053185078</v>
      </c>
      <c r="X6">
        <v>1039.2682810225538</v>
      </c>
      <c r="AF6">
        <v>0</v>
      </c>
      <c r="AG6">
        <v>12.8</v>
      </c>
      <c r="AH6" s="55">
        <v>142</v>
      </c>
    </row>
    <row r="7" spans="1:34" hidden="1" x14ac:dyDescent="0.25">
      <c r="A7">
        <v>2024</v>
      </c>
      <c r="B7">
        <v>1</v>
      </c>
      <c r="C7" s="59" t="s">
        <v>32</v>
      </c>
      <c r="D7" s="56" t="s">
        <v>38</v>
      </c>
      <c r="E7">
        <v>1</v>
      </c>
      <c r="H7">
        <v>7</v>
      </c>
      <c r="I7" s="12">
        <v>45483</v>
      </c>
      <c r="J7">
        <v>191</v>
      </c>
      <c r="K7" s="64">
        <f>+I7-'2024-selected'!$R$49</f>
        <v>54</v>
      </c>
      <c r="L7" t="s">
        <v>97</v>
      </c>
      <c r="M7">
        <v>37100</v>
      </c>
      <c r="P7">
        <v>3.0359999999999995E-2</v>
      </c>
      <c r="Q7">
        <v>0.13958999999999996</v>
      </c>
      <c r="R7">
        <v>1761.1398963730567</v>
      </c>
      <c r="S7" s="19">
        <v>1</v>
      </c>
      <c r="T7" s="19">
        <v>0.96499999999999997</v>
      </c>
      <c r="U7" s="19">
        <f t="shared" si="0"/>
        <v>0.96499999999999997</v>
      </c>
      <c r="V7">
        <v>875.92926334760057</v>
      </c>
      <c r="X7">
        <v>885.2106330254561</v>
      </c>
      <c r="AF7">
        <v>40.64</v>
      </c>
      <c r="AG7">
        <v>13.8</v>
      </c>
    </row>
    <row r="8" spans="1:34" hidden="1" x14ac:dyDescent="0.25">
      <c r="A8">
        <v>2024</v>
      </c>
      <c r="B8">
        <v>1</v>
      </c>
      <c r="C8" s="59" t="s">
        <v>27</v>
      </c>
      <c r="D8" s="56" t="s">
        <v>38</v>
      </c>
      <c r="E8">
        <v>1</v>
      </c>
      <c r="H8">
        <v>2</v>
      </c>
      <c r="I8" s="12">
        <v>45483</v>
      </c>
      <c r="J8">
        <v>191</v>
      </c>
      <c r="K8" s="64">
        <f>+I8-'2024-selected'!$R$49</f>
        <v>54</v>
      </c>
      <c r="L8" t="s">
        <v>97</v>
      </c>
      <c r="M8">
        <v>37100</v>
      </c>
      <c r="P8">
        <v>3.5059999999999994E-2</v>
      </c>
      <c r="Q8">
        <v>0.17349000000000001</v>
      </c>
      <c r="R8">
        <v>2161.1398963730571</v>
      </c>
      <c r="S8" s="19">
        <v>1</v>
      </c>
      <c r="T8" s="19">
        <v>0.96499999999999997</v>
      </c>
      <c r="U8" s="19">
        <f t="shared" si="0"/>
        <v>0.96499999999999997</v>
      </c>
      <c r="V8">
        <v>1010.9154107392511</v>
      </c>
      <c r="X8">
        <v>1150.2244856338061</v>
      </c>
      <c r="AF8">
        <v>41.655999999999999</v>
      </c>
      <c r="AG8">
        <v>12</v>
      </c>
    </row>
    <row r="9" spans="1:34" hidden="1" x14ac:dyDescent="0.25">
      <c r="A9">
        <v>2024</v>
      </c>
      <c r="B9">
        <v>1</v>
      </c>
      <c r="C9" s="59" t="s">
        <v>29</v>
      </c>
      <c r="D9" s="56" t="s">
        <v>38</v>
      </c>
      <c r="E9">
        <v>1</v>
      </c>
      <c r="H9">
        <v>4</v>
      </c>
      <c r="I9" s="12">
        <v>45483</v>
      </c>
      <c r="J9">
        <v>191</v>
      </c>
      <c r="K9" s="64">
        <f>+I9-'2024-selected'!$R$49</f>
        <v>54</v>
      </c>
      <c r="L9" t="s">
        <v>97</v>
      </c>
      <c r="M9">
        <v>37100</v>
      </c>
      <c r="P9">
        <v>4.6959999999999995E-2</v>
      </c>
      <c r="Q9">
        <v>0.10169000000000002</v>
      </c>
      <c r="R9">
        <v>1540.4145077720207</v>
      </c>
      <c r="S9" s="19">
        <v>1</v>
      </c>
      <c r="T9" s="19">
        <v>0.96499999999999997</v>
      </c>
      <c r="U9" s="19">
        <f t="shared" si="0"/>
        <v>0.96499999999999997</v>
      </c>
      <c r="V9">
        <v>715.09872805430268</v>
      </c>
      <c r="X9">
        <v>825.31577971771799</v>
      </c>
      <c r="AF9">
        <v>48.514000000000003</v>
      </c>
      <c r="AG9">
        <v>14.8</v>
      </c>
    </row>
    <row r="10" spans="1:34" hidden="1" x14ac:dyDescent="0.25">
      <c r="A10">
        <v>2024</v>
      </c>
      <c r="B10">
        <v>1</v>
      </c>
      <c r="C10" s="59" t="s">
        <v>30</v>
      </c>
      <c r="D10" s="56" t="s">
        <v>38</v>
      </c>
      <c r="E10">
        <v>2</v>
      </c>
      <c r="H10">
        <v>15</v>
      </c>
      <c r="I10" s="12">
        <v>45483</v>
      </c>
      <c r="J10">
        <v>191</v>
      </c>
      <c r="K10" s="64">
        <f>+I10-'2024-selected'!$R$49</f>
        <v>54</v>
      </c>
      <c r="L10" t="s">
        <v>97</v>
      </c>
      <c r="M10">
        <v>37100</v>
      </c>
      <c r="P10">
        <v>5.5660000000000001E-2</v>
      </c>
      <c r="Q10">
        <v>6.7089999999999983E-2</v>
      </c>
      <c r="R10">
        <v>1272.0207253886008</v>
      </c>
      <c r="S10" s="19">
        <v>1</v>
      </c>
      <c r="T10" s="19">
        <v>0.96499999999999997</v>
      </c>
      <c r="U10" s="19">
        <f t="shared" si="0"/>
        <v>0.96499999999999997</v>
      </c>
      <c r="V10">
        <v>603.32998832660917</v>
      </c>
      <c r="X10">
        <v>668.69073706199163</v>
      </c>
      <c r="AF10">
        <v>44.704000000000008</v>
      </c>
      <c r="AG10">
        <v>14</v>
      </c>
    </row>
    <row r="11" spans="1:34" hidden="1" x14ac:dyDescent="0.25">
      <c r="A11">
        <v>2024</v>
      </c>
      <c r="B11">
        <v>1</v>
      </c>
      <c r="C11" s="59" t="s">
        <v>28</v>
      </c>
      <c r="D11" s="56" t="s">
        <v>38</v>
      </c>
      <c r="E11">
        <v>2</v>
      </c>
      <c r="H11">
        <v>12</v>
      </c>
      <c r="I11" s="12">
        <v>45483</v>
      </c>
      <c r="J11">
        <v>191</v>
      </c>
      <c r="K11" s="64">
        <f>+I11-'2024-selected'!$R$49</f>
        <v>54</v>
      </c>
      <c r="L11" t="s">
        <v>97</v>
      </c>
      <c r="M11">
        <v>37100</v>
      </c>
      <c r="P11">
        <v>4.9360000000000001E-2</v>
      </c>
      <c r="Q11">
        <v>7.458999999999999E-2</v>
      </c>
      <c r="R11">
        <v>1284.4559585492229</v>
      </c>
      <c r="S11" s="19">
        <v>1</v>
      </c>
      <c r="T11" s="19">
        <v>0.96499999999999997</v>
      </c>
      <c r="U11" s="19">
        <f t="shared" si="0"/>
        <v>0.96499999999999997</v>
      </c>
      <c r="V11">
        <v>606.31733861825148</v>
      </c>
      <c r="X11">
        <v>667.72973858130183</v>
      </c>
      <c r="AF11">
        <v>38.862000000000002</v>
      </c>
      <c r="AG11">
        <v>14.4</v>
      </c>
    </row>
    <row r="12" spans="1:34" hidden="1" x14ac:dyDescent="0.25">
      <c r="A12">
        <v>2024</v>
      </c>
      <c r="B12">
        <v>1</v>
      </c>
      <c r="C12" s="59" t="s">
        <v>31</v>
      </c>
      <c r="D12" s="56" t="s">
        <v>38</v>
      </c>
      <c r="E12">
        <v>2</v>
      </c>
      <c r="H12">
        <v>13</v>
      </c>
      <c r="I12" s="12">
        <v>45483</v>
      </c>
      <c r="J12">
        <v>191</v>
      </c>
      <c r="K12" s="64">
        <f>+I12-'2024-selected'!$R$49</f>
        <v>54</v>
      </c>
      <c r="L12" t="s">
        <v>97</v>
      </c>
      <c r="M12">
        <v>37100</v>
      </c>
      <c r="P12">
        <v>3.6760000000000001E-2</v>
      </c>
      <c r="Q12">
        <v>0.11439000000000001</v>
      </c>
      <c r="R12">
        <v>1566.3212435233161</v>
      </c>
      <c r="S12" s="19">
        <v>1</v>
      </c>
      <c r="T12" s="19">
        <v>0.96499999999999997</v>
      </c>
      <c r="U12" s="19">
        <f t="shared" si="0"/>
        <v>0.96499999999999997</v>
      </c>
      <c r="V12">
        <v>741.40341777218998</v>
      </c>
      <c r="X12">
        <v>824.91782575112609</v>
      </c>
      <c r="AF12">
        <v>40.132000000000005</v>
      </c>
      <c r="AG12">
        <v>13.6</v>
      </c>
    </row>
    <row r="13" spans="1:34" hidden="1" x14ac:dyDescent="0.25">
      <c r="A13">
        <v>2024</v>
      </c>
      <c r="B13">
        <v>1</v>
      </c>
      <c r="C13" s="59" t="s">
        <v>24</v>
      </c>
      <c r="D13" s="56" t="s">
        <v>38</v>
      </c>
      <c r="E13">
        <v>2</v>
      </c>
      <c r="H13">
        <v>14</v>
      </c>
      <c r="I13" s="12">
        <v>45483</v>
      </c>
      <c r="J13">
        <v>191</v>
      </c>
      <c r="K13" s="64">
        <f>+I13-'2024-selected'!$R$49</f>
        <v>54</v>
      </c>
      <c r="L13" t="s">
        <v>97</v>
      </c>
      <c r="M13">
        <v>37100</v>
      </c>
      <c r="P13">
        <v>3.9260000000000003E-2</v>
      </c>
      <c r="Q13">
        <v>0.11139</v>
      </c>
      <c r="R13">
        <v>1561.1398963730571</v>
      </c>
      <c r="S13" s="19">
        <v>1</v>
      </c>
      <c r="T13" s="19">
        <v>0.96499999999999997</v>
      </c>
      <c r="U13" s="19">
        <f t="shared" si="0"/>
        <v>0.96499999999999997</v>
      </c>
      <c r="V13">
        <v>755.5185438382091</v>
      </c>
      <c r="X13">
        <v>805.62135253484792</v>
      </c>
      <c r="AF13">
        <v>39.624000000000002</v>
      </c>
      <c r="AG13">
        <v>13.6</v>
      </c>
    </row>
    <row r="14" spans="1:34" hidden="1" x14ac:dyDescent="0.25">
      <c r="A14">
        <v>2024</v>
      </c>
      <c r="B14">
        <v>1</v>
      </c>
      <c r="C14" s="59" t="s">
        <v>33</v>
      </c>
      <c r="D14" s="56" t="s">
        <v>38</v>
      </c>
      <c r="E14">
        <v>2</v>
      </c>
      <c r="H14">
        <v>10</v>
      </c>
      <c r="I14" s="12">
        <v>45483</v>
      </c>
      <c r="J14">
        <v>191</v>
      </c>
      <c r="K14" s="64">
        <f>+I14-'2024-selected'!$R$49</f>
        <v>54</v>
      </c>
      <c r="L14" t="s">
        <v>97</v>
      </c>
      <c r="M14">
        <v>37100</v>
      </c>
      <c r="P14">
        <v>5.9459999999999999E-2</v>
      </c>
      <c r="Q14">
        <v>0.12548999999999999</v>
      </c>
      <c r="R14">
        <v>1916.5803108808291</v>
      </c>
      <c r="S14" s="19">
        <v>1</v>
      </c>
      <c r="T14" s="19">
        <v>0.96499999999999997</v>
      </c>
      <c r="U14" s="19">
        <f t="shared" si="0"/>
        <v>0.96499999999999997</v>
      </c>
      <c r="V14">
        <v>889.63364581753922</v>
      </c>
      <c r="X14">
        <v>1026.9466650632899</v>
      </c>
      <c r="AF14">
        <v>53.594000000000001</v>
      </c>
      <c r="AG14">
        <v>13.2</v>
      </c>
    </row>
    <row r="15" spans="1:34" hidden="1" x14ac:dyDescent="0.25">
      <c r="A15">
        <v>2024</v>
      </c>
      <c r="B15">
        <v>1</v>
      </c>
      <c r="C15" s="59" t="s">
        <v>29</v>
      </c>
      <c r="D15" s="56" t="s">
        <v>38</v>
      </c>
      <c r="E15">
        <v>2</v>
      </c>
      <c r="H15">
        <v>16</v>
      </c>
      <c r="I15" s="12">
        <v>45483</v>
      </c>
      <c r="J15">
        <v>191</v>
      </c>
      <c r="K15" s="64">
        <f>+I15-'2024-selected'!$R$49</f>
        <v>54</v>
      </c>
      <c r="L15" t="s">
        <v>97</v>
      </c>
      <c r="M15">
        <v>37100</v>
      </c>
      <c r="P15">
        <v>3.5559999999999994E-2</v>
      </c>
      <c r="Q15">
        <v>7.2989999999999999E-2</v>
      </c>
      <c r="R15">
        <v>1124.8704663212436</v>
      </c>
      <c r="S15" s="19">
        <v>1</v>
      </c>
      <c r="T15" s="19">
        <v>0.96499999999999997</v>
      </c>
      <c r="U15" s="19">
        <f t="shared" si="0"/>
        <v>0.96499999999999997</v>
      </c>
      <c r="V15">
        <v>534.59816875222225</v>
      </c>
      <c r="X15">
        <v>590.27229756902148</v>
      </c>
      <c r="AF15">
        <v>37.592000000000006</v>
      </c>
      <c r="AG15">
        <v>10.8</v>
      </c>
    </row>
    <row r="16" spans="1:34" hidden="1" x14ac:dyDescent="0.25">
      <c r="A16">
        <v>2024</v>
      </c>
      <c r="B16">
        <v>1</v>
      </c>
      <c r="C16" s="59" t="s">
        <v>32</v>
      </c>
      <c r="D16" s="56" t="s">
        <v>38</v>
      </c>
      <c r="E16">
        <v>2</v>
      </c>
      <c r="H16">
        <v>11</v>
      </c>
      <c r="I16" s="12">
        <v>45483</v>
      </c>
      <c r="J16">
        <v>191</v>
      </c>
      <c r="K16" s="64">
        <f>+I16-'2024-selected'!$R$49</f>
        <v>54</v>
      </c>
      <c r="L16" t="s">
        <v>97</v>
      </c>
      <c r="M16">
        <v>37100</v>
      </c>
      <c r="P16">
        <v>4.206E-2</v>
      </c>
      <c r="Q16">
        <v>0.16549</v>
      </c>
      <c r="R16">
        <v>2150.7772020725388</v>
      </c>
      <c r="S16" s="19">
        <v>1</v>
      </c>
      <c r="T16" s="19">
        <v>0.96499999999999997</v>
      </c>
      <c r="U16" s="19">
        <f t="shared" si="0"/>
        <v>0.96499999999999997</v>
      </c>
      <c r="V16">
        <v>1043.1729653418877</v>
      </c>
      <c r="X16">
        <v>1107.6042367306511</v>
      </c>
      <c r="AF16">
        <v>40.894000000000005</v>
      </c>
      <c r="AG16">
        <v>11.6</v>
      </c>
    </row>
    <row r="17" spans="1:33" hidden="1" x14ac:dyDescent="0.25">
      <c r="A17">
        <v>2024</v>
      </c>
      <c r="B17">
        <v>1</v>
      </c>
      <c r="C17" s="59" t="s">
        <v>27</v>
      </c>
      <c r="D17" s="56" t="s">
        <v>38</v>
      </c>
      <c r="E17">
        <v>2</v>
      </c>
      <c r="H17">
        <v>9</v>
      </c>
      <c r="I17" s="12">
        <v>45483</v>
      </c>
      <c r="J17">
        <v>191</v>
      </c>
      <c r="K17" s="64">
        <f>+I17-'2024-selected'!$R$49</f>
        <v>54</v>
      </c>
      <c r="L17" t="s">
        <v>97</v>
      </c>
      <c r="M17">
        <v>37100</v>
      </c>
      <c r="P17">
        <v>4.3560000000000001E-2</v>
      </c>
      <c r="Q17">
        <v>0.23228999999999997</v>
      </c>
      <c r="R17">
        <v>2858.5492227979275</v>
      </c>
      <c r="S17" s="19">
        <v>1</v>
      </c>
      <c r="T17" s="19">
        <v>0.96499999999999997</v>
      </c>
      <c r="U17" s="19">
        <f t="shared" si="0"/>
        <v>0.96499999999999997</v>
      </c>
      <c r="V17">
        <v>1338.7145120541259</v>
      </c>
      <c r="X17">
        <v>1519.8347107438015</v>
      </c>
      <c r="AF17">
        <v>41.910000000000004</v>
      </c>
      <c r="AG17">
        <v>12.2</v>
      </c>
    </row>
    <row r="18" spans="1:33" hidden="1" x14ac:dyDescent="0.25">
      <c r="A18">
        <v>2024</v>
      </c>
      <c r="B18">
        <v>1</v>
      </c>
      <c r="C18" s="59" t="s">
        <v>28</v>
      </c>
      <c r="D18" s="56" t="s">
        <v>38</v>
      </c>
      <c r="E18">
        <v>3</v>
      </c>
      <c r="H18">
        <v>24</v>
      </c>
      <c r="I18" s="12">
        <v>45483</v>
      </c>
      <c r="J18">
        <v>191</v>
      </c>
      <c r="K18" s="64">
        <f>+I18-'2024-selected'!$R$49</f>
        <v>54</v>
      </c>
      <c r="L18" t="s">
        <v>97</v>
      </c>
      <c r="M18">
        <v>37100</v>
      </c>
      <c r="P18" s="52">
        <v>3.066E-2</v>
      </c>
      <c r="Q18">
        <v>7.9089999999999994E-2</v>
      </c>
      <c r="R18">
        <v>1137.3056994818651</v>
      </c>
      <c r="S18" s="19">
        <v>1</v>
      </c>
      <c r="T18" s="19">
        <v>0.96499999999999997</v>
      </c>
      <c r="U18" s="19">
        <f t="shared" si="0"/>
        <v>0.96499999999999997</v>
      </c>
      <c r="V18">
        <v>478.51413970372022</v>
      </c>
      <c r="X18">
        <v>658.79155977814492</v>
      </c>
      <c r="AF18">
        <v>40.386000000000003</v>
      </c>
      <c r="AG18">
        <v>12.4</v>
      </c>
    </row>
    <row r="19" spans="1:33" hidden="1" x14ac:dyDescent="0.25">
      <c r="A19">
        <v>2024</v>
      </c>
      <c r="B19">
        <v>1</v>
      </c>
      <c r="C19" s="59" t="s">
        <v>33</v>
      </c>
      <c r="D19" s="56" t="s">
        <v>38</v>
      </c>
      <c r="E19">
        <v>3</v>
      </c>
      <c r="H19">
        <v>17</v>
      </c>
      <c r="I19" s="12">
        <v>45483</v>
      </c>
      <c r="J19">
        <v>191</v>
      </c>
      <c r="K19" s="64">
        <f>+I19-'2024-selected'!$R$49</f>
        <v>54</v>
      </c>
      <c r="L19" t="s">
        <v>97</v>
      </c>
      <c r="M19">
        <v>37100</v>
      </c>
      <c r="P19">
        <v>4.2459999999999998E-2</v>
      </c>
      <c r="Q19">
        <v>9.2290000000000011E-2</v>
      </c>
      <c r="R19">
        <v>1396.3730569948186</v>
      </c>
      <c r="S19" s="19">
        <v>1</v>
      </c>
      <c r="T19" s="19">
        <v>0.96499999999999997</v>
      </c>
      <c r="U19" s="19">
        <f t="shared" si="0"/>
        <v>0.96499999999999997</v>
      </c>
      <c r="V19">
        <v>638.00370479744436</v>
      </c>
      <c r="X19">
        <v>758.36935219737427</v>
      </c>
      <c r="AF19">
        <v>53.085999999999999</v>
      </c>
      <c r="AG19">
        <v>13.2</v>
      </c>
    </row>
    <row r="20" spans="1:33" hidden="1" x14ac:dyDescent="0.25">
      <c r="A20">
        <v>2024</v>
      </c>
      <c r="B20">
        <v>1</v>
      </c>
      <c r="C20" s="59" t="s">
        <v>30</v>
      </c>
      <c r="D20" s="56" t="s">
        <v>38</v>
      </c>
      <c r="E20">
        <v>3</v>
      </c>
      <c r="H20">
        <v>21</v>
      </c>
      <c r="I20" s="12">
        <v>45483</v>
      </c>
      <c r="J20">
        <v>191</v>
      </c>
      <c r="K20" s="64">
        <f>+I20-'2024-selected'!$R$49</f>
        <v>54</v>
      </c>
      <c r="L20" t="s">
        <v>97</v>
      </c>
      <c r="M20">
        <v>37100</v>
      </c>
      <c r="P20">
        <v>3.4759999999999999E-2</v>
      </c>
      <c r="Q20">
        <v>9.2989999999999989E-2</v>
      </c>
      <c r="R20">
        <v>1323.8341968911916</v>
      </c>
      <c r="S20" s="19">
        <v>1</v>
      </c>
      <c r="T20" s="19">
        <v>0.96499999999999997</v>
      </c>
      <c r="U20" s="19">
        <f t="shared" si="0"/>
        <v>0.96499999999999997</v>
      </c>
      <c r="V20">
        <v>647.44480285242412</v>
      </c>
      <c r="X20">
        <v>676.38939403876748</v>
      </c>
      <c r="AF20">
        <v>43.434000000000005</v>
      </c>
      <c r="AG20">
        <v>14.6</v>
      </c>
    </row>
    <row r="21" spans="1:33" hidden="1" x14ac:dyDescent="0.25">
      <c r="A21">
        <v>2024</v>
      </c>
      <c r="B21">
        <v>1</v>
      </c>
      <c r="C21" s="59" t="s">
        <v>27</v>
      </c>
      <c r="D21" s="56" t="s">
        <v>38</v>
      </c>
      <c r="E21">
        <v>3</v>
      </c>
      <c r="H21">
        <v>18</v>
      </c>
      <c r="I21" s="12">
        <v>45483</v>
      </c>
      <c r="J21">
        <v>191</v>
      </c>
      <c r="K21" s="64">
        <f>+I21-'2024-selected'!$R$49</f>
        <v>54</v>
      </c>
      <c r="L21" t="s">
        <v>97</v>
      </c>
      <c r="M21">
        <v>37100</v>
      </c>
      <c r="P21">
        <v>4.546E-2</v>
      </c>
      <c r="Q21">
        <v>0.11769000000000002</v>
      </c>
      <c r="R21">
        <v>1690.6735751295339</v>
      </c>
      <c r="S21" s="19">
        <v>1</v>
      </c>
      <c r="T21" s="19">
        <v>0.96499999999999997</v>
      </c>
      <c r="U21" s="19">
        <f t="shared" si="0"/>
        <v>0.96499999999999997</v>
      </c>
      <c r="V21">
        <v>773.55940085117254</v>
      </c>
      <c r="X21">
        <v>917.11417427836113</v>
      </c>
      <c r="AF21">
        <v>40.132000000000005</v>
      </c>
      <c r="AG21">
        <v>11.4</v>
      </c>
    </row>
    <row r="22" spans="1:33" hidden="1" x14ac:dyDescent="0.25">
      <c r="A22">
        <v>2024</v>
      </c>
      <c r="B22">
        <v>1</v>
      </c>
      <c r="C22" s="59" t="s">
        <v>31</v>
      </c>
      <c r="D22" s="56" t="s">
        <v>38</v>
      </c>
      <c r="E22">
        <v>3</v>
      </c>
      <c r="H22">
        <v>20</v>
      </c>
      <c r="I22" s="12">
        <v>45483</v>
      </c>
      <c r="J22">
        <v>191</v>
      </c>
      <c r="K22" s="64">
        <f>+I22-'2024-selected'!$R$49</f>
        <v>54</v>
      </c>
      <c r="L22" t="s">
        <v>97</v>
      </c>
      <c r="M22">
        <v>37100</v>
      </c>
      <c r="P22">
        <v>3.1759999999999997E-2</v>
      </c>
      <c r="Q22">
        <v>0.13199</v>
      </c>
      <c r="R22">
        <v>1696.8911917098446</v>
      </c>
      <c r="S22" s="19">
        <v>1</v>
      </c>
      <c r="T22" s="19">
        <v>0.96499999999999997</v>
      </c>
      <c r="U22" s="19">
        <f t="shared" si="0"/>
        <v>0.96499999999999997</v>
      </c>
      <c r="V22">
        <v>806.77131595776609</v>
      </c>
      <c r="X22">
        <v>890.11987575207831</v>
      </c>
      <c r="AF22">
        <v>33.274000000000001</v>
      </c>
      <c r="AG22">
        <v>13</v>
      </c>
    </row>
    <row r="23" spans="1:33" hidden="1" x14ac:dyDescent="0.25">
      <c r="A23">
        <v>2024</v>
      </c>
      <c r="B23">
        <v>1</v>
      </c>
      <c r="C23" s="59" t="s">
        <v>32</v>
      </c>
      <c r="D23" s="56" t="s">
        <v>38</v>
      </c>
      <c r="E23">
        <v>3</v>
      </c>
      <c r="H23">
        <v>22</v>
      </c>
      <c r="I23" s="12">
        <v>45483</v>
      </c>
      <c r="J23">
        <v>191</v>
      </c>
      <c r="K23" s="64">
        <f>+I23-'2024-selected'!$R$49</f>
        <v>54</v>
      </c>
      <c r="L23" t="s">
        <v>97</v>
      </c>
      <c r="M23">
        <v>37100</v>
      </c>
      <c r="P23">
        <v>4.6060000000000004E-2</v>
      </c>
      <c r="Q23">
        <v>0.11398999999999999</v>
      </c>
      <c r="R23">
        <v>1658.5492227979275</v>
      </c>
      <c r="S23" s="19">
        <v>1</v>
      </c>
      <c r="T23" s="19">
        <v>0.96499999999999997</v>
      </c>
      <c r="U23" s="19">
        <f t="shared" si="0"/>
        <v>0.96499999999999997</v>
      </c>
      <c r="V23">
        <v>824.59351285437572</v>
      </c>
      <c r="X23">
        <v>833.95570994355171</v>
      </c>
      <c r="AF23">
        <v>36.83</v>
      </c>
      <c r="AG23">
        <v>15.6</v>
      </c>
    </row>
    <row r="24" spans="1:33" hidden="1" x14ac:dyDescent="0.25">
      <c r="A24">
        <v>2024</v>
      </c>
      <c r="B24">
        <v>1</v>
      </c>
      <c r="C24" s="59" t="s">
        <v>24</v>
      </c>
      <c r="D24" s="56" t="s">
        <v>38</v>
      </c>
      <c r="E24">
        <v>3</v>
      </c>
      <c r="H24">
        <v>23</v>
      </c>
      <c r="I24" s="12">
        <v>45483</v>
      </c>
      <c r="J24">
        <v>191</v>
      </c>
      <c r="K24" s="64">
        <f>+I24-'2024-selected'!$R$49</f>
        <v>54</v>
      </c>
      <c r="L24" t="s">
        <v>97</v>
      </c>
      <c r="M24">
        <v>37100</v>
      </c>
      <c r="P24">
        <v>4.0660000000000002E-2</v>
      </c>
      <c r="Q24">
        <v>0.12398999999999999</v>
      </c>
      <c r="R24">
        <v>1706.217616580311</v>
      </c>
      <c r="S24" s="19">
        <v>1</v>
      </c>
      <c r="T24" s="19">
        <v>0.96499999999999997</v>
      </c>
      <c r="U24" s="19">
        <f t="shared" si="0"/>
        <v>0.96499999999999997</v>
      </c>
      <c r="V24">
        <v>851.84991678751396</v>
      </c>
      <c r="X24">
        <v>854.367699792797</v>
      </c>
      <c r="AF24">
        <v>41.655999999999999</v>
      </c>
      <c r="AG24">
        <v>11.6</v>
      </c>
    </row>
    <row r="25" spans="1:33" hidden="1" x14ac:dyDescent="0.25">
      <c r="A25">
        <v>2024</v>
      </c>
      <c r="B25">
        <v>1</v>
      </c>
      <c r="C25" s="59" t="s">
        <v>29</v>
      </c>
      <c r="D25" s="56" t="s">
        <v>38</v>
      </c>
      <c r="E25">
        <v>3</v>
      </c>
      <c r="H25">
        <v>19</v>
      </c>
      <c r="I25" s="12">
        <v>45483</v>
      </c>
      <c r="J25">
        <v>191</v>
      </c>
      <c r="K25" s="64">
        <f>+I25-'2024-selected'!$R$49</f>
        <v>54</v>
      </c>
      <c r="L25" t="s">
        <v>97</v>
      </c>
      <c r="M25">
        <v>37100</v>
      </c>
      <c r="P25">
        <v>4.7160000000000001E-2</v>
      </c>
      <c r="Q25">
        <v>0.20849000000000001</v>
      </c>
      <c r="R25">
        <v>2649.2227979274612</v>
      </c>
      <c r="S25" s="19">
        <v>1</v>
      </c>
      <c r="T25" s="19">
        <v>0.96499999999999997</v>
      </c>
      <c r="U25" s="19">
        <f t="shared" si="0"/>
        <v>0.96499999999999997</v>
      </c>
      <c r="V25">
        <v>1230.2370499281469</v>
      </c>
      <c r="X25">
        <v>1418.9857479993145</v>
      </c>
      <c r="AF25">
        <v>49.022000000000006</v>
      </c>
      <c r="AG25">
        <v>12.6</v>
      </c>
    </row>
    <row r="26" spans="1:33" hidden="1" x14ac:dyDescent="0.25">
      <c r="A26">
        <v>2024</v>
      </c>
      <c r="B26" s="19">
        <v>1</v>
      </c>
      <c r="C26" s="59" t="s">
        <v>32</v>
      </c>
      <c r="D26" s="56" t="s">
        <v>38</v>
      </c>
      <c r="E26" s="24">
        <v>1</v>
      </c>
      <c r="F26" s="24"/>
      <c r="G26" s="24"/>
      <c r="H26" s="19">
        <v>7</v>
      </c>
      <c r="I26" s="25">
        <v>45483</v>
      </c>
      <c r="J26" s="18">
        <v>191</v>
      </c>
      <c r="K26" s="62">
        <f>+I26-'2024-selected'!$R$48</f>
        <v>55</v>
      </c>
      <c r="L26" s="19" t="s">
        <v>107</v>
      </c>
      <c r="M26" s="19">
        <v>40800</v>
      </c>
      <c r="N26" s="19"/>
      <c r="O26" s="19"/>
      <c r="P26" s="19">
        <v>4.7019999999999992E-2</v>
      </c>
      <c r="Q26" s="19">
        <v>0.11598000000000001</v>
      </c>
      <c r="R26" s="19">
        <v>1689.1191709844561</v>
      </c>
      <c r="S26" s="19">
        <v>1</v>
      </c>
      <c r="T26" s="19">
        <v>0.96499999999999997</v>
      </c>
      <c r="U26" s="27">
        <f t="shared" si="0"/>
        <v>0.96499999999999997</v>
      </c>
      <c r="V26" s="19">
        <v>824.80170492988327</v>
      </c>
      <c r="W26" s="19">
        <v>0</v>
      </c>
      <c r="X26" s="19">
        <v>1054.7115878371681</v>
      </c>
      <c r="Y26" s="19"/>
      <c r="Z26" s="19"/>
      <c r="AA26" s="19"/>
      <c r="AB26" s="19"/>
      <c r="AC26" s="19"/>
      <c r="AD26" s="19"/>
      <c r="AE26" s="19"/>
      <c r="AF26" s="19">
        <v>37.592000000000006</v>
      </c>
      <c r="AG26" s="19">
        <v>12</v>
      </c>
    </row>
    <row r="27" spans="1:33" hidden="1" x14ac:dyDescent="0.25">
      <c r="A27">
        <v>2024</v>
      </c>
      <c r="B27" s="19">
        <v>1</v>
      </c>
      <c r="C27" s="59" t="s">
        <v>24</v>
      </c>
      <c r="D27" s="56" t="s">
        <v>38</v>
      </c>
      <c r="E27" s="24">
        <v>1</v>
      </c>
      <c r="F27" s="24"/>
      <c r="G27" s="24"/>
      <c r="H27" s="19">
        <v>1</v>
      </c>
      <c r="I27" s="25">
        <v>45483</v>
      </c>
      <c r="J27" s="18">
        <v>191</v>
      </c>
      <c r="K27" s="62">
        <f>+I27-'2024-selected'!$R$48</f>
        <v>55</v>
      </c>
      <c r="L27" s="19" t="s">
        <v>107</v>
      </c>
      <c r="M27" s="19">
        <v>40800</v>
      </c>
      <c r="N27" s="19"/>
      <c r="O27" s="19"/>
      <c r="P27" s="19"/>
      <c r="Q27" s="19"/>
      <c r="R27" s="19"/>
      <c r="S27" s="19">
        <v>1</v>
      </c>
      <c r="T27" s="19">
        <v>0.96499999999999997</v>
      </c>
      <c r="U27" s="27">
        <f t="shared" si="0"/>
        <v>0.96499999999999997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idden="1" x14ac:dyDescent="0.25">
      <c r="A28">
        <v>2024</v>
      </c>
      <c r="B28" s="19">
        <v>1</v>
      </c>
      <c r="C28" s="59" t="s">
        <v>31</v>
      </c>
      <c r="D28" s="56" t="s">
        <v>38</v>
      </c>
      <c r="E28" s="24">
        <v>1</v>
      </c>
      <c r="F28" s="24"/>
      <c r="G28" s="24"/>
      <c r="H28" s="19">
        <v>6</v>
      </c>
      <c r="I28" s="25">
        <v>45483</v>
      </c>
      <c r="J28" s="18">
        <v>191</v>
      </c>
      <c r="K28" s="62">
        <f>+I28-'2024-selected'!$R$48</f>
        <v>55</v>
      </c>
      <c r="L28" s="19" t="s">
        <v>107</v>
      </c>
      <c r="M28" s="19">
        <v>40800</v>
      </c>
      <c r="N28" s="19"/>
      <c r="O28" s="19"/>
      <c r="P28" s="19">
        <v>5.4919999999999997E-2</v>
      </c>
      <c r="Q28" s="19">
        <v>0.15037999999999999</v>
      </c>
      <c r="R28" s="19">
        <v>2127.461139896373</v>
      </c>
      <c r="S28" s="19">
        <v>1</v>
      </c>
      <c r="T28" s="19">
        <v>0.96499999999999997</v>
      </c>
      <c r="U28" s="27">
        <f t="shared" si="0"/>
        <v>0.96499999999999997</v>
      </c>
      <c r="V28" s="19">
        <v>990.12940159780203</v>
      </c>
      <c r="W28" s="19">
        <v>0</v>
      </c>
      <c r="X28" s="19">
        <v>1606.0549683194395</v>
      </c>
      <c r="Y28" s="19"/>
      <c r="Z28" s="19"/>
      <c r="AA28" s="19"/>
      <c r="AB28" s="19"/>
      <c r="AC28" s="19"/>
      <c r="AD28" s="19"/>
      <c r="AE28" s="19"/>
      <c r="AF28" s="19">
        <v>41.147999999999996</v>
      </c>
      <c r="AG28" s="19">
        <v>13.6</v>
      </c>
    </row>
    <row r="29" spans="1:33" hidden="1" x14ac:dyDescent="0.25">
      <c r="A29">
        <v>2024</v>
      </c>
      <c r="B29" s="19">
        <v>1</v>
      </c>
      <c r="C29" s="59" t="s">
        <v>30</v>
      </c>
      <c r="D29" s="56" t="s">
        <v>38</v>
      </c>
      <c r="E29" s="24">
        <v>1</v>
      </c>
      <c r="F29" s="24"/>
      <c r="G29" s="24"/>
      <c r="H29" s="19">
        <v>5</v>
      </c>
      <c r="I29" s="25">
        <v>45483</v>
      </c>
      <c r="J29" s="18">
        <v>191</v>
      </c>
      <c r="K29" s="62">
        <f>+I29-'2024-selected'!$R$48</f>
        <v>55</v>
      </c>
      <c r="L29" s="19" t="s">
        <v>107</v>
      </c>
      <c r="M29" s="19">
        <v>40800</v>
      </c>
      <c r="N29" s="19"/>
      <c r="O29" s="19"/>
      <c r="P29" s="19">
        <v>6.8720000000000003E-2</v>
      </c>
      <c r="Q29" s="19">
        <v>0.18128</v>
      </c>
      <c r="R29" s="19">
        <v>2590.6735751295337</v>
      </c>
      <c r="S29" s="19">
        <v>1</v>
      </c>
      <c r="T29" s="19">
        <v>0.96499999999999997</v>
      </c>
      <c r="U29" s="27">
        <f t="shared" si="0"/>
        <v>0.96499999999999997</v>
      </c>
      <c r="V29" s="19">
        <v>1027.6740637082521</v>
      </c>
      <c r="W29" s="19">
        <v>0</v>
      </c>
      <c r="X29" s="19">
        <v>1747.7244898574675</v>
      </c>
      <c r="Y29" s="19"/>
      <c r="Z29" s="19"/>
      <c r="AA29" s="19"/>
      <c r="AB29" s="19"/>
      <c r="AC29" s="19"/>
      <c r="AD29" s="19"/>
      <c r="AE29" s="19"/>
      <c r="AF29" s="19">
        <v>48.768000000000001</v>
      </c>
      <c r="AG29" s="19">
        <v>14.8</v>
      </c>
    </row>
    <row r="30" spans="1:33" hidden="1" x14ac:dyDescent="0.25">
      <c r="A30">
        <v>2024</v>
      </c>
      <c r="B30" s="19">
        <v>1</v>
      </c>
      <c r="C30" s="59" t="s">
        <v>33</v>
      </c>
      <c r="D30" s="56" t="s">
        <v>38</v>
      </c>
      <c r="E30" s="24">
        <v>1</v>
      </c>
      <c r="F30" s="24"/>
      <c r="G30" s="24"/>
      <c r="H30" s="19">
        <v>8</v>
      </c>
      <c r="I30" s="25">
        <v>45483</v>
      </c>
      <c r="J30" s="18">
        <v>191</v>
      </c>
      <c r="K30" s="62">
        <f>+I30-'2024-selected'!$R$48</f>
        <v>55</v>
      </c>
      <c r="L30" s="19" t="s">
        <v>107</v>
      </c>
      <c r="M30" s="19">
        <v>40800</v>
      </c>
      <c r="N30" s="19"/>
      <c r="O30" s="19"/>
      <c r="P30" s="19">
        <v>7.9919999999999991E-2</v>
      </c>
      <c r="Q30" s="19">
        <v>0.15287999999999999</v>
      </c>
      <c r="R30" s="19">
        <v>2412.4352331606219</v>
      </c>
      <c r="S30" s="19">
        <v>1</v>
      </c>
      <c r="T30" s="19">
        <v>0.96499999999999997</v>
      </c>
      <c r="U30" s="27">
        <f t="shared" si="0"/>
        <v>0.96499999999999997</v>
      </c>
      <c r="V30" s="19">
        <v>1088.4936750221727</v>
      </c>
      <c r="W30" s="19">
        <v>0</v>
      </c>
      <c r="X30" s="19">
        <v>726.26616253559257</v>
      </c>
      <c r="Y30" s="19"/>
      <c r="Z30" s="19"/>
      <c r="AA30" s="19"/>
      <c r="AB30" s="19"/>
      <c r="AC30" s="19"/>
      <c r="AD30" s="19"/>
      <c r="AE30" s="19"/>
      <c r="AF30" s="19">
        <v>50.8</v>
      </c>
      <c r="AG30" s="19">
        <v>12.6</v>
      </c>
    </row>
    <row r="31" spans="1:33" hidden="1" x14ac:dyDescent="0.25">
      <c r="A31">
        <v>2024</v>
      </c>
      <c r="B31" s="19">
        <v>1</v>
      </c>
      <c r="C31" s="59" t="s">
        <v>28</v>
      </c>
      <c r="D31" s="56" t="s">
        <v>38</v>
      </c>
      <c r="E31" s="24">
        <v>1</v>
      </c>
      <c r="F31" s="24"/>
      <c r="G31" s="24"/>
      <c r="H31" s="19">
        <v>3</v>
      </c>
      <c r="I31" s="25">
        <v>45483</v>
      </c>
      <c r="J31" s="18">
        <v>191</v>
      </c>
      <c r="K31" s="62">
        <f>+I31-'2024-selected'!$R$48</f>
        <v>55</v>
      </c>
      <c r="L31" s="19" t="s">
        <v>107</v>
      </c>
      <c r="M31" s="19">
        <v>40800</v>
      </c>
      <c r="N31" s="19"/>
      <c r="O31" s="19"/>
      <c r="P31" s="19">
        <v>5.6819999999999996E-2</v>
      </c>
      <c r="Q31" s="19">
        <v>0.20357999999999998</v>
      </c>
      <c r="R31" s="19">
        <v>2698.445595854922</v>
      </c>
      <c r="S31" s="19">
        <v>1</v>
      </c>
      <c r="T31" s="19">
        <v>0.96499999999999997</v>
      </c>
      <c r="U31" s="27">
        <f t="shared" si="0"/>
        <v>0.96499999999999997</v>
      </c>
      <c r="V31" s="19">
        <v>1109.3926279333155</v>
      </c>
      <c r="W31" s="19">
        <v>0</v>
      </c>
      <c r="X31" s="19">
        <v>1456.0778241624762</v>
      </c>
      <c r="Y31" s="19"/>
      <c r="Z31" s="19"/>
      <c r="AA31" s="19"/>
      <c r="AB31" s="19"/>
      <c r="AC31" s="19"/>
      <c r="AD31" s="19"/>
      <c r="AE31" s="19"/>
      <c r="AF31" s="19">
        <v>42.672000000000004</v>
      </c>
      <c r="AG31" s="19">
        <v>12.2</v>
      </c>
    </row>
    <row r="32" spans="1:33" hidden="1" x14ac:dyDescent="0.25">
      <c r="A32">
        <v>2024</v>
      </c>
      <c r="B32" s="19">
        <v>1</v>
      </c>
      <c r="C32" s="59" t="s">
        <v>27</v>
      </c>
      <c r="D32" s="56" t="s">
        <v>38</v>
      </c>
      <c r="E32" s="24">
        <v>1</v>
      </c>
      <c r="F32" s="24"/>
      <c r="G32" s="24"/>
      <c r="H32" s="19">
        <v>2</v>
      </c>
      <c r="I32" s="25">
        <v>45483</v>
      </c>
      <c r="J32" s="18">
        <v>191</v>
      </c>
      <c r="K32" s="62">
        <f>+I32-'2024-selected'!$R$48</f>
        <v>55</v>
      </c>
      <c r="L32" s="19" t="s">
        <v>107</v>
      </c>
      <c r="M32" s="19">
        <v>40800</v>
      </c>
      <c r="N32" s="19"/>
      <c r="O32" s="19"/>
      <c r="P32" s="19">
        <v>5.552E-2</v>
      </c>
      <c r="Q32" s="19">
        <v>0.18858</v>
      </c>
      <c r="R32" s="19">
        <v>2529.5336787564765</v>
      </c>
      <c r="S32" s="19">
        <v>1</v>
      </c>
      <c r="T32" s="19">
        <v>0.96499999999999997</v>
      </c>
      <c r="U32" s="27">
        <f t="shared" si="0"/>
        <v>0.96499999999999997</v>
      </c>
      <c r="V32" s="19">
        <v>1132.640620567111</v>
      </c>
      <c r="W32" s="19">
        <v>0</v>
      </c>
      <c r="X32" s="19">
        <v>0</v>
      </c>
      <c r="Y32" s="19"/>
      <c r="Z32" s="19"/>
      <c r="AA32" s="19"/>
      <c r="AB32" s="19"/>
      <c r="AC32" s="19"/>
      <c r="AD32" s="19"/>
      <c r="AE32" s="19"/>
      <c r="AF32" s="19">
        <v>37.083999999999996</v>
      </c>
      <c r="AG32" s="19">
        <v>12.2</v>
      </c>
    </row>
    <row r="33" spans="1:33" hidden="1" x14ac:dyDescent="0.25">
      <c r="A33">
        <v>2024</v>
      </c>
      <c r="B33" s="19">
        <v>1</v>
      </c>
      <c r="C33" s="59" t="s">
        <v>29</v>
      </c>
      <c r="D33" s="56" t="s">
        <v>38</v>
      </c>
      <c r="E33" s="24">
        <v>1</v>
      </c>
      <c r="F33" s="24"/>
      <c r="G33" s="24"/>
      <c r="H33" s="19">
        <v>4</v>
      </c>
      <c r="I33" s="25">
        <v>45483</v>
      </c>
      <c r="J33" s="18">
        <v>191</v>
      </c>
      <c r="K33" s="62">
        <f>+I33-'2024-selected'!$R$48</f>
        <v>55</v>
      </c>
      <c r="L33" s="19" t="s">
        <v>107</v>
      </c>
      <c r="M33" s="19">
        <v>40800</v>
      </c>
      <c r="N33" s="19"/>
      <c r="O33" s="19"/>
      <c r="P33" s="19">
        <v>7.8920000000000004E-2</v>
      </c>
      <c r="Q33" s="19">
        <v>0.15628</v>
      </c>
      <c r="R33" s="19">
        <v>2437.3056994818653</v>
      </c>
      <c r="S33" s="19">
        <v>1</v>
      </c>
      <c r="T33" s="19">
        <v>0.96499999999999997</v>
      </c>
      <c r="U33" s="27">
        <f t="shared" si="0"/>
        <v>0.96499999999999997</v>
      </c>
      <c r="V33" s="19">
        <v>1005.5584588840541</v>
      </c>
      <c r="W33" s="19">
        <v>6.1766490103442893</v>
      </c>
      <c r="X33" s="19">
        <v>1024.0884059150867</v>
      </c>
      <c r="Y33" s="19"/>
      <c r="Z33" s="19"/>
      <c r="AA33" s="19"/>
      <c r="AB33" s="19"/>
      <c r="AC33" s="19"/>
      <c r="AD33" s="19"/>
      <c r="AE33" s="19"/>
      <c r="AF33" s="19">
        <v>49.784000000000006</v>
      </c>
      <c r="AG33" s="19">
        <v>14.8</v>
      </c>
    </row>
    <row r="34" spans="1:33" hidden="1" x14ac:dyDescent="0.25">
      <c r="A34">
        <v>2024</v>
      </c>
      <c r="B34" s="19">
        <v>1</v>
      </c>
      <c r="C34" s="59" t="s">
        <v>24</v>
      </c>
      <c r="D34" s="56" t="s">
        <v>38</v>
      </c>
      <c r="E34" s="24">
        <v>2</v>
      </c>
      <c r="F34" s="24"/>
      <c r="G34" s="24"/>
      <c r="H34" s="19">
        <v>14</v>
      </c>
      <c r="I34" s="25">
        <v>45483</v>
      </c>
      <c r="J34" s="18">
        <v>191</v>
      </c>
      <c r="K34" s="62">
        <f>+I34-'2024-selected'!$R$48</f>
        <v>55</v>
      </c>
      <c r="L34" s="19" t="s">
        <v>107</v>
      </c>
      <c r="M34" s="19">
        <v>40800</v>
      </c>
      <c r="N34" s="19"/>
      <c r="O34" s="19"/>
      <c r="P34" s="19"/>
      <c r="Q34" s="19"/>
      <c r="R34" s="19"/>
      <c r="S34" s="19">
        <v>1</v>
      </c>
      <c r="T34" s="19">
        <v>0.96499999999999997</v>
      </c>
      <c r="U34" s="27">
        <f t="shared" si="0"/>
        <v>0.96499999999999997</v>
      </c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idden="1" x14ac:dyDescent="0.25">
      <c r="A35">
        <v>2024</v>
      </c>
      <c r="B35" s="19">
        <v>1</v>
      </c>
      <c r="C35" s="59" t="s">
        <v>27</v>
      </c>
      <c r="D35" s="56" t="s">
        <v>38</v>
      </c>
      <c r="E35" s="24">
        <v>2</v>
      </c>
      <c r="F35" s="24"/>
      <c r="G35" s="24"/>
      <c r="H35" s="19">
        <v>9</v>
      </c>
      <c r="I35" s="25">
        <v>45483</v>
      </c>
      <c r="J35" s="18">
        <v>191</v>
      </c>
      <c r="K35" s="62">
        <f>+I35-'2024-selected'!$R$48</f>
        <v>55</v>
      </c>
      <c r="L35" s="19" t="s">
        <v>107</v>
      </c>
      <c r="M35" s="19">
        <v>40800</v>
      </c>
      <c r="N35" s="19"/>
      <c r="O35" s="19"/>
      <c r="P35" s="19">
        <v>4.4919999999999988E-2</v>
      </c>
      <c r="Q35" s="19">
        <v>0.18698000000000001</v>
      </c>
      <c r="R35" s="19">
        <v>2403.1088082901556</v>
      </c>
      <c r="S35" s="19">
        <v>1</v>
      </c>
      <c r="T35" s="19">
        <v>0.96499999999999997</v>
      </c>
      <c r="U35" s="27">
        <f t="shared" si="0"/>
        <v>0.96499999999999997</v>
      </c>
      <c r="V35" s="19">
        <v>1014.3130677912144</v>
      </c>
      <c r="W35" s="19">
        <v>0</v>
      </c>
      <c r="X35" s="19">
        <v>2346.4014321372715</v>
      </c>
      <c r="Y35" s="19"/>
      <c r="Z35" s="19"/>
      <c r="AA35" s="19"/>
      <c r="AB35" s="19"/>
      <c r="AC35" s="19"/>
      <c r="AD35" s="19"/>
      <c r="AE35" s="19"/>
      <c r="AF35" s="19">
        <v>44.195999999999998</v>
      </c>
      <c r="AG35" s="19">
        <v>10.6</v>
      </c>
    </row>
    <row r="36" spans="1:33" hidden="1" x14ac:dyDescent="0.25">
      <c r="A36">
        <v>2024</v>
      </c>
      <c r="B36" s="19">
        <v>1</v>
      </c>
      <c r="C36" s="59" t="s">
        <v>31</v>
      </c>
      <c r="D36" s="56" t="s">
        <v>38</v>
      </c>
      <c r="E36" s="24">
        <v>2</v>
      </c>
      <c r="F36" s="24"/>
      <c r="G36" s="24"/>
      <c r="H36" s="19">
        <v>13</v>
      </c>
      <c r="I36" s="25">
        <v>45483</v>
      </c>
      <c r="J36" s="18">
        <v>191</v>
      </c>
      <c r="K36" s="62">
        <f>+I36-'2024-selected'!$R$48</f>
        <v>55</v>
      </c>
      <c r="L36" s="19" t="s">
        <v>107</v>
      </c>
      <c r="M36" s="19">
        <v>40800</v>
      </c>
      <c r="N36" s="19"/>
      <c r="O36" s="19"/>
      <c r="P36" s="19">
        <v>8.3519999999999997E-2</v>
      </c>
      <c r="Q36" s="19">
        <v>0.14327999999999999</v>
      </c>
      <c r="R36" s="19">
        <v>2350.2590673575132</v>
      </c>
      <c r="S36" s="19">
        <v>1</v>
      </c>
      <c r="T36" s="19">
        <v>0.96499999999999997</v>
      </c>
      <c r="U36" s="27">
        <f t="shared" si="0"/>
        <v>0.96499999999999997</v>
      </c>
      <c r="V36" s="19">
        <v>1099.1513310702164</v>
      </c>
      <c r="W36" s="19">
        <v>0</v>
      </c>
      <c r="X36" s="19">
        <v>1251.1077362872968</v>
      </c>
      <c r="Y36" s="19"/>
      <c r="Z36" s="19"/>
      <c r="AA36" s="19"/>
      <c r="AB36" s="19"/>
      <c r="AC36" s="19"/>
      <c r="AD36" s="19"/>
      <c r="AE36" s="19"/>
      <c r="AF36" s="19"/>
      <c r="AG36" s="19"/>
    </row>
    <row r="37" spans="1:33" hidden="1" x14ac:dyDescent="0.25">
      <c r="A37">
        <v>2024</v>
      </c>
      <c r="B37" s="19">
        <v>1</v>
      </c>
      <c r="C37" s="59" t="s">
        <v>28</v>
      </c>
      <c r="D37" s="56" t="s">
        <v>38</v>
      </c>
      <c r="E37" s="24">
        <v>2</v>
      </c>
      <c r="F37" s="24"/>
      <c r="G37" s="24"/>
      <c r="H37" s="19">
        <v>12</v>
      </c>
      <c r="I37" s="25">
        <v>45483</v>
      </c>
      <c r="J37" s="18">
        <v>191</v>
      </c>
      <c r="K37" s="62">
        <f>+I37-'2024-selected'!$R$48</f>
        <v>55</v>
      </c>
      <c r="L37" s="19" t="s">
        <v>107</v>
      </c>
      <c r="M37" s="19">
        <v>40800</v>
      </c>
      <c r="N37" s="19"/>
      <c r="O37" s="19"/>
      <c r="P37" s="19">
        <v>8.6719999999999992E-2</v>
      </c>
      <c r="Q37" s="19">
        <v>0.17748000000000003</v>
      </c>
      <c r="R37" s="19">
        <v>2737.8238341968913</v>
      </c>
      <c r="S37" s="19">
        <v>1</v>
      </c>
      <c r="T37" s="19">
        <v>0.96499999999999997</v>
      </c>
      <c r="U37" s="27">
        <f t="shared" si="0"/>
        <v>0.96499999999999997</v>
      </c>
      <c r="V37" s="19">
        <v>1160.5443282412098</v>
      </c>
      <c r="W37" s="19">
        <v>0</v>
      </c>
      <c r="X37" s="19">
        <v>1577.2795059556813</v>
      </c>
      <c r="Y37" s="19"/>
      <c r="Z37" s="19"/>
      <c r="AA37" s="19"/>
      <c r="AB37" s="19"/>
      <c r="AC37" s="19"/>
      <c r="AD37" s="19"/>
      <c r="AE37" s="19"/>
      <c r="AF37" s="19">
        <v>41.655999999999999</v>
      </c>
      <c r="AG37" s="19">
        <v>13</v>
      </c>
    </row>
    <row r="38" spans="1:33" hidden="1" x14ac:dyDescent="0.25">
      <c r="A38">
        <v>2024</v>
      </c>
      <c r="B38" s="19">
        <v>1</v>
      </c>
      <c r="C38" s="59" t="s">
        <v>32</v>
      </c>
      <c r="D38" s="56" t="s">
        <v>38</v>
      </c>
      <c r="E38" s="24">
        <v>2</v>
      </c>
      <c r="F38" s="24"/>
      <c r="G38" s="24"/>
      <c r="H38" s="19">
        <v>11</v>
      </c>
      <c r="I38" s="25">
        <v>45483</v>
      </c>
      <c r="J38" s="18">
        <v>191</v>
      </c>
      <c r="K38" s="62">
        <f>+I38-'2024-selected'!$R$48</f>
        <v>55</v>
      </c>
      <c r="L38" s="19" t="s">
        <v>107</v>
      </c>
      <c r="M38" s="19">
        <v>40800</v>
      </c>
      <c r="N38" s="19"/>
      <c r="O38" s="19"/>
      <c r="P38" s="19">
        <v>7.7119999999999994E-2</v>
      </c>
      <c r="Q38" s="19">
        <v>0.17208000000000001</v>
      </c>
      <c r="R38" s="19">
        <v>2582.3834196891194</v>
      </c>
      <c r="S38" s="19">
        <v>1</v>
      </c>
      <c r="T38" s="19">
        <v>0.96499999999999997</v>
      </c>
      <c r="U38" s="27">
        <f t="shared" si="0"/>
        <v>0.96499999999999997</v>
      </c>
      <c r="V38" s="19">
        <v>1177.3418184163568</v>
      </c>
      <c r="W38" s="19">
        <v>0</v>
      </c>
      <c r="X38" s="19">
        <v>1405.0416012727624</v>
      </c>
      <c r="Y38" s="19"/>
      <c r="Z38" s="19"/>
      <c r="AA38" s="19"/>
      <c r="AB38" s="19"/>
      <c r="AC38" s="19"/>
      <c r="AD38" s="19"/>
      <c r="AE38" s="19"/>
      <c r="AF38" s="19">
        <v>40.64</v>
      </c>
      <c r="AG38" s="19">
        <v>15.4</v>
      </c>
    </row>
    <row r="39" spans="1:33" hidden="1" x14ac:dyDescent="0.25">
      <c r="A39">
        <v>2024</v>
      </c>
      <c r="B39" s="19">
        <v>1</v>
      </c>
      <c r="C39" s="59" t="s">
        <v>33</v>
      </c>
      <c r="D39" s="56" t="s">
        <v>38</v>
      </c>
      <c r="E39" s="24">
        <v>2</v>
      </c>
      <c r="F39" s="24"/>
      <c r="G39" s="24"/>
      <c r="H39" s="19">
        <v>10</v>
      </c>
      <c r="I39" s="25">
        <v>45483</v>
      </c>
      <c r="J39" s="18">
        <v>191</v>
      </c>
      <c r="K39" s="62">
        <f>+I39-'2024-selected'!$R$48</f>
        <v>55</v>
      </c>
      <c r="L39" s="19" t="s">
        <v>107</v>
      </c>
      <c r="M39" s="19">
        <v>40800</v>
      </c>
      <c r="N39" s="19"/>
      <c r="O39" s="19"/>
      <c r="P39" s="19">
        <v>4.9519999999999995E-2</v>
      </c>
      <c r="Q39" s="19">
        <v>0.20928000000000002</v>
      </c>
      <c r="R39" s="19">
        <v>2681.8652849740938</v>
      </c>
      <c r="S39" s="19">
        <v>1</v>
      </c>
      <c r="T39" s="19">
        <v>0.96499999999999997</v>
      </c>
      <c r="U39" s="27">
        <f t="shared" si="0"/>
        <v>0.96499999999999997</v>
      </c>
      <c r="V39" s="19">
        <v>1221.7867695681655</v>
      </c>
      <c r="W39" s="19">
        <v>0</v>
      </c>
      <c r="X39" s="19">
        <v>1460.0785154059283</v>
      </c>
      <c r="Y39" s="19"/>
      <c r="Z39" s="19"/>
      <c r="AA39" s="19"/>
      <c r="AB39" s="19"/>
      <c r="AC39" s="19"/>
      <c r="AD39" s="19"/>
      <c r="AE39" s="19"/>
      <c r="AF39" s="19">
        <v>45.212000000000003</v>
      </c>
      <c r="AG39" s="19">
        <v>13.8</v>
      </c>
    </row>
    <row r="40" spans="1:33" hidden="1" x14ac:dyDescent="0.25">
      <c r="A40">
        <v>2024</v>
      </c>
      <c r="B40" s="19">
        <v>1</v>
      </c>
      <c r="C40" s="59" t="s">
        <v>30</v>
      </c>
      <c r="D40" s="56" t="s">
        <v>38</v>
      </c>
      <c r="E40" s="24">
        <v>2</v>
      </c>
      <c r="F40" s="24"/>
      <c r="G40" s="24"/>
      <c r="H40" s="19">
        <v>15</v>
      </c>
      <c r="I40" s="25">
        <v>45483</v>
      </c>
      <c r="J40" s="18">
        <v>191</v>
      </c>
      <c r="K40" s="62">
        <f>+I40-'2024-selected'!$R$48</f>
        <v>55</v>
      </c>
      <c r="L40" s="19" t="s">
        <v>107</v>
      </c>
      <c r="M40" s="19">
        <v>40800</v>
      </c>
      <c r="N40" s="19"/>
      <c r="O40" s="19"/>
      <c r="P40" s="19"/>
      <c r="Q40" s="19"/>
      <c r="R40" s="19"/>
      <c r="S40" s="19">
        <v>1</v>
      </c>
      <c r="T40" s="19">
        <v>0.96499999999999997</v>
      </c>
      <c r="U40" s="27">
        <f t="shared" si="0"/>
        <v>0.96499999999999997</v>
      </c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>
        <v>40.132000000000005</v>
      </c>
      <c r="AG40" s="19">
        <v>11.8</v>
      </c>
    </row>
    <row r="41" spans="1:33" hidden="1" x14ac:dyDescent="0.25">
      <c r="A41">
        <v>2024</v>
      </c>
      <c r="B41" s="19">
        <v>1</v>
      </c>
      <c r="C41" s="59" t="s">
        <v>29</v>
      </c>
      <c r="D41" s="56" t="s">
        <v>38</v>
      </c>
      <c r="E41" s="24">
        <v>2</v>
      </c>
      <c r="F41" s="24"/>
      <c r="G41" s="24"/>
      <c r="H41" s="19">
        <v>16</v>
      </c>
      <c r="I41" s="25">
        <v>45483</v>
      </c>
      <c r="J41" s="18">
        <v>191</v>
      </c>
      <c r="K41" s="62">
        <f>+I41-'2024-selected'!$R$48</f>
        <v>55</v>
      </c>
      <c r="L41" s="19" t="s">
        <v>107</v>
      </c>
      <c r="M41" s="19">
        <v>40800</v>
      </c>
      <c r="N41" s="19"/>
      <c r="O41" s="19"/>
      <c r="P41" s="19"/>
      <c r="Q41" s="19"/>
      <c r="R41" s="19"/>
      <c r="S41" s="19">
        <v>1</v>
      </c>
      <c r="T41" s="19">
        <v>0.96499999999999997</v>
      </c>
      <c r="U41" s="27">
        <f t="shared" si="0"/>
        <v>0.96499999999999997</v>
      </c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spans="1:33" hidden="1" x14ac:dyDescent="0.25">
      <c r="A42">
        <v>2024</v>
      </c>
      <c r="B42" s="19">
        <v>1</v>
      </c>
      <c r="C42" s="59" t="s">
        <v>24</v>
      </c>
      <c r="D42" s="56" t="s">
        <v>38</v>
      </c>
      <c r="E42" s="24">
        <v>3</v>
      </c>
      <c r="F42" s="24"/>
      <c r="G42" s="24"/>
      <c r="H42" s="19">
        <v>23</v>
      </c>
      <c r="I42" s="25">
        <v>45483</v>
      </c>
      <c r="J42" s="18">
        <v>191</v>
      </c>
      <c r="K42" s="62">
        <f>+I42-'2024-selected'!$R$48</f>
        <v>55</v>
      </c>
      <c r="L42" s="19" t="s">
        <v>107</v>
      </c>
      <c r="M42" s="19">
        <v>40800</v>
      </c>
      <c r="N42" s="19"/>
      <c r="O42" s="19"/>
      <c r="P42" s="19">
        <v>3.7219999999999989E-2</v>
      </c>
      <c r="Q42" s="19">
        <v>0.17138</v>
      </c>
      <c r="R42" s="19">
        <v>2161.6580310880831</v>
      </c>
      <c r="S42" s="19">
        <v>1</v>
      </c>
      <c r="T42" s="19">
        <v>0.96499999999999997</v>
      </c>
      <c r="U42" s="27">
        <f t="shared" si="0"/>
        <v>0.96499999999999997</v>
      </c>
      <c r="V42" s="19">
        <v>1031.4628326739485</v>
      </c>
      <c r="W42" s="19">
        <v>0</v>
      </c>
      <c r="X42" s="19">
        <v>1130.1951984141347</v>
      </c>
      <c r="Y42" s="19"/>
      <c r="Z42" s="19"/>
      <c r="AA42" s="19"/>
      <c r="AB42" s="19"/>
      <c r="AC42" s="19"/>
      <c r="AD42" s="19"/>
      <c r="AE42" s="19"/>
      <c r="AF42" s="19">
        <v>37.083999999999996</v>
      </c>
      <c r="AG42" s="19">
        <v>14.4</v>
      </c>
    </row>
    <row r="43" spans="1:33" hidden="1" x14ac:dyDescent="0.25">
      <c r="A43">
        <v>2024</v>
      </c>
      <c r="B43" s="19">
        <v>1</v>
      </c>
      <c r="C43" s="59" t="s">
        <v>27</v>
      </c>
      <c r="D43" s="56" t="s">
        <v>38</v>
      </c>
      <c r="E43" s="24">
        <v>3</v>
      </c>
      <c r="F43" s="24"/>
      <c r="G43" s="24"/>
      <c r="H43" s="19">
        <v>18</v>
      </c>
      <c r="I43" s="25">
        <v>45483</v>
      </c>
      <c r="J43" s="18">
        <v>191</v>
      </c>
      <c r="K43" s="62">
        <f>+I43-'2024-selected'!$R$48</f>
        <v>55</v>
      </c>
      <c r="L43" s="19" t="s">
        <v>107</v>
      </c>
      <c r="M43" s="19">
        <v>40800</v>
      </c>
      <c r="N43" s="19"/>
      <c r="O43" s="19"/>
      <c r="P43" s="19">
        <v>5.711999999999999E-2</v>
      </c>
      <c r="Q43" s="19">
        <v>0.15518000000000001</v>
      </c>
      <c r="R43" s="19">
        <v>2200</v>
      </c>
      <c r="S43" s="19">
        <v>1</v>
      </c>
      <c r="T43" s="19">
        <v>0.96499999999999997</v>
      </c>
      <c r="U43" s="27">
        <f t="shared" si="0"/>
        <v>0.96499999999999997</v>
      </c>
      <c r="V43" s="19">
        <v>880.46218487394958</v>
      </c>
      <c r="W43" s="19">
        <v>0</v>
      </c>
      <c r="X43" s="19">
        <v>1319.5378151260504</v>
      </c>
      <c r="Y43" s="19"/>
      <c r="Z43" s="19"/>
      <c r="AA43" s="19"/>
      <c r="AB43" s="19"/>
      <c r="AC43" s="19"/>
      <c r="AD43" s="19"/>
      <c r="AE43" s="19"/>
      <c r="AF43" s="19">
        <v>38.607999999999997</v>
      </c>
      <c r="AG43" s="19">
        <v>11.6</v>
      </c>
    </row>
    <row r="44" spans="1:33" hidden="1" x14ac:dyDescent="0.25">
      <c r="A44">
        <v>2024</v>
      </c>
      <c r="B44" s="19">
        <v>1</v>
      </c>
      <c r="C44" s="59" t="s">
        <v>32</v>
      </c>
      <c r="D44" s="56" t="s">
        <v>38</v>
      </c>
      <c r="E44" s="24">
        <v>3</v>
      </c>
      <c r="F44" s="24"/>
      <c r="G44" s="24"/>
      <c r="H44" s="19">
        <v>22</v>
      </c>
      <c r="I44" s="25">
        <v>45483</v>
      </c>
      <c r="J44" s="18">
        <v>191</v>
      </c>
      <c r="K44" s="62">
        <f>+I44-'2024-selected'!$R$48</f>
        <v>55</v>
      </c>
      <c r="L44" s="19" t="s">
        <v>107</v>
      </c>
      <c r="M44" s="19">
        <v>40800</v>
      </c>
      <c r="N44" s="19"/>
      <c r="O44" s="19"/>
      <c r="P44" s="19">
        <v>8.2320000000000004E-2</v>
      </c>
      <c r="Q44" s="19">
        <v>0.10728</v>
      </c>
      <c r="R44" s="19">
        <v>1964.7668393782385</v>
      </c>
      <c r="S44" s="19">
        <v>1</v>
      </c>
      <c r="T44" s="19">
        <v>0.96499999999999997</v>
      </c>
      <c r="U44" s="27">
        <f t="shared" si="0"/>
        <v>0.96499999999999997</v>
      </c>
      <c r="V44" s="19">
        <v>1008.6375927128807</v>
      </c>
      <c r="W44" s="19">
        <v>0</v>
      </c>
      <c r="X44" s="19">
        <v>956.12924666535764</v>
      </c>
      <c r="Y44" s="19"/>
      <c r="Z44" s="19"/>
      <c r="AA44" s="19"/>
      <c r="AB44" s="19"/>
      <c r="AC44" s="19"/>
      <c r="AD44" s="19"/>
      <c r="AE44" s="19"/>
      <c r="AF44" s="19">
        <v>35.56</v>
      </c>
      <c r="AG44" s="19">
        <v>13.4</v>
      </c>
    </row>
    <row r="45" spans="1:33" hidden="1" x14ac:dyDescent="0.25">
      <c r="A45">
        <v>2024</v>
      </c>
      <c r="B45" s="19">
        <v>1</v>
      </c>
      <c r="C45" s="59" t="s">
        <v>28</v>
      </c>
      <c r="D45" s="56" t="s">
        <v>38</v>
      </c>
      <c r="E45" s="24">
        <v>3</v>
      </c>
      <c r="F45" s="24"/>
      <c r="G45" s="24"/>
      <c r="H45" s="19">
        <v>24</v>
      </c>
      <c r="I45" s="25">
        <v>45483</v>
      </c>
      <c r="J45" s="18">
        <v>191</v>
      </c>
      <c r="K45" s="62">
        <f>+I45-'2024-selected'!$R$48</f>
        <v>55</v>
      </c>
      <c r="L45" s="19" t="s">
        <v>107</v>
      </c>
      <c r="M45" s="19">
        <v>40800</v>
      </c>
      <c r="N45" s="19"/>
      <c r="O45" s="19"/>
      <c r="P45" s="19">
        <v>4.8019999999999993E-2</v>
      </c>
      <c r="Q45" s="19">
        <v>0.20698000000000003</v>
      </c>
      <c r="R45" s="19">
        <v>2642.4870466321245</v>
      </c>
      <c r="S45" s="19">
        <v>1</v>
      </c>
      <c r="T45" s="19">
        <v>0.96499999999999997</v>
      </c>
      <c r="U45" s="27">
        <f t="shared" si="0"/>
        <v>0.96499999999999997</v>
      </c>
      <c r="V45" s="19">
        <v>1037.8447667530586</v>
      </c>
      <c r="W45" s="19">
        <v>0</v>
      </c>
      <c r="X45" s="19">
        <v>1604.6422798790659</v>
      </c>
      <c r="Y45" s="19"/>
      <c r="Z45" s="19"/>
      <c r="AA45" s="19"/>
      <c r="AB45" s="19"/>
      <c r="AC45" s="19"/>
      <c r="AD45" s="19"/>
      <c r="AE45" s="19"/>
      <c r="AF45" s="19">
        <v>44.195999999999998</v>
      </c>
      <c r="AG45" s="19">
        <v>11.4</v>
      </c>
    </row>
    <row r="46" spans="1:33" hidden="1" x14ac:dyDescent="0.25">
      <c r="A46">
        <v>2024</v>
      </c>
      <c r="B46" s="19">
        <v>1</v>
      </c>
      <c r="C46" s="59" t="s">
        <v>33</v>
      </c>
      <c r="D46" s="56" t="s">
        <v>38</v>
      </c>
      <c r="E46" s="24">
        <v>3</v>
      </c>
      <c r="F46" s="24"/>
      <c r="G46" s="24"/>
      <c r="H46" s="19">
        <v>17</v>
      </c>
      <c r="I46" s="25">
        <v>45483</v>
      </c>
      <c r="J46" s="18">
        <v>191</v>
      </c>
      <c r="K46" s="62">
        <f>+I46-'2024-selected'!$R$48</f>
        <v>55</v>
      </c>
      <c r="L46" s="19" t="s">
        <v>107</v>
      </c>
      <c r="M46" s="19">
        <v>40800</v>
      </c>
      <c r="N46" s="19"/>
      <c r="O46" s="19"/>
      <c r="P46" s="19">
        <v>5.2419999999999994E-2</v>
      </c>
      <c r="Q46" s="19">
        <v>0.20138</v>
      </c>
      <c r="R46" s="19">
        <v>2630.051813471503</v>
      </c>
      <c r="S46" s="19">
        <v>1</v>
      </c>
      <c r="T46" s="19">
        <v>0.96499999999999997</v>
      </c>
      <c r="U46" s="27">
        <f t="shared" si="0"/>
        <v>0.96499999999999997</v>
      </c>
      <c r="V46" s="19">
        <v>1121.8610940332471</v>
      </c>
      <c r="W46" s="19">
        <v>0</v>
      </c>
      <c r="X46" s="19">
        <v>1508.1907194382559</v>
      </c>
      <c r="Y46" s="19"/>
      <c r="Z46" s="19"/>
      <c r="AA46" s="19"/>
      <c r="AB46" s="19"/>
      <c r="AC46" s="19"/>
      <c r="AD46" s="19"/>
      <c r="AE46" s="19"/>
      <c r="AF46" s="19">
        <v>47.752000000000002</v>
      </c>
      <c r="AG46" s="19">
        <v>10.199999999999999</v>
      </c>
    </row>
    <row r="47" spans="1:33" hidden="1" x14ac:dyDescent="0.25">
      <c r="A47">
        <v>2024</v>
      </c>
      <c r="B47" s="19">
        <v>1</v>
      </c>
      <c r="C47" s="59" t="s">
        <v>30</v>
      </c>
      <c r="D47" s="56" t="s">
        <v>38</v>
      </c>
      <c r="E47" s="24">
        <v>3</v>
      </c>
      <c r="F47" s="24"/>
      <c r="G47" s="24"/>
      <c r="H47" s="19">
        <v>21</v>
      </c>
      <c r="I47" s="25">
        <v>45483</v>
      </c>
      <c r="J47" s="18">
        <v>191</v>
      </c>
      <c r="K47" s="62">
        <f>+I47-'2024-selected'!$R$48</f>
        <v>55</v>
      </c>
      <c r="L47" s="19" t="s">
        <v>107</v>
      </c>
      <c r="M47" s="19">
        <v>40800</v>
      </c>
      <c r="N47" s="19"/>
      <c r="O47" s="19"/>
      <c r="P47" s="19">
        <v>4.161999999999999E-2</v>
      </c>
      <c r="Q47" s="19">
        <v>0.23028000000000004</v>
      </c>
      <c r="R47" s="19">
        <v>2817.6165803108815</v>
      </c>
      <c r="S47" s="19">
        <v>1</v>
      </c>
      <c r="T47" s="19">
        <v>0.96499999999999997</v>
      </c>
      <c r="U47" s="27">
        <f t="shared" si="0"/>
        <v>0.96499999999999997</v>
      </c>
      <c r="V47" s="19">
        <v>1222.6370841041451</v>
      </c>
      <c r="W47" s="19">
        <v>0</v>
      </c>
      <c r="X47" s="19">
        <v>1594.9794962067363</v>
      </c>
      <c r="Y47" s="19"/>
      <c r="Z47" s="19"/>
      <c r="AA47" s="19"/>
      <c r="AB47" s="19"/>
      <c r="AC47" s="19"/>
      <c r="AD47" s="19"/>
      <c r="AE47" s="19"/>
      <c r="AF47" s="19">
        <v>46.735999999999997</v>
      </c>
      <c r="AG47" s="19">
        <v>13.4</v>
      </c>
    </row>
    <row r="48" spans="1:33" hidden="1" x14ac:dyDescent="0.25">
      <c r="A48">
        <v>2024</v>
      </c>
      <c r="B48" s="19">
        <v>1</v>
      </c>
      <c r="C48" s="59" t="s">
        <v>29</v>
      </c>
      <c r="D48" s="56" t="s">
        <v>38</v>
      </c>
      <c r="E48" s="24">
        <v>3</v>
      </c>
      <c r="F48" s="24"/>
      <c r="G48" s="24"/>
      <c r="H48" s="19">
        <v>19</v>
      </c>
      <c r="I48" s="25">
        <v>45483</v>
      </c>
      <c r="J48" s="18">
        <v>191</v>
      </c>
      <c r="K48" s="62">
        <f>+I48-'2024-selected'!$R$48</f>
        <v>55</v>
      </c>
      <c r="L48" s="19" t="s">
        <v>107</v>
      </c>
      <c r="M48" s="19">
        <v>40800</v>
      </c>
      <c r="N48" s="19"/>
      <c r="O48" s="19"/>
      <c r="P48" s="19">
        <v>5.1419999999999993E-2</v>
      </c>
      <c r="Q48" s="19">
        <v>0.14008000000000001</v>
      </c>
      <c r="R48" s="19">
        <v>1984.4559585492229</v>
      </c>
      <c r="S48" s="19">
        <v>1</v>
      </c>
      <c r="T48" s="19">
        <v>0.96499999999999997</v>
      </c>
      <c r="U48" s="27">
        <f t="shared" si="0"/>
        <v>0.96499999999999997</v>
      </c>
      <c r="V48" s="19">
        <v>835.92602221268316</v>
      </c>
      <c r="W48" s="19">
        <v>0</v>
      </c>
      <c r="X48" s="19">
        <v>1148.52993633654</v>
      </c>
      <c r="Y48" s="19"/>
      <c r="Z48" s="19"/>
      <c r="AA48" s="19"/>
      <c r="AB48" s="19"/>
      <c r="AC48" s="19"/>
      <c r="AD48" s="19"/>
      <c r="AE48" s="19"/>
      <c r="AF48" s="19">
        <v>44.704000000000008</v>
      </c>
      <c r="AG48" s="19">
        <v>12.4</v>
      </c>
    </row>
    <row r="49" spans="1:33" hidden="1" x14ac:dyDescent="0.25">
      <c r="A49">
        <v>2024</v>
      </c>
      <c r="B49" s="19">
        <v>1</v>
      </c>
      <c r="C49" s="59" t="s">
        <v>31</v>
      </c>
      <c r="D49" s="56" t="s">
        <v>38</v>
      </c>
      <c r="E49" s="24">
        <v>3</v>
      </c>
      <c r="F49" s="24"/>
      <c r="G49" s="24"/>
      <c r="H49" s="19">
        <v>20</v>
      </c>
      <c r="I49" s="25">
        <v>45483</v>
      </c>
      <c r="J49" s="18">
        <v>191</v>
      </c>
      <c r="K49" s="62">
        <f>+I49-'2024-selected'!$R$48</f>
        <v>55</v>
      </c>
      <c r="L49" s="19" t="s">
        <v>107</v>
      </c>
      <c r="M49" s="19">
        <v>40800</v>
      </c>
      <c r="N49" s="19"/>
      <c r="O49" s="19"/>
      <c r="P49" s="19">
        <v>7.3819999999999997E-2</v>
      </c>
      <c r="Q49" s="19">
        <v>0.18698000000000001</v>
      </c>
      <c r="R49" s="19">
        <v>2702.59067357513</v>
      </c>
      <c r="S49" s="19">
        <v>1</v>
      </c>
      <c r="T49" s="19">
        <v>0.96499999999999997</v>
      </c>
      <c r="U49" s="27">
        <f t="shared" si="0"/>
        <v>0.96499999999999997</v>
      </c>
      <c r="V49" s="19">
        <v>1294.5489869631078</v>
      </c>
      <c r="W49" s="19">
        <v>0</v>
      </c>
      <c r="X49" s="19">
        <v>1408.0416866120224</v>
      </c>
      <c r="Y49" s="19"/>
      <c r="Z49" s="19"/>
      <c r="AA49" s="19"/>
      <c r="AB49" s="19"/>
      <c r="AC49" s="19"/>
      <c r="AD49" s="19"/>
      <c r="AE49" s="19"/>
      <c r="AF49" s="19">
        <v>40.64</v>
      </c>
      <c r="AG49" s="19">
        <v>14</v>
      </c>
    </row>
    <row r="50" spans="1:33" hidden="1" x14ac:dyDescent="0.25">
      <c r="A50">
        <v>2024</v>
      </c>
      <c r="B50">
        <v>1</v>
      </c>
      <c r="C50" t="s">
        <v>24</v>
      </c>
      <c r="D50" t="s">
        <v>25</v>
      </c>
      <c r="E50">
        <v>1</v>
      </c>
      <c r="F50">
        <v>1</v>
      </c>
      <c r="G50">
        <v>1</v>
      </c>
      <c r="H50">
        <v>1</v>
      </c>
      <c r="I50" s="12">
        <v>45489</v>
      </c>
      <c r="J50">
        <v>197</v>
      </c>
      <c r="K50">
        <f t="shared" ref="K50:K81" si="1">+J50-$AH$6</f>
        <v>55</v>
      </c>
      <c r="L50" t="s">
        <v>26</v>
      </c>
      <c r="M50">
        <v>37100</v>
      </c>
      <c r="P50">
        <v>2.826E-2</v>
      </c>
      <c r="Q50">
        <v>3.5590000000000004E-2</v>
      </c>
      <c r="R50">
        <v>698.57768052516406</v>
      </c>
      <c r="S50">
        <v>1</v>
      </c>
      <c r="T50">
        <v>0.91400000000000003</v>
      </c>
      <c r="U50">
        <v>0.91400000000000003</v>
      </c>
      <c r="V50">
        <v>348.54725036818166</v>
      </c>
      <c r="W50">
        <v>0</v>
      </c>
      <c r="X50" s="16">
        <v>350.03043015698233</v>
      </c>
      <c r="Y50">
        <v>0</v>
      </c>
      <c r="AF50">
        <v>32.512</v>
      </c>
      <c r="AG50">
        <v>10.4</v>
      </c>
    </row>
    <row r="51" spans="1:33" hidden="1" x14ac:dyDescent="0.25">
      <c r="A51">
        <v>2024</v>
      </c>
      <c r="B51">
        <v>1</v>
      </c>
      <c r="C51" t="s">
        <v>27</v>
      </c>
      <c r="D51" t="s">
        <v>25</v>
      </c>
      <c r="E51">
        <v>1</v>
      </c>
      <c r="F51">
        <v>2</v>
      </c>
      <c r="G51">
        <v>1</v>
      </c>
      <c r="H51">
        <v>2</v>
      </c>
      <c r="I51" s="12">
        <v>45489</v>
      </c>
      <c r="J51">
        <v>197</v>
      </c>
      <c r="K51">
        <f t="shared" si="1"/>
        <v>55</v>
      </c>
      <c r="L51" t="s">
        <v>26</v>
      </c>
      <c r="M51">
        <v>37100</v>
      </c>
      <c r="P51">
        <v>1.686E-2</v>
      </c>
      <c r="Q51">
        <v>6.0190000000000014E-2</v>
      </c>
      <c r="R51">
        <v>842.99781181619267</v>
      </c>
      <c r="S51">
        <v>1</v>
      </c>
      <c r="T51">
        <v>0.91400000000000003</v>
      </c>
      <c r="U51">
        <v>0.91400000000000003</v>
      </c>
      <c r="V51">
        <v>404.99894873731682</v>
      </c>
      <c r="W51">
        <v>0</v>
      </c>
      <c r="X51" s="16">
        <v>437.99886307887579</v>
      </c>
      <c r="Y51">
        <v>0</v>
      </c>
      <c r="AF51">
        <v>32.003999999999998</v>
      </c>
      <c r="AG51">
        <v>9</v>
      </c>
    </row>
    <row r="52" spans="1:33" hidden="1" x14ac:dyDescent="0.25">
      <c r="A52">
        <v>2024</v>
      </c>
      <c r="B52">
        <v>1</v>
      </c>
      <c r="C52" t="s">
        <v>28</v>
      </c>
      <c r="D52" t="s">
        <v>25</v>
      </c>
      <c r="E52">
        <v>1</v>
      </c>
      <c r="F52">
        <v>3</v>
      </c>
      <c r="G52">
        <v>1</v>
      </c>
      <c r="H52">
        <v>3</v>
      </c>
      <c r="I52" s="12">
        <v>45489</v>
      </c>
      <c r="J52">
        <v>197</v>
      </c>
      <c r="K52">
        <f t="shared" si="1"/>
        <v>55</v>
      </c>
      <c r="L52" t="s">
        <v>26</v>
      </c>
      <c r="M52">
        <v>37100</v>
      </c>
      <c r="P52">
        <v>2.9060000000000002E-2</v>
      </c>
      <c r="Q52">
        <v>2.2890000000000001E-2</v>
      </c>
      <c r="R52">
        <v>568.38074398249455</v>
      </c>
      <c r="S52">
        <v>1</v>
      </c>
      <c r="T52">
        <v>0.91400000000000003</v>
      </c>
      <c r="U52">
        <v>0.91400000000000003</v>
      </c>
      <c r="V52">
        <v>260.13296266232544</v>
      </c>
      <c r="W52">
        <v>0</v>
      </c>
      <c r="X52" s="16">
        <v>308.24778132016905</v>
      </c>
      <c r="Y52">
        <v>0</v>
      </c>
      <c r="AF52">
        <v>34.798000000000002</v>
      </c>
      <c r="AG52">
        <v>10.6</v>
      </c>
    </row>
    <row r="53" spans="1:33" hidden="1" x14ac:dyDescent="0.25">
      <c r="A53">
        <v>2024</v>
      </c>
      <c r="B53">
        <v>1</v>
      </c>
      <c r="C53" t="s">
        <v>29</v>
      </c>
      <c r="D53" t="s">
        <v>25</v>
      </c>
      <c r="E53">
        <v>1</v>
      </c>
      <c r="F53">
        <v>4</v>
      </c>
      <c r="G53">
        <v>1</v>
      </c>
      <c r="H53">
        <v>4</v>
      </c>
      <c r="I53" s="12">
        <v>45489</v>
      </c>
      <c r="J53">
        <v>197</v>
      </c>
      <c r="K53">
        <f t="shared" si="1"/>
        <v>55</v>
      </c>
      <c r="L53" t="s">
        <v>26</v>
      </c>
      <c r="M53">
        <v>37100</v>
      </c>
      <c r="P53">
        <v>1.4960000000000001E-2</v>
      </c>
      <c r="Q53">
        <v>4.8090000000000001E-2</v>
      </c>
      <c r="R53">
        <v>689.82494529540475</v>
      </c>
      <c r="S53">
        <v>1</v>
      </c>
      <c r="T53">
        <v>0.91400000000000003</v>
      </c>
      <c r="U53">
        <v>0.91400000000000003</v>
      </c>
      <c r="V53">
        <v>304.33453468914922</v>
      </c>
      <c r="W53">
        <v>0</v>
      </c>
      <c r="X53" s="16">
        <v>385.49041060625552</v>
      </c>
      <c r="Y53">
        <v>0</v>
      </c>
      <c r="AF53">
        <v>33.527999999999999</v>
      </c>
      <c r="AG53">
        <v>9.4</v>
      </c>
    </row>
    <row r="54" spans="1:33" hidden="1" x14ac:dyDescent="0.25">
      <c r="A54">
        <v>2024</v>
      </c>
      <c r="B54">
        <v>1</v>
      </c>
      <c r="C54" t="s">
        <v>30</v>
      </c>
      <c r="D54" t="s">
        <v>25</v>
      </c>
      <c r="E54">
        <v>1</v>
      </c>
      <c r="F54">
        <v>5</v>
      </c>
      <c r="G54">
        <v>1</v>
      </c>
      <c r="H54">
        <v>5</v>
      </c>
      <c r="I54" s="12">
        <v>45489</v>
      </c>
      <c r="J54">
        <v>197</v>
      </c>
      <c r="K54">
        <f t="shared" si="1"/>
        <v>55</v>
      </c>
      <c r="L54" t="s">
        <v>26</v>
      </c>
      <c r="M54">
        <v>37100</v>
      </c>
      <c r="P54">
        <v>2.5359999999999997E-2</v>
      </c>
      <c r="Q54">
        <v>4.0030000000000003E-2</v>
      </c>
      <c r="R54">
        <v>715.42669584245084</v>
      </c>
      <c r="S54">
        <v>1</v>
      </c>
      <c r="T54">
        <v>0.91400000000000003</v>
      </c>
      <c r="U54">
        <v>0.91400000000000003</v>
      </c>
      <c r="V54">
        <v>355.45648137282649</v>
      </c>
      <c r="W54">
        <v>0</v>
      </c>
      <c r="X54" s="16">
        <v>359.9702144696243</v>
      </c>
      <c r="Y54">
        <v>0</v>
      </c>
      <c r="AF54">
        <v>33.020000000000003</v>
      </c>
      <c r="AG54">
        <v>11.8</v>
      </c>
    </row>
    <row r="55" spans="1:33" hidden="1" x14ac:dyDescent="0.25">
      <c r="A55">
        <v>2024</v>
      </c>
      <c r="B55">
        <v>1</v>
      </c>
      <c r="C55" t="s">
        <v>31</v>
      </c>
      <c r="D55" t="s">
        <v>25</v>
      </c>
      <c r="E55">
        <v>1</v>
      </c>
      <c r="F55">
        <v>6</v>
      </c>
      <c r="G55">
        <v>1</v>
      </c>
      <c r="H55">
        <v>6</v>
      </c>
      <c r="I55" s="12">
        <v>45489</v>
      </c>
      <c r="J55">
        <v>197</v>
      </c>
      <c r="K55">
        <f t="shared" si="1"/>
        <v>55</v>
      </c>
      <c r="L55" t="s">
        <v>26</v>
      </c>
      <c r="M55">
        <v>37100</v>
      </c>
      <c r="P55">
        <v>2.2260000000000002E-2</v>
      </c>
      <c r="Q55">
        <v>4.7090000000000007E-2</v>
      </c>
      <c r="R55">
        <v>758.75273522975942</v>
      </c>
      <c r="S55">
        <v>1</v>
      </c>
      <c r="T55">
        <v>0.91400000000000003</v>
      </c>
      <c r="U55">
        <v>0.91400000000000003</v>
      </c>
      <c r="V55">
        <v>388.57956790742401</v>
      </c>
      <c r="W55">
        <v>0</v>
      </c>
      <c r="X55" s="16">
        <v>370.17316732233542</v>
      </c>
      <c r="Y55">
        <v>0</v>
      </c>
      <c r="AF55">
        <v>29.463999999999999</v>
      </c>
      <c r="AG55">
        <v>11</v>
      </c>
    </row>
    <row r="56" spans="1:33" hidden="1" x14ac:dyDescent="0.25">
      <c r="A56">
        <v>2024</v>
      </c>
      <c r="B56">
        <v>1</v>
      </c>
      <c r="C56" t="s">
        <v>32</v>
      </c>
      <c r="D56" t="s">
        <v>25</v>
      </c>
      <c r="E56">
        <v>1</v>
      </c>
      <c r="F56">
        <v>7</v>
      </c>
      <c r="G56">
        <v>1</v>
      </c>
      <c r="H56">
        <v>7</v>
      </c>
      <c r="I56" s="12">
        <v>45489</v>
      </c>
      <c r="J56">
        <v>197</v>
      </c>
      <c r="K56">
        <f t="shared" si="1"/>
        <v>55</v>
      </c>
      <c r="L56" t="s">
        <v>26</v>
      </c>
      <c r="M56">
        <v>37100</v>
      </c>
      <c r="P56">
        <v>2.7660000000000001E-2</v>
      </c>
      <c r="Q56">
        <v>3.209E-2</v>
      </c>
      <c r="R56">
        <v>653.71991247264771</v>
      </c>
      <c r="S56">
        <v>1</v>
      </c>
      <c r="T56">
        <v>0.91400000000000003</v>
      </c>
      <c r="U56">
        <v>0.91400000000000003</v>
      </c>
      <c r="V56">
        <v>326.15093247008457</v>
      </c>
      <c r="W56">
        <v>0</v>
      </c>
      <c r="X56" s="16">
        <v>327.56898000256314</v>
      </c>
      <c r="Y56">
        <v>0</v>
      </c>
      <c r="AF56">
        <v>27.177999999999997</v>
      </c>
      <c r="AG56">
        <v>10.6</v>
      </c>
    </row>
    <row r="57" spans="1:33" hidden="1" x14ac:dyDescent="0.25">
      <c r="A57">
        <v>2024</v>
      </c>
      <c r="B57">
        <v>1</v>
      </c>
      <c r="C57" t="s">
        <v>33</v>
      </c>
      <c r="D57" t="s">
        <v>25</v>
      </c>
      <c r="E57">
        <v>1</v>
      </c>
      <c r="F57">
        <v>8</v>
      </c>
      <c r="G57">
        <v>1</v>
      </c>
      <c r="H57">
        <v>8</v>
      </c>
      <c r="I57" s="12">
        <v>45489</v>
      </c>
      <c r="J57">
        <v>197</v>
      </c>
      <c r="K57">
        <f t="shared" si="1"/>
        <v>55</v>
      </c>
      <c r="L57" t="s">
        <v>26</v>
      </c>
      <c r="M57">
        <v>37100</v>
      </c>
      <c r="P57">
        <v>2.596E-2</v>
      </c>
      <c r="Q57">
        <v>4.3090000000000003E-2</v>
      </c>
      <c r="R57">
        <v>755.47045951859957</v>
      </c>
      <c r="S57">
        <v>1</v>
      </c>
      <c r="T57">
        <v>0.91400000000000003</v>
      </c>
      <c r="U57">
        <v>0.91400000000000003</v>
      </c>
      <c r="V57">
        <v>352.12606164002523</v>
      </c>
      <c r="W57">
        <v>0</v>
      </c>
      <c r="X57" s="16">
        <v>403.34439787857428</v>
      </c>
      <c r="Y57">
        <v>0</v>
      </c>
      <c r="AF57">
        <v>44.195999999999998</v>
      </c>
      <c r="AG57">
        <v>11.2</v>
      </c>
    </row>
    <row r="58" spans="1:33" hidden="1" x14ac:dyDescent="0.25">
      <c r="A58">
        <v>2024</v>
      </c>
      <c r="B58">
        <v>1</v>
      </c>
      <c r="C58" t="s">
        <v>34</v>
      </c>
      <c r="D58" t="s">
        <v>25</v>
      </c>
      <c r="E58">
        <v>1</v>
      </c>
      <c r="F58">
        <v>9</v>
      </c>
      <c r="G58">
        <v>1</v>
      </c>
      <c r="H58">
        <v>9</v>
      </c>
      <c r="I58" s="12">
        <v>45489</v>
      </c>
      <c r="J58">
        <v>197</v>
      </c>
      <c r="K58">
        <f t="shared" si="1"/>
        <v>55</v>
      </c>
      <c r="L58" t="s">
        <v>26</v>
      </c>
      <c r="M58">
        <v>37100</v>
      </c>
      <c r="P58">
        <v>1.6359999999999996E-2</v>
      </c>
      <c r="Q58">
        <v>2.1590000000000005E-2</v>
      </c>
      <c r="R58">
        <v>415.20787746170674</v>
      </c>
      <c r="S58">
        <v>1</v>
      </c>
      <c r="T58">
        <v>0.91400000000000003</v>
      </c>
      <c r="U58">
        <v>0.91400000000000003</v>
      </c>
      <c r="V58">
        <v>213.18741874561971</v>
      </c>
      <c r="W58">
        <v>0</v>
      </c>
      <c r="X58" s="16">
        <v>202.02045871608701</v>
      </c>
      <c r="Y58">
        <v>0</v>
      </c>
      <c r="AF58">
        <v>25.907999999999998</v>
      </c>
      <c r="AG58">
        <v>11</v>
      </c>
    </row>
    <row r="59" spans="1:33" hidden="1" x14ac:dyDescent="0.25">
      <c r="A59">
        <v>2024</v>
      </c>
      <c r="B59">
        <v>1</v>
      </c>
      <c r="C59" t="s">
        <v>35</v>
      </c>
      <c r="D59" t="s">
        <v>25</v>
      </c>
      <c r="E59">
        <v>1</v>
      </c>
      <c r="F59">
        <v>10</v>
      </c>
      <c r="G59">
        <v>1</v>
      </c>
      <c r="H59">
        <v>10</v>
      </c>
      <c r="I59" s="12">
        <v>45489</v>
      </c>
      <c r="J59">
        <v>197</v>
      </c>
      <c r="K59">
        <f t="shared" si="1"/>
        <v>55</v>
      </c>
      <c r="L59" t="s">
        <v>26</v>
      </c>
      <c r="M59">
        <v>37100</v>
      </c>
      <c r="P59">
        <v>2.146E-2</v>
      </c>
      <c r="Q59">
        <v>4.2189999999999998E-2</v>
      </c>
      <c r="R59">
        <v>696.38949671772423</v>
      </c>
      <c r="S59">
        <v>1</v>
      </c>
      <c r="T59">
        <v>0.91400000000000003</v>
      </c>
      <c r="U59">
        <v>0.91400000000000003</v>
      </c>
      <c r="V59">
        <v>337.4860561912551</v>
      </c>
      <c r="W59">
        <v>0</v>
      </c>
      <c r="X59" s="16">
        <v>358.90344052646907</v>
      </c>
      <c r="Y59">
        <v>0</v>
      </c>
      <c r="AF59">
        <v>40.64</v>
      </c>
      <c r="AG59">
        <v>9.4</v>
      </c>
    </row>
    <row r="60" spans="1:33" hidden="1" x14ac:dyDescent="0.25">
      <c r="A60">
        <v>2024</v>
      </c>
      <c r="B60">
        <v>1</v>
      </c>
      <c r="C60" t="s">
        <v>36</v>
      </c>
      <c r="D60" t="s">
        <v>25</v>
      </c>
      <c r="E60">
        <v>1</v>
      </c>
      <c r="F60">
        <v>11</v>
      </c>
      <c r="G60">
        <v>1</v>
      </c>
      <c r="H60">
        <v>11</v>
      </c>
      <c r="I60" s="12">
        <v>45489</v>
      </c>
      <c r="J60">
        <v>197</v>
      </c>
      <c r="K60">
        <f t="shared" si="1"/>
        <v>55</v>
      </c>
      <c r="L60" t="s">
        <v>26</v>
      </c>
      <c r="M60">
        <v>37100</v>
      </c>
      <c r="P60">
        <v>3.0559999999999993E-2</v>
      </c>
      <c r="Q60">
        <v>4.6390000000000001E-2</v>
      </c>
      <c r="R60">
        <v>841.90371991247252</v>
      </c>
      <c r="S60">
        <v>1</v>
      </c>
      <c r="T60">
        <v>0.91400000000000003</v>
      </c>
      <c r="U60">
        <v>0.91400000000000003</v>
      </c>
      <c r="V60">
        <v>404.97332076941586</v>
      </c>
      <c r="W60">
        <v>0</v>
      </c>
      <c r="X60" s="16">
        <v>425.91071694524948</v>
      </c>
      <c r="Y60">
        <v>11.019682197807294</v>
      </c>
      <c r="AF60">
        <v>42.164000000000001</v>
      </c>
      <c r="AG60">
        <v>12</v>
      </c>
    </row>
    <row r="61" spans="1:33" hidden="1" x14ac:dyDescent="0.25">
      <c r="A61">
        <v>2024</v>
      </c>
      <c r="B61">
        <v>1</v>
      </c>
      <c r="C61" t="s">
        <v>37</v>
      </c>
      <c r="D61" t="s">
        <v>25</v>
      </c>
      <c r="E61">
        <v>1</v>
      </c>
      <c r="F61">
        <v>12</v>
      </c>
      <c r="G61">
        <v>1</v>
      </c>
      <c r="H61">
        <v>12</v>
      </c>
      <c r="I61" s="12">
        <v>45489</v>
      </c>
      <c r="J61">
        <v>197</v>
      </c>
      <c r="K61">
        <f t="shared" si="1"/>
        <v>55</v>
      </c>
      <c r="L61" t="s">
        <v>26</v>
      </c>
      <c r="M61">
        <v>37100</v>
      </c>
      <c r="P61">
        <v>3.7659999999999999E-2</v>
      </c>
      <c r="Q61">
        <v>4.0090000000000001E-2</v>
      </c>
      <c r="R61">
        <v>850.65645514223195</v>
      </c>
      <c r="S61">
        <v>1</v>
      </c>
      <c r="T61">
        <v>0.91400000000000003</v>
      </c>
      <c r="U61">
        <v>0.91400000000000003</v>
      </c>
      <c r="V61">
        <v>469.82618871371278</v>
      </c>
      <c r="W61">
        <v>0</v>
      </c>
      <c r="X61" s="16">
        <v>380.83026642851917</v>
      </c>
      <c r="Y61">
        <v>0</v>
      </c>
      <c r="AF61">
        <v>36.576000000000001</v>
      </c>
      <c r="AG61">
        <v>14.2</v>
      </c>
    </row>
    <row r="62" spans="1:33" hidden="1" x14ac:dyDescent="0.25">
      <c r="A62">
        <v>2024</v>
      </c>
      <c r="B62">
        <v>1</v>
      </c>
      <c r="C62" t="s">
        <v>35</v>
      </c>
      <c r="D62" t="s">
        <v>25</v>
      </c>
      <c r="E62">
        <v>2</v>
      </c>
      <c r="F62">
        <v>1</v>
      </c>
      <c r="G62">
        <v>2</v>
      </c>
      <c r="H62">
        <v>13</v>
      </c>
      <c r="I62" s="12">
        <v>45489</v>
      </c>
      <c r="J62">
        <v>197</v>
      </c>
      <c r="K62">
        <f t="shared" si="1"/>
        <v>55</v>
      </c>
      <c r="L62" t="s">
        <v>26</v>
      </c>
      <c r="M62">
        <v>37100</v>
      </c>
      <c r="P62">
        <v>2.4459999999999996E-2</v>
      </c>
      <c r="Q62">
        <v>5.179000000000001E-2</v>
      </c>
      <c r="R62">
        <v>834.24507658643336</v>
      </c>
      <c r="S62">
        <v>1</v>
      </c>
      <c r="T62">
        <v>0.91400000000000003</v>
      </c>
      <c r="U62">
        <v>0.91400000000000003</v>
      </c>
      <c r="V62">
        <v>422.92064389500314</v>
      </c>
      <c r="W62">
        <v>0</v>
      </c>
      <c r="X62" s="16">
        <v>411.32443269143022</v>
      </c>
      <c r="Y62">
        <v>0</v>
      </c>
      <c r="AF62">
        <v>41.402000000000001</v>
      </c>
      <c r="AG62">
        <v>10.6</v>
      </c>
    </row>
    <row r="63" spans="1:33" hidden="1" x14ac:dyDescent="0.25">
      <c r="A63">
        <v>2024</v>
      </c>
      <c r="B63">
        <v>1</v>
      </c>
      <c r="C63" t="s">
        <v>33</v>
      </c>
      <c r="D63" t="s">
        <v>25</v>
      </c>
      <c r="E63">
        <v>2</v>
      </c>
      <c r="F63">
        <v>2</v>
      </c>
      <c r="G63">
        <v>2</v>
      </c>
      <c r="H63">
        <v>14</v>
      </c>
      <c r="I63" s="12">
        <v>45489</v>
      </c>
      <c r="J63">
        <v>197</v>
      </c>
      <c r="K63">
        <f t="shared" si="1"/>
        <v>55</v>
      </c>
      <c r="L63" t="s">
        <v>26</v>
      </c>
      <c r="M63">
        <v>37100</v>
      </c>
      <c r="P63">
        <v>3.5159999999999997E-2</v>
      </c>
      <c r="Q63">
        <v>7.9589999999999994E-2</v>
      </c>
      <c r="R63">
        <v>1255.4704595185995</v>
      </c>
      <c r="S63">
        <v>1</v>
      </c>
      <c r="T63">
        <v>0.91400000000000003</v>
      </c>
      <c r="U63">
        <v>0.91400000000000003</v>
      </c>
      <c r="V63">
        <v>532.03952920441225</v>
      </c>
      <c r="W63">
        <v>0</v>
      </c>
      <c r="X63" s="16">
        <v>723.43093031418721</v>
      </c>
      <c r="Y63">
        <v>0</v>
      </c>
      <c r="AF63">
        <v>53.594000000000001</v>
      </c>
      <c r="AG63">
        <v>10.6</v>
      </c>
    </row>
    <row r="64" spans="1:33" hidden="1" x14ac:dyDescent="0.25">
      <c r="A64">
        <v>2024</v>
      </c>
      <c r="B64">
        <v>1</v>
      </c>
      <c r="C64" t="s">
        <v>34</v>
      </c>
      <c r="D64" t="s">
        <v>25</v>
      </c>
      <c r="E64">
        <v>2</v>
      </c>
      <c r="F64">
        <v>3</v>
      </c>
      <c r="G64">
        <v>2</v>
      </c>
      <c r="H64">
        <v>15</v>
      </c>
      <c r="I64" s="12">
        <v>45489</v>
      </c>
      <c r="J64">
        <v>197</v>
      </c>
      <c r="K64">
        <f t="shared" si="1"/>
        <v>55</v>
      </c>
      <c r="L64" t="s">
        <v>26</v>
      </c>
      <c r="M64">
        <v>37100</v>
      </c>
      <c r="P64">
        <v>3.7260000000000001E-2</v>
      </c>
      <c r="Q64">
        <v>1.2689999999999998E-2</v>
      </c>
      <c r="R64">
        <v>546.49890590809628</v>
      </c>
      <c r="S64">
        <v>1</v>
      </c>
      <c r="T64">
        <v>0.91400000000000003</v>
      </c>
      <c r="U64">
        <v>0.91400000000000003</v>
      </c>
      <c r="V64">
        <v>278.67630736054292</v>
      </c>
      <c r="W64">
        <v>0</v>
      </c>
      <c r="X64" s="16">
        <v>267.82259854755335</v>
      </c>
      <c r="Y64">
        <v>0</v>
      </c>
      <c r="AF64">
        <v>29.972000000000001</v>
      </c>
      <c r="AG64">
        <v>11.4</v>
      </c>
    </row>
    <row r="65" spans="1:33" hidden="1" x14ac:dyDescent="0.25">
      <c r="A65">
        <v>2024</v>
      </c>
      <c r="B65">
        <v>1</v>
      </c>
      <c r="C65" t="s">
        <v>27</v>
      </c>
      <c r="D65" t="s">
        <v>25</v>
      </c>
      <c r="E65">
        <v>2</v>
      </c>
      <c r="F65">
        <v>4</v>
      </c>
      <c r="G65">
        <v>2</v>
      </c>
      <c r="H65">
        <v>16</v>
      </c>
      <c r="I65" s="12">
        <v>45489</v>
      </c>
      <c r="J65">
        <v>197</v>
      </c>
      <c r="K65">
        <f t="shared" si="1"/>
        <v>55</v>
      </c>
      <c r="L65" t="s">
        <v>26</v>
      </c>
      <c r="M65">
        <v>37100</v>
      </c>
      <c r="P65">
        <v>3.9960000000000009E-2</v>
      </c>
      <c r="Q65">
        <v>5.5590000000000001E-2</v>
      </c>
      <c r="R65">
        <v>1045.4048140043765</v>
      </c>
      <c r="S65">
        <v>1</v>
      </c>
      <c r="T65">
        <v>0.91400000000000003</v>
      </c>
      <c r="U65">
        <v>0.91400000000000003</v>
      </c>
      <c r="V65">
        <v>483.98371018721127</v>
      </c>
      <c r="W65">
        <v>0</v>
      </c>
      <c r="X65" s="16">
        <v>545.72433483812028</v>
      </c>
      <c r="Y65">
        <v>15.696768979044727</v>
      </c>
      <c r="AF65">
        <v>38.607999999999997</v>
      </c>
      <c r="AG65">
        <v>11.6</v>
      </c>
    </row>
    <row r="66" spans="1:33" hidden="1" x14ac:dyDescent="0.25">
      <c r="A66">
        <v>2024</v>
      </c>
      <c r="B66">
        <v>1</v>
      </c>
      <c r="C66" t="s">
        <v>32</v>
      </c>
      <c r="D66" t="s">
        <v>25</v>
      </c>
      <c r="E66">
        <v>2</v>
      </c>
      <c r="F66">
        <v>5</v>
      </c>
      <c r="G66">
        <v>2</v>
      </c>
      <c r="H66">
        <v>17</v>
      </c>
      <c r="I66" s="12">
        <v>45489</v>
      </c>
      <c r="J66">
        <v>197</v>
      </c>
      <c r="K66">
        <f t="shared" si="1"/>
        <v>55</v>
      </c>
      <c r="L66" t="s">
        <v>26</v>
      </c>
      <c r="M66">
        <v>37100</v>
      </c>
      <c r="P66">
        <v>2.716E-2</v>
      </c>
      <c r="Q66">
        <v>9.4989999999999991E-2</v>
      </c>
      <c r="R66">
        <v>1336.4332603938731</v>
      </c>
      <c r="S66">
        <v>1</v>
      </c>
      <c r="T66">
        <v>0.91400000000000003</v>
      </c>
      <c r="U66">
        <v>0.91400000000000003</v>
      </c>
      <c r="V66">
        <v>664.28015520314034</v>
      </c>
      <c r="W66">
        <v>0</v>
      </c>
      <c r="X66" s="16">
        <v>672.15310519073273</v>
      </c>
      <c r="Y66">
        <v>0</v>
      </c>
      <c r="AF66">
        <v>30.988</v>
      </c>
      <c r="AG66">
        <v>9</v>
      </c>
    </row>
    <row r="67" spans="1:33" hidden="1" x14ac:dyDescent="0.25">
      <c r="A67">
        <v>2024</v>
      </c>
      <c r="B67">
        <v>1</v>
      </c>
      <c r="C67" t="s">
        <v>29</v>
      </c>
      <c r="D67" t="s">
        <v>25</v>
      </c>
      <c r="E67">
        <v>2</v>
      </c>
      <c r="F67">
        <v>6</v>
      </c>
      <c r="G67">
        <v>2</v>
      </c>
      <c r="H67">
        <v>18</v>
      </c>
      <c r="I67" s="12">
        <v>45489</v>
      </c>
      <c r="J67">
        <v>197</v>
      </c>
      <c r="K67">
        <f t="shared" si="1"/>
        <v>55</v>
      </c>
      <c r="L67" t="s">
        <v>26</v>
      </c>
      <c r="M67">
        <v>37100</v>
      </c>
      <c r="P67">
        <v>1.736E-2</v>
      </c>
      <c r="Q67">
        <v>5.0889999999999998E-2</v>
      </c>
      <c r="R67">
        <v>746.71772428884026</v>
      </c>
      <c r="S67">
        <v>1</v>
      </c>
      <c r="T67">
        <v>0.91400000000000003</v>
      </c>
      <c r="U67">
        <v>0.91400000000000003</v>
      </c>
      <c r="V67">
        <v>357.01365850215291</v>
      </c>
      <c r="W67">
        <v>0</v>
      </c>
      <c r="X67" s="16">
        <v>381.10132702759927</v>
      </c>
      <c r="Y67">
        <v>8.6027387590879911</v>
      </c>
      <c r="AF67">
        <v>35.306000000000004</v>
      </c>
      <c r="AG67">
        <v>10.4</v>
      </c>
    </row>
    <row r="68" spans="1:33" hidden="1" x14ac:dyDescent="0.25">
      <c r="A68">
        <v>2024</v>
      </c>
      <c r="B68">
        <v>1</v>
      </c>
      <c r="C68" t="s">
        <v>30</v>
      </c>
      <c r="D68" t="s">
        <v>25</v>
      </c>
      <c r="E68">
        <v>2</v>
      </c>
      <c r="F68">
        <v>7</v>
      </c>
      <c r="G68">
        <v>2</v>
      </c>
      <c r="H68">
        <v>19</v>
      </c>
      <c r="I68" s="12">
        <v>45489</v>
      </c>
      <c r="J68">
        <v>197</v>
      </c>
      <c r="K68">
        <f t="shared" si="1"/>
        <v>55</v>
      </c>
      <c r="L68" t="s">
        <v>26</v>
      </c>
      <c r="M68">
        <v>37100</v>
      </c>
      <c r="P68">
        <v>2.6359999999999995E-2</v>
      </c>
      <c r="Q68">
        <v>4.4889999999999999E-2</v>
      </c>
      <c r="R68">
        <v>779.54048140043744</v>
      </c>
      <c r="S68">
        <v>1</v>
      </c>
      <c r="T68">
        <v>0.91400000000000003</v>
      </c>
      <c r="U68">
        <v>0.91400000000000003</v>
      </c>
      <c r="V68">
        <v>363.74612751234378</v>
      </c>
      <c r="W68">
        <v>0</v>
      </c>
      <c r="X68" s="16">
        <v>415.79435388809361</v>
      </c>
      <c r="Y68">
        <v>0</v>
      </c>
      <c r="AF68">
        <v>36.83</v>
      </c>
      <c r="AG68">
        <v>10.6</v>
      </c>
    </row>
    <row r="69" spans="1:33" hidden="1" x14ac:dyDescent="0.25">
      <c r="A69">
        <v>2024</v>
      </c>
      <c r="B69">
        <v>1</v>
      </c>
      <c r="C69" t="s">
        <v>36</v>
      </c>
      <c r="D69" t="s">
        <v>25</v>
      </c>
      <c r="E69">
        <v>2</v>
      </c>
      <c r="F69">
        <v>8</v>
      </c>
      <c r="G69">
        <v>2</v>
      </c>
      <c r="H69">
        <v>20</v>
      </c>
      <c r="I69" s="12">
        <v>45489</v>
      </c>
      <c r="J69">
        <v>197</v>
      </c>
      <c r="K69">
        <f t="shared" si="1"/>
        <v>55</v>
      </c>
      <c r="L69" t="s">
        <v>26</v>
      </c>
      <c r="M69">
        <v>37100</v>
      </c>
      <c r="P69">
        <v>2.0359999999999996E-2</v>
      </c>
      <c r="Q69">
        <v>2.8390000000000002E-2</v>
      </c>
      <c r="R69">
        <v>533.36980306345731</v>
      </c>
      <c r="S69">
        <v>1</v>
      </c>
      <c r="T69">
        <v>0.91400000000000003</v>
      </c>
      <c r="U69">
        <v>0.91400000000000003</v>
      </c>
      <c r="V69">
        <v>267.20884043454151</v>
      </c>
      <c r="W69">
        <v>0</v>
      </c>
      <c r="X69" s="16">
        <v>253.06249005859513</v>
      </c>
      <c r="Y69">
        <v>13.098472570320665</v>
      </c>
      <c r="AF69">
        <v>32.765999999999998</v>
      </c>
      <c r="AG69">
        <v>10</v>
      </c>
    </row>
    <row r="70" spans="1:33" hidden="1" x14ac:dyDescent="0.25">
      <c r="A70">
        <v>2024</v>
      </c>
      <c r="B70">
        <v>1</v>
      </c>
      <c r="C70" t="s">
        <v>24</v>
      </c>
      <c r="D70" t="s">
        <v>25</v>
      </c>
      <c r="E70">
        <v>2</v>
      </c>
      <c r="F70">
        <v>9</v>
      </c>
      <c r="G70">
        <v>2</v>
      </c>
      <c r="H70">
        <v>21</v>
      </c>
      <c r="I70" s="12">
        <v>45489</v>
      </c>
      <c r="J70">
        <v>197</v>
      </c>
      <c r="K70">
        <f t="shared" si="1"/>
        <v>55</v>
      </c>
      <c r="L70" t="s">
        <v>26</v>
      </c>
      <c r="M70">
        <v>37100</v>
      </c>
      <c r="P70">
        <v>2.4259999999999993E-2</v>
      </c>
      <c r="Q70">
        <v>4.8890000000000003E-2</v>
      </c>
      <c r="R70">
        <v>800.3282275711158</v>
      </c>
      <c r="S70">
        <v>1</v>
      </c>
      <c r="T70">
        <v>0.91400000000000003</v>
      </c>
      <c r="U70">
        <v>0.91400000000000003</v>
      </c>
      <c r="V70">
        <v>399.17442512821538</v>
      </c>
      <c r="W70">
        <v>0</v>
      </c>
      <c r="X70" s="16">
        <v>394.55587806061595</v>
      </c>
      <c r="Y70">
        <v>6.5979243822845266</v>
      </c>
      <c r="AF70">
        <v>30.48</v>
      </c>
      <c r="AG70">
        <v>10</v>
      </c>
    </row>
    <row r="71" spans="1:33" hidden="1" x14ac:dyDescent="0.25">
      <c r="A71">
        <v>2024</v>
      </c>
      <c r="B71">
        <v>1</v>
      </c>
      <c r="C71" t="s">
        <v>37</v>
      </c>
      <c r="D71" t="s">
        <v>25</v>
      </c>
      <c r="E71">
        <v>2</v>
      </c>
      <c r="F71">
        <v>10</v>
      </c>
      <c r="G71">
        <v>2</v>
      </c>
      <c r="H71">
        <v>22</v>
      </c>
      <c r="I71" s="12">
        <v>45489</v>
      </c>
      <c r="J71">
        <v>197</v>
      </c>
      <c r="K71">
        <f t="shared" si="1"/>
        <v>55</v>
      </c>
      <c r="L71" t="s">
        <v>26</v>
      </c>
      <c r="M71">
        <v>37100</v>
      </c>
      <c r="P71">
        <v>3.3860000000000001E-2</v>
      </c>
      <c r="Q71">
        <v>5.1290000000000009E-2</v>
      </c>
      <c r="R71">
        <v>931.61925601750545</v>
      </c>
      <c r="S71">
        <v>1</v>
      </c>
      <c r="T71">
        <v>0.91400000000000003</v>
      </c>
      <c r="U71">
        <v>0.91400000000000003</v>
      </c>
      <c r="V71">
        <v>506.2550003166599</v>
      </c>
      <c r="W71">
        <v>0</v>
      </c>
      <c r="X71" s="16">
        <v>425.36425570084549</v>
      </c>
      <c r="Y71">
        <v>0</v>
      </c>
      <c r="AF71">
        <v>38.353999999999999</v>
      </c>
      <c r="AG71">
        <v>14.6</v>
      </c>
    </row>
    <row r="72" spans="1:33" hidden="1" x14ac:dyDescent="0.25">
      <c r="A72">
        <v>2024</v>
      </c>
      <c r="B72">
        <v>1</v>
      </c>
      <c r="C72" t="s">
        <v>31</v>
      </c>
      <c r="D72" t="s">
        <v>25</v>
      </c>
      <c r="E72">
        <v>2</v>
      </c>
      <c r="F72">
        <v>11</v>
      </c>
      <c r="G72">
        <v>2</v>
      </c>
      <c r="H72">
        <v>23</v>
      </c>
      <c r="I72" s="12">
        <v>45489</v>
      </c>
      <c r="J72">
        <v>197</v>
      </c>
      <c r="K72">
        <f t="shared" si="1"/>
        <v>55</v>
      </c>
      <c r="L72" t="s">
        <v>26</v>
      </c>
      <c r="M72">
        <v>37100</v>
      </c>
      <c r="P72">
        <v>2.1659999999999995E-2</v>
      </c>
      <c r="Q72">
        <v>3.6590000000000004E-2</v>
      </c>
      <c r="R72">
        <v>637.308533916849</v>
      </c>
      <c r="S72">
        <v>1</v>
      </c>
      <c r="T72">
        <v>0.91400000000000003</v>
      </c>
      <c r="U72">
        <v>0.91400000000000003</v>
      </c>
      <c r="V72">
        <v>323.656226827578</v>
      </c>
      <c r="W72">
        <v>0</v>
      </c>
      <c r="X72" s="16">
        <v>313.65230708927095</v>
      </c>
      <c r="Y72">
        <v>0</v>
      </c>
      <c r="AF72">
        <v>28.447999999999997</v>
      </c>
      <c r="AG72">
        <v>10.8</v>
      </c>
    </row>
    <row r="73" spans="1:33" hidden="1" x14ac:dyDescent="0.25">
      <c r="A73">
        <v>2024</v>
      </c>
      <c r="B73">
        <v>1</v>
      </c>
      <c r="C73" t="s">
        <v>28</v>
      </c>
      <c r="D73" t="s">
        <v>25</v>
      </c>
      <c r="E73">
        <v>2</v>
      </c>
      <c r="F73">
        <v>12</v>
      </c>
      <c r="G73">
        <v>2</v>
      </c>
      <c r="H73">
        <v>24</v>
      </c>
      <c r="I73" s="12">
        <v>45489</v>
      </c>
      <c r="J73">
        <v>197</v>
      </c>
      <c r="K73">
        <f t="shared" si="1"/>
        <v>55</v>
      </c>
      <c r="L73" t="s">
        <v>26</v>
      </c>
      <c r="M73">
        <v>37100</v>
      </c>
      <c r="P73">
        <v>3.0659999999999993E-2</v>
      </c>
      <c r="Q73">
        <v>5.8290000000000008E-2</v>
      </c>
      <c r="R73">
        <v>973.19474835886206</v>
      </c>
      <c r="S73">
        <v>1</v>
      </c>
      <c r="T73">
        <v>0.91400000000000003</v>
      </c>
      <c r="U73">
        <v>0.91400000000000003</v>
      </c>
      <c r="V73">
        <v>431.68455895892123</v>
      </c>
      <c r="W73">
        <v>0</v>
      </c>
      <c r="X73" s="16">
        <v>541.51018939994083</v>
      </c>
      <c r="Y73">
        <v>0</v>
      </c>
      <c r="AF73">
        <v>39.369999999999997</v>
      </c>
      <c r="AG73">
        <v>10.8</v>
      </c>
    </row>
    <row r="74" spans="1:33" hidden="1" x14ac:dyDescent="0.25">
      <c r="A74">
        <v>2024</v>
      </c>
      <c r="B74">
        <v>1</v>
      </c>
      <c r="C74" t="s">
        <v>27</v>
      </c>
      <c r="D74" t="s">
        <v>25</v>
      </c>
      <c r="E74">
        <v>3</v>
      </c>
      <c r="F74">
        <v>1</v>
      </c>
      <c r="G74">
        <v>3</v>
      </c>
      <c r="H74">
        <v>25</v>
      </c>
      <c r="I74" s="12">
        <v>45489</v>
      </c>
      <c r="J74">
        <v>197</v>
      </c>
      <c r="K74">
        <f t="shared" si="1"/>
        <v>55</v>
      </c>
      <c r="L74" t="s">
        <v>26</v>
      </c>
      <c r="M74">
        <v>37100</v>
      </c>
      <c r="P74">
        <v>1.5659999999999997E-2</v>
      </c>
      <c r="Q74">
        <v>5.4790000000000005E-2</v>
      </c>
      <c r="R74">
        <v>770.78774617067836</v>
      </c>
      <c r="S74">
        <v>1</v>
      </c>
      <c r="T74">
        <v>0.91400000000000003</v>
      </c>
      <c r="U74">
        <v>0.91400000000000003</v>
      </c>
      <c r="V74">
        <v>369.15121943040157</v>
      </c>
      <c r="W74">
        <v>0</v>
      </c>
      <c r="X74" s="16">
        <v>401.63652674027679</v>
      </c>
      <c r="Y74">
        <v>0</v>
      </c>
      <c r="AF74">
        <v>29.21</v>
      </c>
      <c r="AG74">
        <v>9.1999999999999993</v>
      </c>
    </row>
    <row r="75" spans="1:33" hidden="1" x14ac:dyDescent="0.25">
      <c r="A75">
        <v>2024</v>
      </c>
      <c r="B75">
        <v>1</v>
      </c>
      <c r="C75" t="s">
        <v>24</v>
      </c>
      <c r="D75" t="s">
        <v>25</v>
      </c>
      <c r="E75">
        <v>3</v>
      </c>
      <c r="F75">
        <v>2</v>
      </c>
      <c r="G75">
        <v>3</v>
      </c>
      <c r="H75">
        <v>26</v>
      </c>
      <c r="I75" s="12">
        <v>45489</v>
      </c>
      <c r="J75">
        <v>197</v>
      </c>
      <c r="K75">
        <f t="shared" si="1"/>
        <v>55</v>
      </c>
      <c r="L75" t="s">
        <v>26</v>
      </c>
      <c r="M75">
        <v>37100</v>
      </c>
      <c r="P75">
        <v>2.1760000000000002E-2</v>
      </c>
      <c r="Q75">
        <v>6.4589999999999995E-2</v>
      </c>
      <c r="R75">
        <v>944.74835886214441</v>
      </c>
      <c r="S75">
        <v>1</v>
      </c>
      <c r="T75">
        <v>0.91400000000000003</v>
      </c>
      <c r="U75">
        <v>0.91400000000000003</v>
      </c>
      <c r="V75">
        <v>473.24251431973232</v>
      </c>
      <c r="W75">
        <v>0</v>
      </c>
      <c r="X75" s="16">
        <v>471.50584454241209</v>
      </c>
      <c r="Y75">
        <v>0</v>
      </c>
      <c r="AF75">
        <v>31.242000000000001</v>
      </c>
      <c r="AG75">
        <v>9</v>
      </c>
    </row>
    <row r="76" spans="1:33" hidden="1" x14ac:dyDescent="0.25">
      <c r="A76">
        <v>2024</v>
      </c>
      <c r="B76">
        <v>1</v>
      </c>
      <c r="C76" t="s">
        <v>33</v>
      </c>
      <c r="D76" t="s">
        <v>25</v>
      </c>
      <c r="E76">
        <v>3</v>
      </c>
      <c r="F76">
        <v>3</v>
      </c>
      <c r="G76">
        <v>3</v>
      </c>
      <c r="H76">
        <v>27</v>
      </c>
      <c r="I76" s="12">
        <v>45489</v>
      </c>
      <c r="J76">
        <v>197</v>
      </c>
      <c r="K76">
        <f t="shared" si="1"/>
        <v>55</v>
      </c>
      <c r="L76" t="s">
        <v>26</v>
      </c>
      <c r="M76">
        <v>37100</v>
      </c>
      <c r="P76">
        <v>2.9859999999999994E-2</v>
      </c>
      <c r="Q76">
        <v>8.9290000000000008E-2</v>
      </c>
      <c r="R76">
        <v>1303.6105032822757</v>
      </c>
      <c r="S76">
        <v>1</v>
      </c>
      <c r="T76">
        <v>0.91400000000000003</v>
      </c>
      <c r="U76">
        <v>0.91400000000000003</v>
      </c>
      <c r="V76">
        <v>593.74088562086229</v>
      </c>
      <c r="W76">
        <v>0</v>
      </c>
      <c r="X76" s="16">
        <v>709.86961766141326</v>
      </c>
      <c r="Y76">
        <v>0</v>
      </c>
      <c r="AF76">
        <v>47.244000000000007</v>
      </c>
      <c r="AG76">
        <v>10.6</v>
      </c>
    </row>
    <row r="77" spans="1:33" hidden="1" x14ac:dyDescent="0.25">
      <c r="A77">
        <v>2024</v>
      </c>
      <c r="B77">
        <v>1</v>
      </c>
      <c r="C77" t="s">
        <v>34</v>
      </c>
      <c r="D77" t="s">
        <v>25</v>
      </c>
      <c r="E77">
        <v>3</v>
      </c>
      <c r="F77">
        <v>4</v>
      </c>
      <c r="G77">
        <v>3</v>
      </c>
      <c r="H77">
        <v>28</v>
      </c>
      <c r="I77" s="12">
        <v>45489</v>
      </c>
      <c r="J77">
        <v>197</v>
      </c>
      <c r="K77">
        <f t="shared" si="1"/>
        <v>55</v>
      </c>
      <c r="L77" t="s">
        <v>26</v>
      </c>
      <c r="M77">
        <v>37100</v>
      </c>
      <c r="P77">
        <v>2.5860000000000005E-2</v>
      </c>
      <c r="Q77">
        <v>1.9189999999999999E-2</v>
      </c>
      <c r="R77">
        <v>492.88840262582062</v>
      </c>
      <c r="S77">
        <v>1</v>
      </c>
      <c r="T77">
        <v>0.91400000000000003</v>
      </c>
      <c r="U77">
        <v>0.91400000000000003</v>
      </c>
      <c r="V77">
        <v>314.48795991206657</v>
      </c>
      <c r="W77">
        <v>0</v>
      </c>
      <c r="X77" s="16">
        <v>178.40044271375407</v>
      </c>
      <c r="Y77">
        <v>0</v>
      </c>
      <c r="AF77">
        <v>30.48</v>
      </c>
      <c r="AG77">
        <v>11.6</v>
      </c>
    </row>
    <row r="78" spans="1:33" hidden="1" x14ac:dyDescent="0.25">
      <c r="A78">
        <v>2024</v>
      </c>
      <c r="B78">
        <v>1</v>
      </c>
      <c r="C78" t="s">
        <v>37</v>
      </c>
      <c r="D78" t="s">
        <v>25</v>
      </c>
      <c r="E78">
        <v>3</v>
      </c>
      <c r="F78">
        <v>5</v>
      </c>
      <c r="G78">
        <v>3</v>
      </c>
      <c r="H78">
        <v>29</v>
      </c>
      <c r="I78" s="12">
        <v>45489</v>
      </c>
      <c r="J78">
        <v>197</v>
      </c>
      <c r="K78">
        <f t="shared" si="1"/>
        <v>55</v>
      </c>
      <c r="L78" t="s">
        <v>26</v>
      </c>
      <c r="M78">
        <v>37100</v>
      </c>
      <c r="P78">
        <v>3.7659999999999999E-2</v>
      </c>
      <c r="Q78">
        <v>4.3489999999999994E-2</v>
      </c>
      <c r="R78">
        <v>887.8555798687089</v>
      </c>
      <c r="S78">
        <v>1</v>
      </c>
      <c r="T78">
        <v>0.91400000000000003</v>
      </c>
      <c r="U78">
        <v>0.91400000000000003</v>
      </c>
      <c r="V78">
        <v>483.2989747028289</v>
      </c>
      <c r="W78">
        <v>0</v>
      </c>
      <c r="X78" s="16">
        <v>404.55660516588006</v>
      </c>
      <c r="Y78">
        <v>0</v>
      </c>
      <c r="AF78">
        <v>41.655999999999999</v>
      </c>
      <c r="AG78">
        <v>13.4</v>
      </c>
    </row>
    <row r="79" spans="1:33" hidden="1" x14ac:dyDescent="0.25">
      <c r="A79">
        <v>2024</v>
      </c>
      <c r="B79">
        <v>1</v>
      </c>
      <c r="C79" t="s">
        <v>36</v>
      </c>
      <c r="D79" t="s">
        <v>25</v>
      </c>
      <c r="E79">
        <v>3</v>
      </c>
      <c r="F79">
        <v>6</v>
      </c>
      <c r="G79">
        <v>3</v>
      </c>
      <c r="H79">
        <v>30</v>
      </c>
      <c r="I79" s="12">
        <v>45489</v>
      </c>
      <c r="J79">
        <v>197</v>
      </c>
      <c r="K79">
        <f t="shared" si="1"/>
        <v>55</v>
      </c>
      <c r="L79" t="s">
        <v>26</v>
      </c>
      <c r="M79">
        <v>37100</v>
      </c>
      <c r="P79">
        <v>3.2660000000000002E-2</v>
      </c>
      <c r="Q79">
        <v>5.4090000000000006E-2</v>
      </c>
      <c r="R79">
        <v>949.12472647702418</v>
      </c>
      <c r="S79">
        <v>1</v>
      </c>
      <c r="T79">
        <v>0.91400000000000003</v>
      </c>
      <c r="U79">
        <v>0.91400000000000003</v>
      </c>
      <c r="V79">
        <v>473.69054015846586</v>
      </c>
      <c r="W79">
        <v>0</v>
      </c>
      <c r="X79" s="16">
        <v>475.43418631855832</v>
      </c>
      <c r="Y79">
        <v>0</v>
      </c>
      <c r="AF79">
        <v>37.083999999999996</v>
      </c>
      <c r="AG79">
        <v>11.8</v>
      </c>
    </row>
    <row r="80" spans="1:33" hidden="1" x14ac:dyDescent="0.25">
      <c r="A80">
        <v>2024</v>
      </c>
      <c r="B80">
        <v>1</v>
      </c>
      <c r="C80" t="s">
        <v>35</v>
      </c>
      <c r="D80" t="s">
        <v>25</v>
      </c>
      <c r="E80">
        <v>3</v>
      </c>
      <c r="F80">
        <v>7</v>
      </c>
      <c r="G80">
        <v>3</v>
      </c>
      <c r="H80">
        <v>31</v>
      </c>
      <c r="I80" s="12">
        <v>45489</v>
      </c>
      <c r="J80">
        <v>197</v>
      </c>
      <c r="K80">
        <f t="shared" si="1"/>
        <v>55</v>
      </c>
      <c r="L80" t="s">
        <v>26</v>
      </c>
      <c r="M80">
        <v>37100</v>
      </c>
      <c r="P80">
        <v>1.9759999999999993E-2</v>
      </c>
      <c r="Q80">
        <v>2.2890000000000001E-2</v>
      </c>
      <c r="R80">
        <v>466.63019693654257</v>
      </c>
      <c r="S80">
        <v>1</v>
      </c>
      <c r="T80">
        <v>0.91400000000000003</v>
      </c>
      <c r="U80">
        <v>0.91400000000000003</v>
      </c>
      <c r="V80">
        <v>243.23335164202382</v>
      </c>
      <c r="W80">
        <v>0</v>
      </c>
      <c r="X80" s="16">
        <v>223.39684529451881</v>
      </c>
      <c r="Y80">
        <v>0</v>
      </c>
      <c r="AF80">
        <v>36.576000000000001</v>
      </c>
      <c r="AG80">
        <v>10</v>
      </c>
    </row>
    <row r="81" spans="1:33" hidden="1" x14ac:dyDescent="0.25">
      <c r="A81">
        <v>2024</v>
      </c>
      <c r="B81">
        <v>1</v>
      </c>
      <c r="C81" t="s">
        <v>28</v>
      </c>
      <c r="D81" t="s">
        <v>25</v>
      </c>
      <c r="E81">
        <v>3</v>
      </c>
      <c r="F81">
        <v>8</v>
      </c>
      <c r="G81">
        <v>3</v>
      </c>
      <c r="H81">
        <v>32</v>
      </c>
      <c r="I81" s="12">
        <v>45489</v>
      </c>
      <c r="J81">
        <v>197</v>
      </c>
      <c r="K81">
        <f t="shared" si="1"/>
        <v>55</v>
      </c>
      <c r="L81" t="s">
        <v>26</v>
      </c>
      <c r="M81">
        <v>37100</v>
      </c>
      <c r="P81">
        <v>4.0459999999999996E-2</v>
      </c>
      <c r="Q81">
        <v>8.7889999999999996E-2</v>
      </c>
      <c r="R81">
        <v>1404.2669584245075</v>
      </c>
      <c r="S81">
        <v>1</v>
      </c>
      <c r="T81">
        <v>0.91400000000000003</v>
      </c>
      <c r="U81">
        <v>0.91400000000000003</v>
      </c>
      <c r="V81">
        <v>603.91114870455851</v>
      </c>
      <c r="W81">
        <v>0</v>
      </c>
      <c r="X81" s="16">
        <v>783.00204107901357</v>
      </c>
      <c r="Y81">
        <v>17.353768640935584</v>
      </c>
      <c r="AF81">
        <v>43.687999999999995</v>
      </c>
      <c r="AG81">
        <v>11.8</v>
      </c>
    </row>
    <row r="82" spans="1:33" hidden="1" x14ac:dyDescent="0.25">
      <c r="A82">
        <v>2024</v>
      </c>
      <c r="B82">
        <v>1</v>
      </c>
      <c r="C82" t="s">
        <v>29</v>
      </c>
      <c r="D82" t="s">
        <v>25</v>
      </c>
      <c r="E82">
        <v>3</v>
      </c>
      <c r="F82">
        <v>9</v>
      </c>
      <c r="G82">
        <v>3</v>
      </c>
      <c r="H82">
        <v>33</v>
      </c>
      <c r="I82" s="12">
        <v>45489</v>
      </c>
      <c r="J82">
        <v>197</v>
      </c>
      <c r="K82">
        <f t="shared" ref="K82:K113" si="2">+J82-$AH$6</f>
        <v>55</v>
      </c>
      <c r="L82" t="s">
        <v>26</v>
      </c>
      <c r="M82">
        <v>37100</v>
      </c>
      <c r="P82">
        <v>2.2159999999999992E-2</v>
      </c>
      <c r="Q82">
        <v>5.8290000000000008E-2</v>
      </c>
      <c r="R82">
        <v>880.19693654266939</v>
      </c>
      <c r="S82">
        <v>1</v>
      </c>
      <c r="T82">
        <v>0.91400000000000003</v>
      </c>
      <c r="U82">
        <v>0.91400000000000003</v>
      </c>
      <c r="V82">
        <v>385.28476012923716</v>
      </c>
      <c r="W82">
        <v>0</v>
      </c>
      <c r="X82" s="16">
        <v>494.91217641343223</v>
      </c>
      <c r="Y82">
        <v>0</v>
      </c>
      <c r="AF82">
        <v>36.83</v>
      </c>
      <c r="AG82">
        <v>9.6</v>
      </c>
    </row>
    <row r="83" spans="1:33" hidden="1" x14ac:dyDescent="0.25">
      <c r="A83">
        <v>2024</v>
      </c>
      <c r="B83">
        <v>1</v>
      </c>
      <c r="C83" t="s">
        <v>31</v>
      </c>
      <c r="D83" t="s">
        <v>25</v>
      </c>
      <c r="E83">
        <v>3</v>
      </c>
      <c r="F83">
        <v>10</v>
      </c>
      <c r="G83">
        <v>3</v>
      </c>
      <c r="H83">
        <v>34</v>
      </c>
      <c r="I83" s="12">
        <v>45489</v>
      </c>
      <c r="J83">
        <v>197</v>
      </c>
      <c r="K83">
        <f t="shared" si="2"/>
        <v>55</v>
      </c>
      <c r="L83" t="s">
        <v>26</v>
      </c>
      <c r="M83">
        <v>37100</v>
      </c>
      <c r="P83">
        <v>2.1359999999999997E-2</v>
      </c>
      <c r="Q83">
        <v>3.3890000000000003E-2</v>
      </c>
      <c r="R83">
        <v>604.48577680525159</v>
      </c>
      <c r="S83">
        <v>1</v>
      </c>
      <c r="T83">
        <v>0.91400000000000003</v>
      </c>
      <c r="U83">
        <v>0.91400000000000003</v>
      </c>
      <c r="V83">
        <v>291.48892795384324</v>
      </c>
      <c r="W83">
        <v>0</v>
      </c>
      <c r="X83" s="16">
        <v>312.99684885140829</v>
      </c>
      <c r="Y83">
        <v>0</v>
      </c>
      <c r="AF83">
        <v>29.718</v>
      </c>
      <c r="AG83">
        <v>12.2</v>
      </c>
    </row>
    <row r="84" spans="1:33" hidden="1" x14ac:dyDescent="0.25">
      <c r="A84">
        <v>2024</v>
      </c>
      <c r="B84">
        <v>1</v>
      </c>
      <c r="C84" t="s">
        <v>30</v>
      </c>
      <c r="D84" t="s">
        <v>25</v>
      </c>
      <c r="E84">
        <v>3</v>
      </c>
      <c r="F84">
        <v>11</v>
      </c>
      <c r="G84">
        <v>3</v>
      </c>
      <c r="H84">
        <v>35</v>
      </c>
      <c r="I84" s="12">
        <v>45489</v>
      </c>
      <c r="J84">
        <v>197</v>
      </c>
      <c r="K84">
        <f t="shared" si="2"/>
        <v>55</v>
      </c>
      <c r="L84" t="s">
        <v>26</v>
      </c>
      <c r="M84">
        <v>37100</v>
      </c>
      <c r="P84">
        <v>3.9560000000000005E-2</v>
      </c>
      <c r="Q84">
        <v>4.2889999999999998E-2</v>
      </c>
      <c r="R84">
        <v>902.07877461706778</v>
      </c>
      <c r="S84">
        <v>1</v>
      </c>
      <c r="T84">
        <v>0.91400000000000003</v>
      </c>
      <c r="U84">
        <v>0.91400000000000003</v>
      </c>
      <c r="V84">
        <v>399.04900292716604</v>
      </c>
      <c r="W84">
        <v>0</v>
      </c>
      <c r="X84" s="16">
        <v>496.18893163972166</v>
      </c>
      <c r="Y84">
        <v>6.8408400501800042</v>
      </c>
      <c r="AF84">
        <v>38.353999999999999</v>
      </c>
      <c r="AG84">
        <v>12</v>
      </c>
    </row>
    <row r="85" spans="1:33" hidden="1" x14ac:dyDescent="0.25">
      <c r="A85">
        <v>2024</v>
      </c>
      <c r="B85">
        <v>1</v>
      </c>
      <c r="C85" t="s">
        <v>32</v>
      </c>
      <c r="D85" t="s">
        <v>25</v>
      </c>
      <c r="E85">
        <v>3</v>
      </c>
      <c r="F85">
        <v>12</v>
      </c>
      <c r="G85">
        <v>3</v>
      </c>
      <c r="H85">
        <v>36</v>
      </c>
      <c r="I85" s="12">
        <v>45489</v>
      </c>
      <c r="J85">
        <v>197</v>
      </c>
      <c r="K85">
        <f t="shared" si="2"/>
        <v>55</v>
      </c>
      <c r="L85" t="s">
        <v>26</v>
      </c>
      <c r="M85">
        <v>37100</v>
      </c>
      <c r="P85">
        <v>4.0559999999999999E-2</v>
      </c>
      <c r="Q85">
        <v>8.029E-2</v>
      </c>
      <c r="R85">
        <v>1322.2100656455141</v>
      </c>
      <c r="S85">
        <v>1</v>
      </c>
      <c r="T85">
        <v>0.91400000000000003</v>
      </c>
      <c r="U85">
        <v>0.91400000000000003</v>
      </c>
      <c r="V85">
        <v>625.89825592687055</v>
      </c>
      <c r="W85">
        <v>0</v>
      </c>
      <c r="X85" s="16">
        <v>696.31180971864353</v>
      </c>
      <c r="Y85">
        <v>0</v>
      </c>
      <c r="AF85">
        <v>34.29</v>
      </c>
      <c r="AG85">
        <v>12.2</v>
      </c>
    </row>
    <row r="86" spans="1:33" hidden="1" x14ac:dyDescent="0.25">
      <c r="A86">
        <v>2024</v>
      </c>
      <c r="B86">
        <v>1</v>
      </c>
      <c r="C86" t="s">
        <v>24</v>
      </c>
      <c r="D86" t="s">
        <v>38</v>
      </c>
      <c r="E86">
        <v>4</v>
      </c>
      <c r="F86">
        <v>1</v>
      </c>
      <c r="G86">
        <v>4</v>
      </c>
      <c r="H86">
        <v>37</v>
      </c>
      <c r="I86" s="12">
        <v>45489</v>
      </c>
      <c r="J86">
        <v>197</v>
      </c>
      <c r="K86">
        <f t="shared" si="2"/>
        <v>55</v>
      </c>
      <c r="L86" t="s">
        <v>26</v>
      </c>
      <c r="M86">
        <v>37100</v>
      </c>
      <c r="P86">
        <v>5.4959999999999995E-2</v>
      </c>
      <c r="Q86">
        <v>0.14579000000000003</v>
      </c>
      <c r="R86">
        <v>2196.3894967177248</v>
      </c>
      <c r="S86">
        <v>1</v>
      </c>
      <c r="T86">
        <v>0.91400000000000003</v>
      </c>
      <c r="U86">
        <v>0.91400000000000003</v>
      </c>
      <c r="V86">
        <v>1007.0781535168609</v>
      </c>
      <c r="W86">
        <v>0</v>
      </c>
      <c r="X86" s="16">
        <v>1185.3150013218287</v>
      </c>
      <c r="Y86">
        <v>3.996341879035219</v>
      </c>
      <c r="AF86">
        <v>42.672000000000004</v>
      </c>
      <c r="AG86">
        <v>12.6</v>
      </c>
    </row>
    <row r="87" spans="1:33" hidden="1" x14ac:dyDescent="0.25">
      <c r="A87">
        <v>2024</v>
      </c>
      <c r="B87">
        <v>1</v>
      </c>
      <c r="C87" t="s">
        <v>27</v>
      </c>
      <c r="D87" t="s">
        <v>38</v>
      </c>
      <c r="E87">
        <v>4</v>
      </c>
      <c r="F87">
        <v>2</v>
      </c>
      <c r="G87">
        <v>4</v>
      </c>
      <c r="H87">
        <v>38</v>
      </c>
      <c r="I87" s="12">
        <v>45489</v>
      </c>
      <c r="J87">
        <v>197</v>
      </c>
      <c r="K87">
        <f t="shared" si="2"/>
        <v>55</v>
      </c>
      <c r="L87" t="s">
        <v>26</v>
      </c>
      <c r="M87">
        <v>37100</v>
      </c>
      <c r="P87">
        <v>4.3759999999999993E-2</v>
      </c>
      <c r="Q87">
        <v>0.15008999999999997</v>
      </c>
      <c r="R87">
        <v>2120.89715536105</v>
      </c>
      <c r="S87">
        <v>1</v>
      </c>
      <c r="T87">
        <v>0.91400000000000003</v>
      </c>
      <c r="U87">
        <v>0.91400000000000003</v>
      </c>
      <c r="V87">
        <v>949.94479536281051</v>
      </c>
      <c r="W87">
        <v>0</v>
      </c>
      <c r="X87" s="16">
        <v>1170.9523599982397</v>
      </c>
      <c r="Y87">
        <v>0</v>
      </c>
      <c r="AF87">
        <v>44.45</v>
      </c>
      <c r="AG87">
        <v>10.6</v>
      </c>
    </row>
    <row r="88" spans="1:33" hidden="1" x14ac:dyDescent="0.25">
      <c r="A88">
        <v>2024</v>
      </c>
      <c r="B88">
        <v>1</v>
      </c>
      <c r="C88" t="s">
        <v>28</v>
      </c>
      <c r="D88" t="s">
        <v>38</v>
      </c>
      <c r="E88">
        <v>4</v>
      </c>
      <c r="F88">
        <v>3</v>
      </c>
      <c r="G88">
        <v>4</v>
      </c>
      <c r="H88">
        <v>39</v>
      </c>
      <c r="I88" s="12">
        <v>45489</v>
      </c>
      <c r="J88">
        <v>197</v>
      </c>
      <c r="K88">
        <f t="shared" si="2"/>
        <v>55</v>
      </c>
      <c r="L88" t="s">
        <v>26</v>
      </c>
      <c r="M88">
        <v>37100</v>
      </c>
      <c r="P88">
        <v>5.5360000000000006E-2</v>
      </c>
      <c r="Q88">
        <v>0.13488999999999998</v>
      </c>
      <c r="R88">
        <v>2081.5098468271331</v>
      </c>
      <c r="S88">
        <v>1</v>
      </c>
      <c r="T88">
        <v>0.91400000000000003</v>
      </c>
      <c r="U88">
        <v>0.91400000000000003</v>
      </c>
      <c r="V88">
        <v>913.66852019326836</v>
      </c>
      <c r="W88">
        <v>0</v>
      </c>
      <c r="X88" s="16">
        <v>1167.8413266338646</v>
      </c>
      <c r="Y88">
        <v>0</v>
      </c>
      <c r="AF88">
        <v>49.275999999999996</v>
      </c>
      <c r="AG88">
        <v>12.4</v>
      </c>
    </row>
    <row r="89" spans="1:33" hidden="1" x14ac:dyDescent="0.25">
      <c r="A89">
        <v>2024</v>
      </c>
      <c r="B89">
        <v>1</v>
      </c>
      <c r="C89" t="s">
        <v>29</v>
      </c>
      <c r="D89" t="s">
        <v>38</v>
      </c>
      <c r="E89">
        <v>4</v>
      </c>
      <c r="F89">
        <v>4</v>
      </c>
      <c r="G89">
        <v>4</v>
      </c>
      <c r="H89">
        <v>40</v>
      </c>
      <c r="I89" s="12">
        <v>45489</v>
      </c>
      <c r="J89">
        <v>197</v>
      </c>
      <c r="K89">
        <f t="shared" si="2"/>
        <v>55</v>
      </c>
      <c r="L89" t="s">
        <v>26</v>
      </c>
      <c r="M89">
        <v>37100</v>
      </c>
      <c r="P89">
        <v>6.1960000000000001E-2</v>
      </c>
      <c r="Q89">
        <v>0.15508999999999998</v>
      </c>
      <c r="R89">
        <v>2374.7264770240695</v>
      </c>
      <c r="S89">
        <v>1</v>
      </c>
      <c r="T89">
        <v>0.91400000000000003</v>
      </c>
      <c r="U89">
        <v>0.91400000000000003</v>
      </c>
      <c r="V89">
        <v>1019.4919994970988</v>
      </c>
      <c r="W89">
        <v>0</v>
      </c>
      <c r="X89" s="16">
        <v>1355.2344775269707</v>
      </c>
      <c r="Y89">
        <v>0</v>
      </c>
      <c r="AF89">
        <v>53.594000000000001</v>
      </c>
      <c r="AG89">
        <v>12.2</v>
      </c>
    </row>
    <row r="90" spans="1:33" hidden="1" x14ac:dyDescent="0.25">
      <c r="A90">
        <v>2024</v>
      </c>
      <c r="B90">
        <v>1</v>
      </c>
      <c r="C90" t="s">
        <v>30</v>
      </c>
      <c r="D90" t="s">
        <v>38</v>
      </c>
      <c r="E90">
        <v>4</v>
      </c>
      <c r="F90">
        <v>5</v>
      </c>
      <c r="G90">
        <v>4</v>
      </c>
      <c r="H90">
        <v>41</v>
      </c>
      <c r="I90" s="12">
        <v>45489</v>
      </c>
      <c r="J90">
        <v>197</v>
      </c>
      <c r="K90">
        <f t="shared" si="2"/>
        <v>55</v>
      </c>
      <c r="L90" t="s">
        <v>26</v>
      </c>
      <c r="M90">
        <v>37100</v>
      </c>
      <c r="P90">
        <v>5.3059999999999996E-2</v>
      </c>
      <c r="Q90">
        <v>0.21549000000000001</v>
      </c>
      <c r="R90">
        <v>2938.1838074398247</v>
      </c>
      <c r="S90">
        <v>1</v>
      </c>
      <c r="T90">
        <v>0.91400000000000003</v>
      </c>
      <c r="U90">
        <v>0.91400000000000003</v>
      </c>
      <c r="V90">
        <v>1268.0815904706371</v>
      </c>
      <c r="W90">
        <v>11.074948388389801</v>
      </c>
      <c r="X90" s="16">
        <v>1659.0272685807981</v>
      </c>
      <c r="Y90">
        <v>0</v>
      </c>
      <c r="AF90">
        <v>51.815999999999995</v>
      </c>
      <c r="AG90">
        <v>12.4</v>
      </c>
    </row>
    <row r="91" spans="1:33" hidden="1" x14ac:dyDescent="0.25">
      <c r="A91">
        <v>2024</v>
      </c>
      <c r="B91">
        <v>1</v>
      </c>
      <c r="C91" t="s">
        <v>31</v>
      </c>
      <c r="D91" t="s">
        <v>38</v>
      </c>
      <c r="E91">
        <v>4</v>
      </c>
      <c r="F91">
        <v>6</v>
      </c>
      <c r="G91">
        <v>4</v>
      </c>
      <c r="H91">
        <v>42</v>
      </c>
      <c r="I91" s="12">
        <v>45489</v>
      </c>
      <c r="J91">
        <v>197</v>
      </c>
      <c r="K91">
        <f t="shared" si="2"/>
        <v>55</v>
      </c>
      <c r="L91" t="s">
        <v>26</v>
      </c>
      <c r="M91">
        <v>37100</v>
      </c>
      <c r="P91">
        <v>7.9559999999999992E-2</v>
      </c>
      <c r="Q91">
        <v>0.10008999999999998</v>
      </c>
      <c r="R91">
        <v>1965.5361050328224</v>
      </c>
      <c r="S91">
        <v>1</v>
      </c>
      <c r="T91">
        <v>0.91400000000000003</v>
      </c>
      <c r="U91">
        <v>0.91400000000000003</v>
      </c>
      <c r="V91">
        <v>914.08793220480686</v>
      </c>
      <c r="W91">
        <v>7.4115237746335874</v>
      </c>
      <c r="X91" s="16">
        <v>1044.036649053382</v>
      </c>
      <c r="Y91">
        <v>0</v>
      </c>
      <c r="AF91">
        <v>42.672000000000004</v>
      </c>
      <c r="AG91">
        <v>12.2</v>
      </c>
    </row>
    <row r="92" spans="1:33" hidden="1" x14ac:dyDescent="0.25">
      <c r="A92">
        <v>2024</v>
      </c>
      <c r="B92">
        <v>1</v>
      </c>
      <c r="C92" t="s">
        <v>32</v>
      </c>
      <c r="D92" t="s">
        <v>38</v>
      </c>
      <c r="E92">
        <v>4</v>
      </c>
      <c r="F92">
        <v>7</v>
      </c>
      <c r="G92">
        <v>4</v>
      </c>
      <c r="H92">
        <v>43</v>
      </c>
      <c r="I92" s="12">
        <v>45489</v>
      </c>
      <c r="J92">
        <v>197</v>
      </c>
      <c r="K92">
        <f t="shared" si="2"/>
        <v>55</v>
      </c>
      <c r="L92" t="s">
        <v>26</v>
      </c>
      <c r="M92">
        <v>37100</v>
      </c>
      <c r="P92">
        <v>5.6459999999999996E-2</v>
      </c>
      <c r="Q92">
        <v>0.16869000000000001</v>
      </c>
      <c r="R92">
        <v>2463.3479212253828</v>
      </c>
      <c r="S92">
        <v>1</v>
      </c>
      <c r="T92">
        <v>0.91400000000000003</v>
      </c>
      <c r="U92">
        <v>0.91400000000000003</v>
      </c>
      <c r="V92">
        <v>1138.7421314910112</v>
      </c>
      <c r="W92">
        <v>0</v>
      </c>
      <c r="X92" s="16">
        <v>1324.6057897343715</v>
      </c>
      <c r="Y92">
        <v>0</v>
      </c>
      <c r="AF92">
        <v>42.417999999999999</v>
      </c>
      <c r="AG92">
        <v>14.2</v>
      </c>
    </row>
    <row r="93" spans="1:33" hidden="1" x14ac:dyDescent="0.25">
      <c r="A93">
        <v>2024</v>
      </c>
      <c r="B93">
        <v>1</v>
      </c>
      <c r="C93" t="s">
        <v>33</v>
      </c>
      <c r="D93" t="s">
        <v>38</v>
      </c>
      <c r="E93">
        <v>4</v>
      </c>
      <c r="F93">
        <v>8</v>
      </c>
      <c r="G93">
        <v>4</v>
      </c>
      <c r="H93">
        <v>44</v>
      </c>
      <c r="I93" s="12">
        <v>45489</v>
      </c>
      <c r="J93">
        <v>197</v>
      </c>
      <c r="K93">
        <f t="shared" si="2"/>
        <v>55</v>
      </c>
      <c r="L93" t="s">
        <v>26</v>
      </c>
      <c r="M93">
        <v>37100</v>
      </c>
      <c r="P93">
        <v>5.3859999999999991E-2</v>
      </c>
      <c r="Q93">
        <v>0.12988999999999998</v>
      </c>
      <c r="R93">
        <v>2010.3938730853388</v>
      </c>
      <c r="S93">
        <v>1</v>
      </c>
      <c r="T93">
        <v>0.91400000000000003</v>
      </c>
      <c r="U93">
        <v>0.91400000000000003</v>
      </c>
      <c r="V93">
        <v>921.95931424448338</v>
      </c>
      <c r="W93">
        <v>0</v>
      </c>
      <c r="X93" s="16">
        <v>1088.4345588408555</v>
      </c>
      <c r="Y93">
        <v>0</v>
      </c>
      <c r="AF93">
        <v>57.658000000000001</v>
      </c>
      <c r="AG93">
        <v>13</v>
      </c>
    </row>
    <row r="94" spans="1:33" hidden="1" x14ac:dyDescent="0.25">
      <c r="A94">
        <v>2024</v>
      </c>
      <c r="B94">
        <v>1</v>
      </c>
      <c r="C94" t="s">
        <v>34</v>
      </c>
      <c r="D94" t="s">
        <v>38</v>
      </c>
      <c r="E94">
        <v>4</v>
      </c>
      <c r="F94">
        <v>9</v>
      </c>
      <c r="G94">
        <v>4</v>
      </c>
      <c r="H94">
        <v>45</v>
      </c>
      <c r="I94" s="12">
        <v>45489</v>
      </c>
      <c r="J94">
        <v>197</v>
      </c>
      <c r="K94">
        <f t="shared" si="2"/>
        <v>55</v>
      </c>
      <c r="L94" t="s">
        <v>26</v>
      </c>
      <c r="M94">
        <v>37100</v>
      </c>
      <c r="P94">
        <v>0.10125999999999999</v>
      </c>
      <c r="Q94">
        <v>0.10858999999999999</v>
      </c>
      <c r="R94">
        <v>2295.9518599562361</v>
      </c>
      <c r="S94">
        <v>1</v>
      </c>
      <c r="T94">
        <v>0.91400000000000003</v>
      </c>
      <c r="U94">
        <v>0.91400000000000003</v>
      </c>
      <c r="V94">
        <v>1072.4720815319965</v>
      </c>
      <c r="W94">
        <v>2.2673828362198982</v>
      </c>
      <c r="X94" s="16">
        <v>1218.9450127517996</v>
      </c>
      <c r="Y94">
        <v>2.2673828362198982</v>
      </c>
      <c r="AF94">
        <v>44.45</v>
      </c>
      <c r="AG94">
        <v>14.6</v>
      </c>
    </row>
    <row r="95" spans="1:33" hidden="1" x14ac:dyDescent="0.25">
      <c r="A95">
        <v>2024</v>
      </c>
      <c r="B95">
        <v>1</v>
      </c>
      <c r="C95" t="s">
        <v>35</v>
      </c>
      <c r="D95" t="s">
        <v>38</v>
      </c>
      <c r="E95">
        <v>4</v>
      </c>
      <c r="F95">
        <v>10</v>
      </c>
      <c r="G95">
        <v>4</v>
      </c>
      <c r="H95">
        <v>46</v>
      </c>
      <c r="I95" s="12">
        <v>45489</v>
      </c>
      <c r="J95">
        <v>197</v>
      </c>
      <c r="K95">
        <f t="shared" si="2"/>
        <v>55</v>
      </c>
      <c r="L95" t="s">
        <v>26</v>
      </c>
      <c r="M95">
        <v>37100</v>
      </c>
      <c r="P95">
        <v>5.3459999999999994E-2</v>
      </c>
      <c r="Q95">
        <v>0.10729000000000001</v>
      </c>
      <c r="R95">
        <v>1758.7527352297593</v>
      </c>
      <c r="S95">
        <v>1</v>
      </c>
      <c r="T95">
        <v>0.91400000000000003</v>
      </c>
      <c r="U95">
        <v>0.91400000000000003</v>
      </c>
      <c r="V95">
        <v>802.72290945765315</v>
      </c>
      <c r="W95">
        <v>0</v>
      </c>
      <c r="X95" s="16">
        <v>956.02982577210628</v>
      </c>
      <c r="Y95">
        <v>0</v>
      </c>
      <c r="AF95">
        <v>61.722000000000001</v>
      </c>
      <c r="AG95">
        <v>14</v>
      </c>
    </row>
    <row r="96" spans="1:33" hidden="1" x14ac:dyDescent="0.25">
      <c r="A96">
        <v>2024</v>
      </c>
      <c r="B96">
        <v>1</v>
      </c>
      <c r="C96" t="s">
        <v>36</v>
      </c>
      <c r="D96" t="s">
        <v>38</v>
      </c>
      <c r="E96">
        <v>4</v>
      </c>
      <c r="F96">
        <v>11</v>
      </c>
      <c r="G96">
        <v>4</v>
      </c>
      <c r="H96">
        <v>47</v>
      </c>
      <c r="I96" s="12">
        <v>45489</v>
      </c>
      <c r="J96">
        <v>197</v>
      </c>
      <c r="K96">
        <f t="shared" si="2"/>
        <v>55</v>
      </c>
      <c r="L96" t="s">
        <v>26</v>
      </c>
      <c r="M96">
        <v>37100</v>
      </c>
      <c r="P96">
        <v>9.7660000000000011E-2</v>
      </c>
      <c r="Q96">
        <v>0.12708999999999998</v>
      </c>
      <c r="R96">
        <v>2458.9715536105032</v>
      </c>
      <c r="S96">
        <v>1</v>
      </c>
      <c r="T96">
        <v>0.91400000000000003</v>
      </c>
      <c r="U96">
        <v>0.91400000000000003</v>
      </c>
      <c r="V96">
        <v>1188.4441668074519</v>
      </c>
      <c r="W96">
        <v>12.589450919570464</v>
      </c>
      <c r="X96" s="16">
        <v>1242.8305947799961</v>
      </c>
      <c r="Y96">
        <v>15.107341103484593</v>
      </c>
      <c r="AF96">
        <v>50.8</v>
      </c>
      <c r="AG96">
        <v>15</v>
      </c>
    </row>
    <row r="97" spans="1:33" hidden="1" x14ac:dyDescent="0.25">
      <c r="A97">
        <v>2024</v>
      </c>
      <c r="B97">
        <v>1</v>
      </c>
      <c r="C97" t="s">
        <v>37</v>
      </c>
      <c r="D97" t="s">
        <v>38</v>
      </c>
      <c r="E97">
        <v>4</v>
      </c>
      <c r="F97">
        <v>12</v>
      </c>
      <c r="G97">
        <v>4</v>
      </c>
      <c r="H97">
        <v>48</v>
      </c>
      <c r="I97" s="12">
        <v>45489</v>
      </c>
      <c r="J97">
        <v>197</v>
      </c>
      <c r="K97">
        <f t="shared" si="2"/>
        <v>55</v>
      </c>
      <c r="L97" t="s">
        <v>26</v>
      </c>
      <c r="M97">
        <v>37100</v>
      </c>
      <c r="P97">
        <v>6.1359999999999998E-2</v>
      </c>
      <c r="Q97">
        <v>0.18558999999999998</v>
      </c>
      <c r="R97">
        <v>2701.8599562363233</v>
      </c>
      <c r="S97">
        <v>1</v>
      </c>
      <c r="T97">
        <v>0.91400000000000003</v>
      </c>
      <c r="U97">
        <v>0.91400000000000003</v>
      </c>
      <c r="V97">
        <v>1307.7777167571514</v>
      </c>
      <c r="W97">
        <v>0</v>
      </c>
      <c r="X97" s="16">
        <v>1394.0822394791719</v>
      </c>
      <c r="Y97">
        <v>0</v>
      </c>
      <c r="AF97">
        <v>56.895999999999994</v>
      </c>
      <c r="AG97">
        <v>13.2</v>
      </c>
    </row>
    <row r="98" spans="1:33" hidden="1" x14ac:dyDescent="0.25">
      <c r="A98">
        <v>2024</v>
      </c>
      <c r="B98">
        <v>1</v>
      </c>
      <c r="C98" t="s">
        <v>35</v>
      </c>
      <c r="D98" t="s">
        <v>38</v>
      </c>
      <c r="E98">
        <v>5</v>
      </c>
      <c r="F98">
        <v>1</v>
      </c>
      <c r="G98">
        <v>5</v>
      </c>
      <c r="H98">
        <v>49</v>
      </c>
      <c r="I98" s="12">
        <v>45489</v>
      </c>
      <c r="J98">
        <v>197</v>
      </c>
      <c r="K98">
        <f t="shared" si="2"/>
        <v>55</v>
      </c>
      <c r="L98" t="s">
        <v>26</v>
      </c>
      <c r="M98">
        <v>37100</v>
      </c>
      <c r="P98">
        <v>6.7760000000000001E-2</v>
      </c>
      <c r="Q98">
        <v>0.10908999999999999</v>
      </c>
      <c r="R98">
        <v>1934.9015317286651</v>
      </c>
      <c r="S98">
        <v>1</v>
      </c>
      <c r="T98">
        <v>0.91400000000000003</v>
      </c>
      <c r="U98">
        <v>0.91400000000000003</v>
      </c>
      <c r="V98">
        <v>859.51204405302269</v>
      </c>
      <c r="W98">
        <v>0</v>
      </c>
      <c r="X98" s="16">
        <v>1075.3894876756424</v>
      </c>
      <c r="Y98">
        <v>0</v>
      </c>
      <c r="AF98">
        <v>62.992000000000004</v>
      </c>
      <c r="AG98">
        <v>14.6</v>
      </c>
    </row>
    <row r="99" spans="1:33" hidden="1" x14ac:dyDescent="0.25">
      <c r="A99">
        <v>2024</v>
      </c>
      <c r="B99">
        <v>1</v>
      </c>
      <c r="C99" t="s">
        <v>33</v>
      </c>
      <c r="D99" t="s">
        <v>38</v>
      </c>
      <c r="E99">
        <v>5</v>
      </c>
      <c r="F99">
        <v>2</v>
      </c>
      <c r="G99">
        <v>5</v>
      </c>
      <c r="H99">
        <v>50</v>
      </c>
      <c r="I99" s="12">
        <v>45489</v>
      </c>
      <c r="J99">
        <v>197</v>
      </c>
      <c r="K99">
        <f t="shared" si="2"/>
        <v>55</v>
      </c>
      <c r="L99" t="s">
        <v>26</v>
      </c>
      <c r="M99">
        <v>37100</v>
      </c>
      <c r="P99">
        <v>6.4659999999999995E-2</v>
      </c>
      <c r="Q99">
        <v>0.15158999999999997</v>
      </c>
      <c r="R99">
        <v>2365.9737417943102</v>
      </c>
      <c r="S99">
        <v>1</v>
      </c>
      <c r="T99">
        <v>0.91400000000000003</v>
      </c>
      <c r="U99">
        <v>0.91400000000000003</v>
      </c>
      <c r="V99">
        <v>1046.502459253283</v>
      </c>
      <c r="W99">
        <v>0</v>
      </c>
      <c r="X99" s="16">
        <v>1319.4712825410277</v>
      </c>
      <c r="Y99">
        <v>0</v>
      </c>
      <c r="AF99">
        <v>59.436</v>
      </c>
      <c r="AG99">
        <v>13.6</v>
      </c>
    </row>
    <row r="100" spans="1:33" hidden="1" x14ac:dyDescent="0.25">
      <c r="A100">
        <v>2024</v>
      </c>
      <c r="B100">
        <v>1</v>
      </c>
      <c r="C100" t="s">
        <v>34</v>
      </c>
      <c r="D100" t="s">
        <v>38</v>
      </c>
      <c r="E100">
        <v>5</v>
      </c>
      <c r="F100">
        <v>3</v>
      </c>
      <c r="G100">
        <v>5</v>
      </c>
      <c r="H100">
        <v>51</v>
      </c>
      <c r="I100" s="12">
        <v>45489</v>
      </c>
      <c r="J100">
        <v>197</v>
      </c>
      <c r="K100">
        <f t="shared" si="2"/>
        <v>55</v>
      </c>
      <c r="L100" t="s">
        <v>26</v>
      </c>
      <c r="M100">
        <v>37100</v>
      </c>
      <c r="P100">
        <v>7.6359999999999997E-2</v>
      </c>
      <c r="Q100">
        <v>5.4090000000000006E-2</v>
      </c>
      <c r="R100">
        <v>1427.2428884026258</v>
      </c>
      <c r="S100">
        <v>1</v>
      </c>
      <c r="T100">
        <v>0.91400000000000003</v>
      </c>
      <c r="U100">
        <v>0.91400000000000003</v>
      </c>
      <c r="V100">
        <v>876.60675047253972</v>
      </c>
      <c r="W100">
        <v>11.214585293891798</v>
      </c>
      <c r="X100" s="16">
        <v>539.42155263619418</v>
      </c>
      <c r="Y100">
        <v>0</v>
      </c>
      <c r="AF100">
        <v>35.052</v>
      </c>
      <c r="AG100">
        <v>11.6</v>
      </c>
    </row>
    <row r="101" spans="1:33" hidden="1" x14ac:dyDescent="0.25">
      <c r="A101">
        <v>2024</v>
      </c>
      <c r="B101">
        <v>1</v>
      </c>
      <c r="C101" t="s">
        <v>27</v>
      </c>
      <c r="D101" t="s">
        <v>38</v>
      </c>
      <c r="E101">
        <v>5</v>
      </c>
      <c r="F101">
        <v>4</v>
      </c>
      <c r="G101">
        <v>5</v>
      </c>
      <c r="H101">
        <v>52</v>
      </c>
      <c r="I101" s="12">
        <v>45489</v>
      </c>
      <c r="J101">
        <v>197</v>
      </c>
      <c r="K101">
        <f t="shared" si="2"/>
        <v>55</v>
      </c>
      <c r="L101" t="s">
        <v>26</v>
      </c>
      <c r="M101">
        <v>37100</v>
      </c>
      <c r="P101">
        <v>5.5060000000000005E-2</v>
      </c>
      <c r="Q101">
        <v>0.19049000000000002</v>
      </c>
      <c r="R101">
        <v>2686.5426695842448</v>
      </c>
      <c r="S101">
        <v>1</v>
      </c>
      <c r="T101">
        <v>0.91400000000000003</v>
      </c>
      <c r="U101">
        <v>0.91400000000000003</v>
      </c>
      <c r="V101">
        <v>1161.2734387233022</v>
      </c>
      <c r="W101">
        <v>0</v>
      </c>
      <c r="X101" s="16">
        <v>1481.3555293966156</v>
      </c>
      <c r="Y101">
        <v>43.913701464326657</v>
      </c>
      <c r="AF101">
        <v>48.26</v>
      </c>
      <c r="AG101">
        <v>12.6</v>
      </c>
    </row>
    <row r="102" spans="1:33" hidden="1" x14ac:dyDescent="0.25">
      <c r="A102">
        <v>2024</v>
      </c>
      <c r="B102">
        <v>1</v>
      </c>
      <c r="C102" t="s">
        <v>32</v>
      </c>
      <c r="D102" t="s">
        <v>38</v>
      </c>
      <c r="E102">
        <v>5</v>
      </c>
      <c r="F102">
        <v>5</v>
      </c>
      <c r="G102">
        <v>5</v>
      </c>
      <c r="H102">
        <v>53</v>
      </c>
      <c r="I102" s="12">
        <v>45489</v>
      </c>
      <c r="J102">
        <v>197</v>
      </c>
      <c r="K102">
        <f t="shared" si="2"/>
        <v>55</v>
      </c>
      <c r="L102" t="s">
        <v>26</v>
      </c>
      <c r="M102">
        <v>37100</v>
      </c>
      <c r="P102">
        <v>3.5059999999999994E-2</v>
      </c>
      <c r="Q102">
        <v>0.12999000000000002</v>
      </c>
      <c r="R102">
        <v>1805.7986870897157</v>
      </c>
      <c r="S102">
        <v>1</v>
      </c>
      <c r="T102">
        <v>0.91400000000000003</v>
      </c>
      <c r="U102">
        <v>0.91400000000000003</v>
      </c>
      <c r="V102">
        <v>829.2458317782208</v>
      </c>
      <c r="W102">
        <v>0</v>
      </c>
      <c r="X102" s="16">
        <v>976.5528553114948</v>
      </c>
      <c r="Y102">
        <v>0</v>
      </c>
      <c r="AF102">
        <v>36.067999999999998</v>
      </c>
      <c r="AG102">
        <v>12.6</v>
      </c>
    </row>
    <row r="103" spans="1:33" hidden="1" x14ac:dyDescent="0.25">
      <c r="A103">
        <v>2024</v>
      </c>
      <c r="B103">
        <v>1</v>
      </c>
      <c r="C103" t="s">
        <v>29</v>
      </c>
      <c r="D103" t="s">
        <v>38</v>
      </c>
      <c r="E103">
        <v>5</v>
      </c>
      <c r="F103">
        <v>6</v>
      </c>
      <c r="G103">
        <v>5</v>
      </c>
      <c r="H103">
        <v>54</v>
      </c>
      <c r="I103" s="12">
        <v>45489</v>
      </c>
      <c r="J103">
        <v>197</v>
      </c>
      <c r="K103">
        <f t="shared" si="2"/>
        <v>55</v>
      </c>
      <c r="L103" t="s">
        <v>26</v>
      </c>
      <c r="M103">
        <v>37100</v>
      </c>
      <c r="P103">
        <v>6.1959999999999994E-2</v>
      </c>
      <c r="Q103">
        <v>0.11579</v>
      </c>
      <c r="R103">
        <v>1944.7483588621444</v>
      </c>
      <c r="S103">
        <v>1</v>
      </c>
      <c r="T103">
        <v>0.91400000000000003</v>
      </c>
      <c r="U103">
        <v>0.91400000000000003</v>
      </c>
      <c r="V103">
        <v>850.59200331123486</v>
      </c>
      <c r="W103">
        <v>21.971011155640735</v>
      </c>
      <c r="X103" s="16">
        <v>1059.6304808777595</v>
      </c>
      <c r="Y103">
        <v>12.554863517509069</v>
      </c>
      <c r="AF103">
        <v>48.768000000000001</v>
      </c>
      <c r="AG103">
        <v>12.8</v>
      </c>
    </row>
    <row r="104" spans="1:33" hidden="1" x14ac:dyDescent="0.25">
      <c r="A104">
        <v>2024</v>
      </c>
      <c r="B104">
        <v>1</v>
      </c>
      <c r="C104" t="s">
        <v>30</v>
      </c>
      <c r="D104" t="s">
        <v>38</v>
      </c>
      <c r="E104">
        <v>5</v>
      </c>
      <c r="F104">
        <v>7</v>
      </c>
      <c r="G104">
        <v>5</v>
      </c>
      <c r="H104">
        <v>55</v>
      </c>
      <c r="I104" s="12">
        <v>45489</v>
      </c>
      <c r="J104">
        <v>197</v>
      </c>
      <c r="K104">
        <f t="shared" si="2"/>
        <v>55</v>
      </c>
      <c r="L104" t="s">
        <v>26</v>
      </c>
      <c r="M104">
        <v>37100</v>
      </c>
      <c r="P104">
        <v>7.0359999999999992E-2</v>
      </c>
      <c r="Q104">
        <v>0.12158999999999999</v>
      </c>
      <c r="R104">
        <v>2100.1094091903715</v>
      </c>
      <c r="S104">
        <v>1</v>
      </c>
      <c r="T104">
        <v>0.91400000000000003</v>
      </c>
      <c r="U104">
        <v>0.91400000000000003</v>
      </c>
      <c r="V104">
        <v>916.33540167914168</v>
      </c>
      <c r="W104">
        <v>0</v>
      </c>
      <c r="X104" s="16">
        <v>1159.8955605619365</v>
      </c>
      <c r="Y104">
        <v>23.878446949293615</v>
      </c>
      <c r="AF104">
        <v>46.99</v>
      </c>
      <c r="AG104">
        <v>15.2</v>
      </c>
    </row>
    <row r="105" spans="1:33" hidden="1" x14ac:dyDescent="0.25">
      <c r="A105">
        <v>2024</v>
      </c>
      <c r="B105">
        <v>1</v>
      </c>
      <c r="C105" t="s">
        <v>36</v>
      </c>
      <c r="D105" t="s">
        <v>38</v>
      </c>
      <c r="E105">
        <v>5</v>
      </c>
      <c r="F105">
        <v>8</v>
      </c>
      <c r="G105">
        <v>5</v>
      </c>
      <c r="H105">
        <v>56</v>
      </c>
      <c r="I105" s="12">
        <v>45489</v>
      </c>
      <c r="J105">
        <v>197</v>
      </c>
      <c r="K105">
        <f t="shared" si="2"/>
        <v>55</v>
      </c>
      <c r="L105" t="s">
        <v>26</v>
      </c>
      <c r="M105">
        <v>37100</v>
      </c>
      <c r="P105">
        <v>9.1760000000000008E-2</v>
      </c>
      <c r="Q105">
        <v>0.12829000000000002</v>
      </c>
      <c r="R105">
        <v>2407.5492341356676</v>
      </c>
      <c r="S105">
        <v>1</v>
      </c>
      <c r="T105">
        <v>0.91400000000000003</v>
      </c>
      <c r="U105">
        <v>0.91400000000000003</v>
      </c>
      <c r="V105">
        <v>1133.458227056025</v>
      </c>
      <c r="W105">
        <v>2.623745895963058</v>
      </c>
      <c r="X105" s="16">
        <v>1253.1010399119382</v>
      </c>
      <c r="Y105">
        <v>18.366221271741125</v>
      </c>
      <c r="AF105">
        <v>53.34</v>
      </c>
      <c r="AG105">
        <v>15.2</v>
      </c>
    </row>
    <row r="106" spans="1:33" hidden="1" x14ac:dyDescent="0.25">
      <c r="A106">
        <v>2024</v>
      </c>
      <c r="B106">
        <v>1</v>
      </c>
      <c r="C106" t="s">
        <v>24</v>
      </c>
      <c r="D106" t="s">
        <v>38</v>
      </c>
      <c r="E106">
        <v>5</v>
      </c>
      <c r="F106">
        <v>9</v>
      </c>
      <c r="G106">
        <v>5</v>
      </c>
      <c r="H106">
        <v>57</v>
      </c>
      <c r="I106" s="12">
        <v>45489</v>
      </c>
      <c r="J106">
        <v>197</v>
      </c>
      <c r="K106">
        <f t="shared" si="2"/>
        <v>55</v>
      </c>
      <c r="L106" t="s">
        <v>26</v>
      </c>
      <c r="M106">
        <v>37100</v>
      </c>
      <c r="P106">
        <v>5.7659999999999996E-2</v>
      </c>
      <c r="Q106">
        <v>0.12858999999999998</v>
      </c>
      <c r="R106">
        <v>2037.7461706783367</v>
      </c>
      <c r="S106">
        <v>1</v>
      </c>
      <c r="T106">
        <v>0.91400000000000003</v>
      </c>
      <c r="U106">
        <v>0.91400000000000003</v>
      </c>
      <c r="V106">
        <v>911.79069031392805</v>
      </c>
      <c r="W106">
        <v>0</v>
      </c>
      <c r="X106" s="16">
        <v>1111.8191905920996</v>
      </c>
      <c r="Y106">
        <v>14.136289772309038</v>
      </c>
      <c r="AF106">
        <v>42.925999999999995</v>
      </c>
      <c r="AG106">
        <v>13.6</v>
      </c>
    </row>
    <row r="107" spans="1:33" hidden="1" x14ac:dyDescent="0.25">
      <c r="A107">
        <v>2024</v>
      </c>
      <c r="B107">
        <v>1</v>
      </c>
      <c r="C107" t="s">
        <v>37</v>
      </c>
      <c r="D107" t="s">
        <v>38</v>
      </c>
      <c r="E107">
        <v>5</v>
      </c>
      <c r="F107">
        <v>10</v>
      </c>
      <c r="G107">
        <v>5</v>
      </c>
      <c r="H107">
        <v>58</v>
      </c>
      <c r="I107" s="12">
        <v>45489</v>
      </c>
      <c r="J107">
        <v>197</v>
      </c>
      <c r="K107">
        <f t="shared" si="2"/>
        <v>55</v>
      </c>
      <c r="L107" t="s">
        <v>26</v>
      </c>
      <c r="M107">
        <v>37100</v>
      </c>
      <c r="P107">
        <v>8.4860000000000005E-2</v>
      </c>
      <c r="Q107">
        <v>0.15858999999999998</v>
      </c>
      <c r="R107">
        <v>2663.5667396061267</v>
      </c>
      <c r="S107">
        <v>1</v>
      </c>
      <c r="T107">
        <v>0.91400000000000003</v>
      </c>
      <c r="U107">
        <v>0.91400000000000003</v>
      </c>
      <c r="V107">
        <v>1340.2580695402028</v>
      </c>
      <c r="W107">
        <v>9.4163330412660855</v>
      </c>
      <c r="X107" s="16">
        <v>1313.8923370246578</v>
      </c>
      <c r="Y107">
        <v>0</v>
      </c>
      <c r="AF107">
        <v>52.832000000000001</v>
      </c>
      <c r="AG107">
        <v>14.2</v>
      </c>
    </row>
    <row r="108" spans="1:33" hidden="1" x14ac:dyDescent="0.25">
      <c r="A108">
        <v>2024</v>
      </c>
      <c r="B108">
        <v>1</v>
      </c>
      <c r="C108" t="s">
        <v>31</v>
      </c>
      <c r="D108" t="s">
        <v>38</v>
      </c>
      <c r="E108">
        <v>5</v>
      </c>
      <c r="F108">
        <v>11</v>
      </c>
      <c r="G108">
        <v>5</v>
      </c>
      <c r="H108">
        <v>59</v>
      </c>
      <c r="I108" s="12">
        <v>45489</v>
      </c>
      <c r="J108">
        <v>197</v>
      </c>
      <c r="K108">
        <f t="shared" si="2"/>
        <v>55</v>
      </c>
      <c r="L108" t="s">
        <v>26</v>
      </c>
      <c r="M108">
        <v>37100</v>
      </c>
      <c r="P108">
        <v>6.0860000000000011E-2</v>
      </c>
      <c r="Q108">
        <v>0.19608999999999999</v>
      </c>
      <c r="R108">
        <v>2811.2691466083152</v>
      </c>
      <c r="S108">
        <v>1</v>
      </c>
      <c r="T108">
        <v>0.91400000000000003</v>
      </c>
      <c r="U108">
        <v>0.91400000000000003</v>
      </c>
      <c r="V108">
        <v>1307.2447724123449</v>
      </c>
      <c r="W108">
        <v>0</v>
      </c>
      <c r="X108" s="16">
        <v>1504.02437419597</v>
      </c>
      <c r="Y108">
        <v>0</v>
      </c>
      <c r="AF108">
        <v>41.147999999999996</v>
      </c>
      <c r="AG108">
        <v>12.4</v>
      </c>
    </row>
    <row r="109" spans="1:33" hidden="1" x14ac:dyDescent="0.25">
      <c r="A109">
        <v>2024</v>
      </c>
      <c r="B109">
        <v>1</v>
      </c>
      <c r="C109" t="s">
        <v>28</v>
      </c>
      <c r="D109" t="s">
        <v>38</v>
      </c>
      <c r="E109">
        <v>5</v>
      </c>
      <c r="F109">
        <v>12</v>
      </c>
      <c r="G109">
        <v>5</v>
      </c>
      <c r="H109">
        <v>60</v>
      </c>
      <c r="I109" s="12">
        <v>45489</v>
      </c>
      <c r="J109">
        <v>197</v>
      </c>
      <c r="K109">
        <f t="shared" si="2"/>
        <v>55</v>
      </c>
      <c r="L109" t="s">
        <v>26</v>
      </c>
      <c r="M109">
        <v>37100</v>
      </c>
      <c r="P109">
        <v>7.1760000000000004E-2</v>
      </c>
      <c r="Q109">
        <v>0.17788999999999999</v>
      </c>
      <c r="R109">
        <v>2731.4004376367616</v>
      </c>
      <c r="S109">
        <v>1</v>
      </c>
      <c r="T109">
        <v>0.91400000000000003</v>
      </c>
      <c r="U109">
        <v>0.91400000000000003</v>
      </c>
      <c r="V109">
        <v>1145.6961144490874</v>
      </c>
      <c r="W109">
        <v>11.418898150655385</v>
      </c>
      <c r="X109" s="16">
        <v>1574.2854250370187</v>
      </c>
      <c r="Y109">
        <v>0</v>
      </c>
      <c r="AF109">
        <v>51.562000000000005</v>
      </c>
      <c r="AG109">
        <v>12.8</v>
      </c>
    </row>
    <row r="110" spans="1:33" hidden="1" x14ac:dyDescent="0.25">
      <c r="A110">
        <v>2024</v>
      </c>
      <c r="B110">
        <v>1</v>
      </c>
      <c r="C110" t="s">
        <v>27</v>
      </c>
      <c r="D110" t="s">
        <v>38</v>
      </c>
      <c r="E110">
        <v>6</v>
      </c>
      <c r="F110">
        <v>1</v>
      </c>
      <c r="G110">
        <v>6</v>
      </c>
      <c r="H110">
        <v>61</v>
      </c>
      <c r="I110" s="12">
        <v>45489</v>
      </c>
      <c r="J110">
        <v>197</v>
      </c>
      <c r="K110">
        <f t="shared" si="2"/>
        <v>55</v>
      </c>
      <c r="L110" t="s">
        <v>26</v>
      </c>
      <c r="M110">
        <v>37100</v>
      </c>
      <c r="P110">
        <v>5.6259999999999991E-2</v>
      </c>
      <c r="Q110">
        <v>0.10039000000000001</v>
      </c>
      <c r="R110">
        <v>1713.894967177243</v>
      </c>
      <c r="S110">
        <v>1</v>
      </c>
      <c r="T110">
        <v>0.91400000000000003</v>
      </c>
      <c r="U110">
        <v>0.91400000000000003</v>
      </c>
      <c r="V110">
        <v>749.4101705040913</v>
      </c>
      <c r="W110">
        <v>0</v>
      </c>
      <c r="X110" s="16">
        <v>943.1601170246613</v>
      </c>
      <c r="Y110">
        <v>21.324679648490388</v>
      </c>
      <c r="AF110">
        <v>41.655999999999999</v>
      </c>
      <c r="AG110">
        <v>11.8</v>
      </c>
    </row>
    <row r="111" spans="1:33" hidden="1" x14ac:dyDescent="0.25">
      <c r="A111">
        <v>2024</v>
      </c>
      <c r="B111">
        <v>1</v>
      </c>
      <c r="C111" t="s">
        <v>24</v>
      </c>
      <c r="D111" t="s">
        <v>38</v>
      </c>
      <c r="E111">
        <v>6</v>
      </c>
      <c r="F111">
        <v>2</v>
      </c>
      <c r="G111">
        <v>6</v>
      </c>
      <c r="H111">
        <v>62</v>
      </c>
      <c r="I111" s="12">
        <v>45489</v>
      </c>
      <c r="J111">
        <v>197</v>
      </c>
      <c r="K111">
        <f t="shared" si="2"/>
        <v>55</v>
      </c>
      <c r="L111" t="s">
        <v>26</v>
      </c>
      <c r="M111">
        <v>37100</v>
      </c>
      <c r="P111">
        <v>4.0759999999999998E-2</v>
      </c>
      <c r="Q111">
        <v>0.10108999999999999</v>
      </c>
      <c r="R111">
        <v>1551.9693654266955</v>
      </c>
      <c r="S111">
        <v>1</v>
      </c>
      <c r="T111">
        <v>0.91400000000000003</v>
      </c>
      <c r="U111">
        <v>0.91400000000000003</v>
      </c>
      <c r="V111">
        <v>734.86282514070717</v>
      </c>
      <c r="W111">
        <v>0</v>
      </c>
      <c r="X111" s="16">
        <v>790.45348445186949</v>
      </c>
      <c r="Y111">
        <v>26.653055834118891</v>
      </c>
      <c r="AF111">
        <v>36.322000000000003</v>
      </c>
      <c r="AG111">
        <v>11.8</v>
      </c>
    </row>
    <row r="112" spans="1:33" hidden="1" x14ac:dyDescent="0.25">
      <c r="A112">
        <v>2024</v>
      </c>
      <c r="B112">
        <v>1</v>
      </c>
      <c r="C112" t="s">
        <v>33</v>
      </c>
      <c r="D112" t="s">
        <v>38</v>
      </c>
      <c r="E112">
        <v>6</v>
      </c>
      <c r="F112">
        <v>3</v>
      </c>
      <c r="G112">
        <v>6</v>
      </c>
      <c r="H112">
        <v>63</v>
      </c>
      <c r="I112" s="12">
        <v>45489</v>
      </c>
      <c r="J112">
        <v>197</v>
      </c>
      <c r="K112">
        <f t="shared" si="2"/>
        <v>55</v>
      </c>
      <c r="L112" t="s">
        <v>26</v>
      </c>
      <c r="M112">
        <v>37100</v>
      </c>
      <c r="P112">
        <v>4.3059999999999994E-2</v>
      </c>
      <c r="Q112">
        <v>0.18408999999999998</v>
      </c>
      <c r="R112">
        <v>2485.2297592997807</v>
      </c>
      <c r="S112">
        <v>1</v>
      </c>
      <c r="T112">
        <v>0.91400000000000003</v>
      </c>
      <c r="U112">
        <v>0.91400000000000003</v>
      </c>
      <c r="V112">
        <v>1102.366196066554</v>
      </c>
      <c r="W112">
        <v>0</v>
      </c>
      <c r="X112" s="16">
        <v>1382.8635632332268</v>
      </c>
      <c r="Y112">
        <v>0</v>
      </c>
      <c r="AF112">
        <v>65.024000000000001</v>
      </c>
      <c r="AG112">
        <v>12.8</v>
      </c>
    </row>
    <row r="113" spans="1:33" hidden="1" x14ac:dyDescent="0.25">
      <c r="A113">
        <v>2024</v>
      </c>
      <c r="B113">
        <v>1</v>
      </c>
      <c r="C113" t="s">
        <v>34</v>
      </c>
      <c r="D113" t="s">
        <v>38</v>
      </c>
      <c r="E113">
        <v>6</v>
      </c>
      <c r="F113">
        <v>4</v>
      </c>
      <c r="G113">
        <v>6</v>
      </c>
      <c r="H113">
        <v>64</v>
      </c>
      <c r="I113" s="12">
        <v>45489</v>
      </c>
      <c r="J113">
        <v>197</v>
      </c>
      <c r="K113">
        <f t="shared" si="2"/>
        <v>55</v>
      </c>
      <c r="L113" t="s">
        <v>26</v>
      </c>
      <c r="M113">
        <v>37100</v>
      </c>
      <c r="P113">
        <v>6.4860000000000001E-2</v>
      </c>
      <c r="Q113">
        <v>7.1589999999999987E-2</v>
      </c>
      <c r="R113">
        <v>1492.8884026258202</v>
      </c>
      <c r="S113">
        <v>1</v>
      </c>
      <c r="T113">
        <v>0.91400000000000003</v>
      </c>
      <c r="U113">
        <v>0.91400000000000003</v>
      </c>
      <c r="V113">
        <v>734.24514406049445</v>
      </c>
      <c r="W113">
        <v>13.810253493300868</v>
      </c>
      <c r="X113" s="16">
        <v>742.53129615647458</v>
      </c>
      <c r="Y113">
        <v>2.3017089155501718</v>
      </c>
      <c r="AF113">
        <v>35.814</v>
      </c>
      <c r="AG113">
        <v>12.4</v>
      </c>
    </row>
    <row r="114" spans="1:33" hidden="1" x14ac:dyDescent="0.25">
      <c r="A114">
        <v>2024</v>
      </c>
      <c r="B114">
        <v>1</v>
      </c>
      <c r="C114" t="s">
        <v>37</v>
      </c>
      <c r="D114" t="s">
        <v>38</v>
      </c>
      <c r="E114">
        <v>6</v>
      </c>
      <c r="F114">
        <v>5</v>
      </c>
      <c r="G114">
        <v>6</v>
      </c>
      <c r="H114">
        <v>65</v>
      </c>
      <c r="I114" s="12">
        <v>45489</v>
      </c>
      <c r="J114">
        <v>197</v>
      </c>
      <c r="K114">
        <f t="shared" ref="K114:K145" si="3">+J114-$AH$6</f>
        <v>55</v>
      </c>
      <c r="L114" t="s">
        <v>26</v>
      </c>
      <c r="M114">
        <v>37100</v>
      </c>
      <c r="P114">
        <v>6.2459999999999995E-2</v>
      </c>
      <c r="Q114">
        <v>0.12598999999999999</v>
      </c>
      <c r="R114">
        <v>2061.8161925601748</v>
      </c>
      <c r="S114">
        <v>1</v>
      </c>
      <c r="T114">
        <v>0.91400000000000003</v>
      </c>
      <c r="U114">
        <v>0.91400000000000003</v>
      </c>
      <c r="V114">
        <v>1059.6269577518669</v>
      </c>
      <c r="W114">
        <v>9.9030556799240159</v>
      </c>
      <c r="X114" s="16">
        <v>992.28617912838388</v>
      </c>
      <c r="Y114">
        <v>0</v>
      </c>
      <c r="AF114">
        <v>52.07</v>
      </c>
      <c r="AG114">
        <v>15.2</v>
      </c>
    </row>
    <row r="115" spans="1:33" hidden="1" x14ac:dyDescent="0.25">
      <c r="A115">
        <v>2024</v>
      </c>
      <c r="B115">
        <v>1</v>
      </c>
      <c r="C115" t="s">
        <v>36</v>
      </c>
      <c r="D115" t="s">
        <v>38</v>
      </c>
      <c r="E115">
        <v>6</v>
      </c>
      <c r="F115">
        <v>6</v>
      </c>
      <c r="G115">
        <v>6</v>
      </c>
      <c r="H115">
        <v>66</v>
      </c>
      <c r="I115" s="12">
        <v>45489</v>
      </c>
      <c r="J115">
        <v>197</v>
      </c>
      <c r="K115">
        <f t="shared" si="3"/>
        <v>55</v>
      </c>
      <c r="L115" t="s">
        <v>26</v>
      </c>
      <c r="M115">
        <v>37100</v>
      </c>
      <c r="P115">
        <v>7.4160000000000004E-2</v>
      </c>
      <c r="Q115">
        <v>0.10679000000000001</v>
      </c>
      <c r="R115">
        <v>1979.7592997811817</v>
      </c>
      <c r="S115">
        <v>1</v>
      </c>
      <c r="T115">
        <v>0.91400000000000003</v>
      </c>
      <c r="U115">
        <v>0.91400000000000003</v>
      </c>
      <c r="V115">
        <v>979.73525218405291</v>
      </c>
      <c r="W115">
        <v>0</v>
      </c>
      <c r="X115" s="16">
        <v>1000.0240475971284</v>
      </c>
      <c r="Y115">
        <v>0</v>
      </c>
      <c r="AF115">
        <v>49.784000000000006</v>
      </c>
      <c r="AG115">
        <v>14.4</v>
      </c>
    </row>
    <row r="116" spans="1:33" hidden="1" x14ac:dyDescent="0.25">
      <c r="A116">
        <v>2024</v>
      </c>
      <c r="B116">
        <v>1</v>
      </c>
      <c r="C116" t="s">
        <v>35</v>
      </c>
      <c r="D116" t="s">
        <v>38</v>
      </c>
      <c r="E116">
        <v>6</v>
      </c>
      <c r="F116">
        <v>7</v>
      </c>
      <c r="G116">
        <v>6</v>
      </c>
      <c r="H116">
        <v>67</v>
      </c>
      <c r="I116" s="12">
        <v>45489</v>
      </c>
      <c r="J116">
        <v>197</v>
      </c>
      <c r="K116">
        <f t="shared" si="3"/>
        <v>55</v>
      </c>
      <c r="L116" t="s">
        <v>26</v>
      </c>
      <c r="M116">
        <v>37100</v>
      </c>
      <c r="P116">
        <v>4.3859999999999996E-2</v>
      </c>
      <c r="Q116">
        <v>0.11539000000000001</v>
      </c>
      <c r="R116">
        <v>1742.3413566739605</v>
      </c>
      <c r="S116">
        <v>1</v>
      </c>
      <c r="T116">
        <v>0.91400000000000003</v>
      </c>
      <c r="U116">
        <v>0.91400000000000003</v>
      </c>
      <c r="V116">
        <v>802.44631565923396</v>
      </c>
      <c r="W116">
        <v>0</v>
      </c>
      <c r="X116" s="16">
        <v>939.89504101472653</v>
      </c>
      <c r="Y116">
        <v>0</v>
      </c>
      <c r="AF116">
        <v>56.134000000000007</v>
      </c>
      <c r="AG116">
        <v>13.2</v>
      </c>
    </row>
    <row r="117" spans="1:33" hidden="1" x14ac:dyDescent="0.25">
      <c r="A117">
        <v>2024</v>
      </c>
      <c r="B117">
        <v>1</v>
      </c>
      <c r="C117" t="s">
        <v>28</v>
      </c>
      <c r="D117" t="s">
        <v>38</v>
      </c>
      <c r="E117">
        <v>6</v>
      </c>
      <c r="F117">
        <v>8</v>
      </c>
      <c r="G117">
        <v>6</v>
      </c>
      <c r="H117">
        <v>68</v>
      </c>
      <c r="I117" s="12">
        <v>45489</v>
      </c>
      <c r="J117">
        <v>197</v>
      </c>
      <c r="K117">
        <f t="shared" si="3"/>
        <v>55</v>
      </c>
      <c r="L117" t="s">
        <v>26</v>
      </c>
      <c r="M117">
        <v>37100</v>
      </c>
      <c r="P117">
        <v>6.9559999999999997E-2</v>
      </c>
      <c r="Q117">
        <v>0.15669</v>
      </c>
      <c r="R117">
        <v>2475.382932166302</v>
      </c>
      <c r="S117">
        <v>1</v>
      </c>
      <c r="T117">
        <v>0.91400000000000003</v>
      </c>
      <c r="U117">
        <v>0.91400000000000003</v>
      </c>
      <c r="V117">
        <v>1021.3267704596444</v>
      </c>
      <c r="W117">
        <v>0</v>
      </c>
      <c r="X117" s="16">
        <v>1454.0561617066576</v>
      </c>
      <c r="Y117">
        <v>0</v>
      </c>
      <c r="AF117">
        <v>52.324000000000005</v>
      </c>
      <c r="AG117">
        <v>12.8</v>
      </c>
    </row>
    <row r="118" spans="1:33" hidden="1" x14ac:dyDescent="0.25">
      <c r="A118">
        <v>2024</v>
      </c>
      <c r="B118">
        <v>1</v>
      </c>
      <c r="C118" t="s">
        <v>29</v>
      </c>
      <c r="D118" t="s">
        <v>38</v>
      </c>
      <c r="E118">
        <v>6</v>
      </c>
      <c r="F118">
        <v>9</v>
      </c>
      <c r="G118">
        <v>6</v>
      </c>
      <c r="H118">
        <v>69</v>
      </c>
      <c r="I118" s="12">
        <v>45489</v>
      </c>
      <c r="J118">
        <v>197</v>
      </c>
      <c r="K118">
        <f t="shared" si="3"/>
        <v>55</v>
      </c>
      <c r="L118" t="s">
        <v>26</v>
      </c>
      <c r="M118">
        <v>37100</v>
      </c>
      <c r="P118">
        <v>5.0259999999999992E-2</v>
      </c>
      <c r="Q118">
        <v>0.19438999999999998</v>
      </c>
      <c r="R118">
        <v>2676.6958424507657</v>
      </c>
      <c r="S118">
        <v>1</v>
      </c>
      <c r="T118">
        <v>0.91400000000000003</v>
      </c>
      <c r="U118">
        <v>0.91400000000000003</v>
      </c>
      <c r="V118">
        <v>1097.0937993331829</v>
      </c>
      <c r="W118">
        <v>0</v>
      </c>
      <c r="X118" s="16">
        <v>1579.6020431175828</v>
      </c>
      <c r="Y118">
        <v>0</v>
      </c>
      <c r="AF118">
        <v>52.324000000000005</v>
      </c>
      <c r="AG118">
        <v>11.8</v>
      </c>
    </row>
    <row r="119" spans="1:33" hidden="1" x14ac:dyDescent="0.25">
      <c r="A119">
        <v>2024</v>
      </c>
      <c r="B119">
        <v>1</v>
      </c>
      <c r="C119" t="s">
        <v>31</v>
      </c>
      <c r="D119" t="s">
        <v>38</v>
      </c>
      <c r="E119">
        <v>6</v>
      </c>
      <c r="F119">
        <v>10</v>
      </c>
      <c r="G119">
        <v>6</v>
      </c>
      <c r="H119">
        <v>70</v>
      </c>
      <c r="I119" s="12">
        <v>45489</v>
      </c>
      <c r="J119">
        <v>197</v>
      </c>
      <c r="K119">
        <f t="shared" si="3"/>
        <v>55</v>
      </c>
      <c r="L119" t="s">
        <v>26</v>
      </c>
      <c r="M119">
        <v>37100</v>
      </c>
      <c r="P119">
        <v>4.8559999999999999E-2</v>
      </c>
      <c r="Q119">
        <v>0.10029</v>
      </c>
      <c r="R119">
        <v>1628.5557986870897</v>
      </c>
      <c r="S119">
        <v>1</v>
      </c>
      <c r="T119">
        <v>0.91400000000000003</v>
      </c>
      <c r="U119">
        <v>0.91400000000000003</v>
      </c>
      <c r="V119">
        <v>804.88754465589295</v>
      </c>
      <c r="W119">
        <v>0</v>
      </c>
      <c r="X119" s="16">
        <v>823.66825403119674</v>
      </c>
      <c r="Y119">
        <v>0</v>
      </c>
      <c r="AF119">
        <v>38.353999999999999</v>
      </c>
      <c r="AG119">
        <v>13.2</v>
      </c>
    </row>
    <row r="120" spans="1:33" hidden="1" x14ac:dyDescent="0.25">
      <c r="A120">
        <v>2024</v>
      </c>
      <c r="B120">
        <v>1</v>
      </c>
      <c r="C120" t="s">
        <v>30</v>
      </c>
      <c r="D120" t="s">
        <v>38</v>
      </c>
      <c r="E120">
        <v>6</v>
      </c>
      <c r="F120">
        <v>11</v>
      </c>
      <c r="G120">
        <v>6</v>
      </c>
      <c r="H120">
        <v>71</v>
      </c>
      <c r="I120" s="12">
        <v>45489</v>
      </c>
      <c r="J120">
        <v>197</v>
      </c>
      <c r="K120">
        <f t="shared" si="3"/>
        <v>55</v>
      </c>
      <c r="L120" t="s">
        <v>26</v>
      </c>
      <c r="M120">
        <v>37100</v>
      </c>
      <c r="P120">
        <v>5.6960000000000018E-2</v>
      </c>
      <c r="Q120">
        <v>0.11749</v>
      </c>
      <c r="R120">
        <v>1908.6433260393874</v>
      </c>
      <c r="S120">
        <v>1</v>
      </c>
      <c r="T120">
        <v>0.91400000000000003</v>
      </c>
      <c r="U120">
        <v>0.91400000000000003</v>
      </c>
      <c r="V120">
        <v>834.36128543505504</v>
      </c>
      <c r="W120">
        <v>3.3508485358838027</v>
      </c>
      <c r="X120" s="16">
        <v>1057.5277979249133</v>
      </c>
      <c r="Y120">
        <v>13.403394143535092</v>
      </c>
      <c r="AF120">
        <v>45.974000000000004</v>
      </c>
      <c r="AG120">
        <v>12.6</v>
      </c>
    </row>
    <row r="121" spans="1:33" hidden="1" x14ac:dyDescent="0.25">
      <c r="A121">
        <v>2024</v>
      </c>
      <c r="B121">
        <v>1</v>
      </c>
      <c r="C121" t="s">
        <v>32</v>
      </c>
      <c r="D121" t="s">
        <v>38</v>
      </c>
      <c r="E121">
        <v>6</v>
      </c>
      <c r="F121">
        <v>12</v>
      </c>
      <c r="G121">
        <v>6</v>
      </c>
      <c r="H121">
        <v>72</v>
      </c>
      <c r="I121" s="12">
        <v>45489</v>
      </c>
      <c r="J121">
        <v>197</v>
      </c>
      <c r="K121">
        <f t="shared" si="3"/>
        <v>55</v>
      </c>
      <c r="L121" t="s">
        <v>26</v>
      </c>
      <c r="M121">
        <v>37100</v>
      </c>
      <c r="P121">
        <v>4.2259999999999992E-2</v>
      </c>
      <c r="Q121">
        <v>0.11198999999999999</v>
      </c>
      <c r="R121">
        <v>1687.636761487965</v>
      </c>
      <c r="S121">
        <v>1</v>
      </c>
      <c r="T121">
        <v>0.91400000000000003</v>
      </c>
      <c r="U121">
        <v>0.91400000000000003</v>
      </c>
      <c r="V121">
        <v>802.68572896138426</v>
      </c>
      <c r="W121">
        <v>0</v>
      </c>
      <c r="X121" s="16">
        <v>884.95103252658078</v>
      </c>
      <c r="Y121">
        <v>0</v>
      </c>
      <c r="AF121">
        <v>37.592000000000006</v>
      </c>
      <c r="AG121">
        <v>13</v>
      </c>
    </row>
    <row r="122" spans="1:33" hidden="1" x14ac:dyDescent="0.25">
      <c r="A122">
        <v>2024</v>
      </c>
      <c r="B122">
        <v>2</v>
      </c>
      <c r="C122" t="s">
        <v>24</v>
      </c>
      <c r="D122" t="s">
        <v>25</v>
      </c>
      <c r="E122">
        <v>1</v>
      </c>
      <c r="F122">
        <v>1</v>
      </c>
      <c r="G122">
        <v>1</v>
      </c>
      <c r="H122">
        <v>1</v>
      </c>
      <c r="I122" s="12">
        <v>45527</v>
      </c>
      <c r="J122">
        <v>235</v>
      </c>
      <c r="L122" t="s">
        <v>26</v>
      </c>
      <c r="M122">
        <v>37100</v>
      </c>
      <c r="Q122">
        <v>0</v>
      </c>
      <c r="S122">
        <v>1</v>
      </c>
      <c r="T122">
        <v>0.91400000000000003</v>
      </c>
      <c r="U122">
        <v>0.91400000000000003</v>
      </c>
      <c r="X122" s="16"/>
    </row>
    <row r="123" spans="1:33" hidden="1" x14ac:dyDescent="0.25">
      <c r="A123">
        <v>2024</v>
      </c>
      <c r="B123">
        <v>2</v>
      </c>
      <c r="C123" t="s">
        <v>27</v>
      </c>
      <c r="D123" t="s">
        <v>25</v>
      </c>
      <c r="E123">
        <v>1</v>
      </c>
      <c r="F123">
        <v>2</v>
      </c>
      <c r="G123">
        <v>1</v>
      </c>
      <c r="H123">
        <v>2</v>
      </c>
      <c r="I123" s="12">
        <v>45527</v>
      </c>
      <c r="J123">
        <v>235</v>
      </c>
      <c r="K123">
        <f>+J123-$AH$6</f>
        <v>93</v>
      </c>
      <c r="L123" t="s">
        <v>26</v>
      </c>
      <c r="M123">
        <v>37100</v>
      </c>
      <c r="P123">
        <v>0.15265999999999999</v>
      </c>
      <c r="Q123">
        <v>0.2107</v>
      </c>
      <c r="R123">
        <v>3975.4923413566744</v>
      </c>
      <c r="S123">
        <v>1</v>
      </c>
      <c r="T123">
        <v>0.91400000000000003</v>
      </c>
      <c r="U123">
        <v>0.91400000000000003</v>
      </c>
      <c r="V123">
        <v>1010.4094251581224</v>
      </c>
      <c r="W123">
        <v>0</v>
      </c>
      <c r="X123" s="16">
        <v>2220.2965873448843</v>
      </c>
      <c r="Y123">
        <v>744.78632885366744</v>
      </c>
      <c r="Z123">
        <v>153.64473217610632</v>
      </c>
      <c r="AF123">
        <v>58.42</v>
      </c>
      <c r="AG123">
        <v>17.399999999999999</v>
      </c>
    </row>
    <row r="124" spans="1:33" hidden="1" x14ac:dyDescent="0.25">
      <c r="A124">
        <v>2024</v>
      </c>
      <c r="B124">
        <v>2</v>
      </c>
      <c r="C124" t="s">
        <v>28</v>
      </c>
      <c r="D124" t="s">
        <v>25</v>
      </c>
      <c r="E124">
        <v>1</v>
      </c>
      <c r="F124">
        <v>3</v>
      </c>
      <c r="G124">
        <v>1</v>
      </c>
      <c r="H124">
        <v>3</v>
      </c>
      <c r="I124" s="12">
        <v>45527</v>
      </c>
      <c r="J124">
        <v>235</v>
      </c>
      <c r="K124">
        <f>+J124-$AH$6</f>
        <v>93</v>
      </c>
      <c r="L124" t="s">
        <v>26</v>
      </c>
      <c r="M124">
        <v>37100</v>
      </c>
      <c r="P124">
        <v>0.18006</v>
      </c>
      <c r="Q124">
        <v>0.28549999999999998</v>
      </c>
      <c r="R124">
        <v>5093.6542669584242</v>
      </c>
      <c r="S124">
        <v>1</v>
      </c>
      <c r="T124">
        <v>0.91400000000000003</v>
      </c>
      <c r="U124">
        <v>0.91400000000000003</v>
      </c>
      <c r="V124">
        <v>1318.2510765315037</v>
      </c>
      <c r="W124">
        <v>0</v>
      </c>
      <c r="X124" s="16">
        <v>3116.2776521611686</v>
      </c>
      <c r="Y124">
        <v>659.12553826575186</v>
      </c>
      <c r="Z124">
        <v>45.261839537562395</v>
      </c>
      <c r="AF124">
        <v>56.134000000000007</v>
      </c>
      <c r="AG124">
        <v>13.6</v>
      </c>
    </row>
    <row r="125" spans="1:33" hidden="1" x14ac:dyDescent="0.25">
      <c r="A125">
        <v>2024</v>
      </c>
      <c r="B125">
        <v>2</v>
      </c>
      <c r="C125" t="s">
        <v>29</v>
      </c>
      <c r="D125" t="s">
        <v>25</v>
      </c>
      <c r="E125">
        <v>1</v>
      </c>
      <c r="F125">
        <v>4</v>
      </c>
      <c r="G125">
        <v>1</v>
      </c>
      <c r="H125">
        <v>4</v>
      </c>
      <c r="I125" s="12">
        <v>45534</v>
      </c>
      <c r="J125">
        <v>242</v>
      </c>
      <c r="K125">
        <f>+J125-$AH$6</f>
        <v>100</v>
      </c>
      <c r="L125" t="s">
        <v>26</v>
      </c>
      <c r="M125">
        <v>37100</v>
      </c>
      <c r="P125">
        <v>0.12805999999999998</v>
      </c>
      <c r="Q125">
        <v>0.2175</v>
      </c>
      <c r="R125">
        <v>3780.7439824945295</v>
      </c>
      <c r="S125">
        <v>1</v>
      </c>
      <c r="T125">
        <v>0.91400000000000003</v>
      </c>
      <c r="U125">
        <v>0.91400000000000003</v>
      </c>
      <c r="V125">
        <v>608.17840105721791</v>
      </c>
      <c r="W125">
        <v>0</v>
      </c>
      <c r="X125" s="16">
        <v>2189.4422438059837</v>
      </c>
      <c r="Y125">
        <v>983.1233376313279</v>
      </c>
      <c r="Z125">
        <v>540.27498734694598</v>
      </c>
      <c r="AF125">
        <v>53.34</v>
      </c>
      <c r="AG125">
        <v>16.2</v>
      </c>
    </row>
    <row r="126" spans="1:33" hidden="1" x14ac:dyDescent="0.25">
      <c r="A126">
        <v>2024</v>
      </c>
      <c r="B126">
        <v>2</v>
      </c>
      <c r="C126" t="s">
        <v>30</v>
      </c>
      <c r="D126" t="s">
        <v>25</v>
      </c>
      <c r="E126">
        <v>1</v>
      </c>
      <c r="F126">
        <v>5</v>
      </c>
      <c r="G126">
        <v>1</v>
      </c>
      <c r="H126">
        <v>5</v>
      </c>
      <c r="I126" s="12">
        <v>45527</v>
      </c>
      <c r="J126">
        <v>235</v>
      </c>
      <c r="K126">
        <f>+J126-$AH$6</f>
        <v>93</v>
      </c>
      <c r="L126" t="s">
        <v>26</v>
      </c>
      <c r="M126">
        <v>37100</v>
      </c>
      <c r="P126">
        <v>0.21235999999999999</v>
      </c>
      <c r="Q126">
        <v>0.22650000000000001</v>
      </c>
      <c r="R126">
        <v>4801.531728665208</v>
      </c>
      <c r="S126">
        <v>1</v>
      </c>
      <c r="T126">
        <v>0.91400000000000003</v>
      </c>
      <c r="U126">
        <v>0.91400000000000003</v>
      </c>
      <c r="V126">
        <v>1166.6935260836538</v>
      </c>
      <c r="W126">
        <v>6.7831018958352134</v>
      </c>
      <c r="X126" s="16">
        <v>2716.8584126785245</v>
      </c>
      <c r="Y126">
        <v>911.19668800719467</v>
      </c>
      <c r="Z126">
        <v>192.18788704866392</v>
      </c>
      <c r="AF126">
        <v>67.564000000000007</v>
      </c>
      <c r="AG126">
        <v>18.2</v>
      </c>
    </row>
    <row r="127" spans="1:33" hidden="1" x14ac:dyDescent="0.25">
      <c r="A127">
        <v>2024</v>
      </c>
      <c r="B127">
        <v>2</v>
      </c>
      <c r="C127" t="s">
        <v>31</v>
      </c>
      <c r="D127" t="s">
        <v>25</v>
      </c>
      <c r="E127">
        <v>1</v>
      </c>
      <c r="F127">
        <v>6</v>
      </c>
      <c r="G127">
        <v>1</v>
      </c>
      <c r="H127">
        <v>6</v>
      </c>
      <c r="I127" s="12">
        <v>45534</v>
      </c>
      <c r="J127">
        <v>242</v>
      </c>
      <c r="L127" t="s">
        <v>26</v>
      </c>
      <c r="M127">
        <v>37100</v>
      </c>
      <c r="Q127">
        <v>0.41789999999999999</v>
      </c>
      <c r="R127">
        <v>4572.2100656455141</v>
      </c>
      <c r="S127">
        <v>1</v>
      </c>
      <c r="T127">
        <v>0.91400000000000003</v>
      </c>
      <c r="U127">
        <v>0.91400000000000003</v>
      </c>
      <c r="X127" s="16"/>
    </row>
    <row r="128" spans="1:33" hidden="1" x14ac:dyDescent="0.25">
      <c r="A128">
        <v>2024</v>
      </c>
      <c r="B128">
        <v>2</v>
      </c>
      <c r="C128" t="s">
        <v>32</v>
      </c>
      <c r="D128" t="s">
        <v>25</v>
      </c>
      <c r="E128">
        <v>1</v>
      </c>
      <c r="F128">
        <v>7</v>
      </c>
      <c r="G128">
        <v>1</v>
      </c>
      <c r="H128">
        <v>7</v>
      </c>
      <c r="I128" s="12">
        <v>45534</v>
      </c>
      <c r="J128">
        <v>242</v>
      </c>
      <c r="L128" t="s">
        <v>26</v>
      </c>
      <c r="M128">
        <v>37100</v>
      </c>
      <c r="Q128">
        <v>0.3735</v>
      </c>
      <c r="R128">
        <v>4086.4332603938728</v>
      </c>
      <c r="S128">
        <v>1</v>
      </c>
      <c r="T128">
        <v>0.91400000000000003</v>
      </c>
      <c r="U128">
        <v>0.91400000000000003</v>
      </c>
      <c r="X128" s="16"/>
    </row>
    <row r="129" spans="1:33" hidden="1" x14ac:dyDescent="0.25">
      <c r="A129">
        <v>2024</v>
      </c>
      <c r="B129">
        <v>2</v>
      </c>
      <c r="C129" t="s">
        <v>33</v>
      </c>
      <c r="D129" t="s">
        <v>25</v>
      </c>
      <c r="E129">
        <v>1</v>
      </c>
      <c r="F129">
        <v>8</v>
      </c>
      <c r="G129">
        <v>1</v>
      </c>
      <c r="H129">
        <v>8</v>
      </c>
      <c r="I129" s="12">
        <v>45534</v>
      </c>
      <c r="J129">
        <v>242</v>
      </c>
      <c r="L129" t="s">
        <v>26</v>
      </c>
      <c r="M129">
        <v>37100</v>
      </c>
      <c r="Q129">
        <v>0.47639999999999999</v>
      </c>
      <c r="R129">
        <v>5212.253829321663</v>
      </c>
      <c r="S129">
        <v>1</v>
      </c>
      <c r="T129">
        <v>0.91400000000000003</v>
      </c>
      <c r="U129">
        <v>0.91400000000000003</v>
      </c>
      <c r="X129" s="16"/>
    </row>
    <row r="130" spans="1:33" hidden="1" x14ac:dyDescent="0.25">
      <c r="A130">
        <v>2024</v>
      </c>
      <c r="B130">
        <v>2</v>
      </c>
      <c r="C130" t="s">
        <v>34</v>
      </c>
      <c r="D130" t="s">
        <v>25</v>
      </c>
      <c r="E130">
        <v>1</v>
      </c>
      <c r="F130">
        <v>9</v>
      </c>
      <c r="G130">
        <v>1</v>
      </c>
      <c r="H130">
        <v>9</v>
      </c>
      <c r="I130" s="12">
        <v>45527</v>
      </c>
      <c r="J130">
        <v>235</v>
      </c>
      <c r="K130">
        <f>+J130-$AH$6</f>
        <v>93</v>
      </c>
      <c r="L130" t="s">
        <v>26</v>
      </c>
      <c r="M130">
        <v>37100</v>
      </c>
      <c r="P130">
        <v>0.24775999999999998</v>
      </c>
      <c r="Q130">
        <v>6.6199999999999995E-2</v>
      </c>
      <c r="R130">
        <v>3435.0109409190363</v>
      </c>
      <c r="S130">
        <v>1</v>
      </c>
      <c r="T130">
        <v>0.91400000000000003</v>
      </c>
      <c r="U130">
        <v>0.91400000000000003</v>
      </c>
      <c r="V130">
        <v>1075.8671658674409</v>
      </c>
      <c r="W130">
        <v>0</v>
      </c>
      <c r="X130" s="16">
        <v>1625.7240189383524</v>
      </c>
      <c r="Y130">
        <v>733.41975611324256</v>
      </c>
      <c r="Z130">
        <v>79.026325327891939</v>
      </c>
      <c r="AF130">
        <v>35.56</v>
      </c>
      <c r="AG130">
        <v>12.2</v>
      </c>
    </row>
    <row r="131" spans="1:33" hidden="1" x14ac:dyDescent="0.25">
      <c r="A131">
        <v>2024</v>
      </c>
      <c r="B131">
        <v>2</v>
      </c>
      <c r="C131" t="s">
        <v>35</v>
      </c>
      <c r="D131" t="s">
        <v>25</v>
      </c>
      <c r="E131">
        <v>1</v>
      </c>
      <c r="F131">
        <v>10</v>
      </c>
      <c r="G131">
        <v>1</v>
      </c>
      <c r="H131">
        <v>10</v>
      </c>
      <c r="I131" s="12">
        <v>45534</v>
      </c>
      <c r="J131">
        <v>242</v>
      </c>
      <c r="K131">
        <f>+J131-$AH$6</f>
        <v>100</v>
      </c>
      <c r="L131" t="s">
        <v>26</v>
      </c>
      <c r="M131">
        <v>37100</v>
      </c>
      <c r="P131">
        <v>0.15035999999999999</v>
      </c>
      <c r="Q131">
        <v>0.1235</v>
      </c>
      <c r="R131">
        <v>2996.280087527352</v>
      </c>
      <c r="S131">
        <v>1</v>
      </c>
      <c r="T131">
        <v>0.91400000000000003</v>
      </c>
      <c r="U131">
        <v>0.91400000000000003</v>
      </c>
      <c r="V131">
        <v>330.79442307098992</v>
      </c>
      <c r="W131">
        <v>65.760337116522109</v>
      </c>
      <c r="X131" s="16">
        <v>1617.3057455687674</v>
      </c>
      <c r="Y131">
        <v>982.41958177107244</v>
      </c>
      <c r="Z131">
        <v>474.27152223431091</v>
      </c>
      <c r="AF131">
        <v>55.372</v>
      </c>
      <c r="AG131">
        <v>11.8</v>
      </c>
    </row>
    <row r="132" spans="1:33" hidden="1" x14ac:dyDescent="0.25">
      <c r="A132">
        <v>2024</v>
      </c>
      <c r="B132">
        <v>2</v>
      </c>
      <c r="C132" t="s">
        <v>36</v>
      </c>
      <c r="D132" t="s">
        <v>25</v>
      </c>
      <c r="E132">
        <v>1</v>
      </c>
      <c r="F132">
        <v>11</v>
      </c>
      <c r="G132">
        <v>1</v>
      </c>
      <c r="H132">
        <v>11</v>
      </c>
      <c r="I132" s="12">
        <v>45527</v>
      </c>
      <c r="J132">
        <v>235</v>
      </c>
      <c r="K132">
        <f>+J132-$AH$6</f>
        <v>93</v>
      </c>
      <c r="L132" t="s">
        <v>26</v>
      </c>
      <c r="M132">
        <v>37100</v>
      </c>
      <c r="P132">
        <v>0.12236</v>
      </c>
      <c r="Q132">
        <v>7.2499999999999995E-2</v>
      </c>
      <c r="R132">
        <v>2131.9474835886208</v>
      </c>
      <c r="S132">
        <v>1</v>
      </c>
      <c r="T132">
        <v>0.91400000000000003</v>
      </c>
      <c r="U132">
        <v>0.91400000000000003</v>
      </c>
      <c r="V132">
        <v>341.5018852430286</v>
      </c>
      <c r="W132">
        <v>5.2270696720871834</v>
      </c>
      <c r="X132" s="16">
        <v>1222.4373606454531</v>
      </c>
      <c r="Y132">
        <v>562.78116802805198</v>
      </c>
      <c r="Z132">
        <v>207.3404303261245</v>
      </c>
      <c r="AF132">
        <v>39.116</v>
      </c>
      <c r="AG132">
        <v>12.4</v>
      </c>
    </row>
    <row r="133" spans="1:33" hidden="1" x14ac:dyDescent="0.25">
      <c r="A133">
        <v>2024</v>
      </c>
      <c r="B133">
        <v>2</v>
      </c>
      <c r="C133" t="s">
        <v>37</v>
      </c>
      <c r="D133" t="s">
        <v>25</v>
      </c>
      <c r="E133">
        <v>1</v>
      </c>
      <c r="F133">
        <v>12</v>
      </c>
      <c r="G133">
        <v>1</v>
      </c>
      <c r="H133">
        <v>12</v>
      </c>
      <c r="I133" s="12">
        <v>45527</v>
      </c>
      <c r="J133">
        <v>235</v>
      </c>
      <c r="L133" t="s">
        <v>26</v>
      </c>
      <c r="M133">
        <v>37100</v>
      </c>
      <c r="Q133">
        <v>0.29449999999999998</v>
      </c>
      <c r="R133">
        <v>3222.1006564551421</v>
      </c>
      <c r="S133">
        <v>1</v>
      </c>
      <c r="T133">
        <v>0.91400000000000003</v>
      </c>
      <c r="U133">
        <v>0.91400000000000003</v>
      </c>
      <c r="X133" s="16"/>
    </row>
    <row r="134" spans="1:33" hidden="1" x14ac:dyDescent="0.25">
      <c r="A134">
        <v>2024</v>
      </c>
      <c r="B134">
        <v>2</v>
      </c>
      <c r="C134" t="s">
        <v>35</v>
      </c>
      <c r="D134" t="s">
        <v>25</v>
      </c>
      <c r="E134">
        <v>2</v>
      </c>
      <c r="F134">
        <v>1</v>
      </c>
      <c r="G134">
        <v>2</v>
      </c>
      <c r="H134">
        <v>13</v>
      </c>
      <c r="I134" s="12">
        <v>45534</v>
      </c>
      <c r="J134">
        <v>242</v>
      </c>
      <c r="K134">
        <f>+J134-$AH$6</f>
        <v>100</v>
      </c>
      <c r="L134" t="s">
        <v>26</v>
      </c>
      <c r="M134">
        <v>37100</v>
      </c>
      <c r="P134">
        <v>0.13535999999999998</v>
      </c>
      <c r="Q134">
        <v>0.1245</v>
      </c>
      <c r="R134">
        <v>2843.1072210065645</v>
      </c>
      <c r="S134">
        <v>1</v>
      </c>
      <c r="T134">
        <v>0.91400000000000003</v>
      </c>
      <c r="U134">
        <v>0.91400000000000003</v>
      </c>
      <c r="V134">
        <v>537.70349333457489</v>
      </c>
      <c r="W134">
        <v>69.313340937660072</v>
      </c>
      <c r="X134" s="16">
        <v>1620.6719353787421</v>
      </c>
      <c r="Y134">
        <v>615.41845135558776</v>
      </c>
      <c r="Z134">
        <v>231.04446979220015</v>
      </c>
      <c r="AF134">
        <v>52.324000000000005</v>
      </c>
      <c r="AG134">
        <v>16</v>
      </c>
    </row>
    <row r="135" spans="1:33" hidden="1" x14ac:dyDescent="0.25">
      <c r="A135">
        <v>2024</v>
      </c>
      <c r="B135">
        <v>2</v>
      </c>
      <c r="C135" t="s">
        <v>33</v>
      </c>
      <c r="D135" t="s">
        <v>25</v>
      </c>
      <c r="E135">
        <v>2</v>
      </c>
      <c r="F135">
        <v>2</v>
      </c>
      <c r="G135">
        <v>2</v>
      </c>
      <c r="H135">
        <v>14</v>
      </c>
      <c r="I135" s="12">
        <v>45534</v>
      </c>
      <c r="J135">
        <v>242</v>
      </c>
      <c r="L135" t="s">
        <v>26</v>
      </c>
      <c r="M135">
        <v>37100</v>
      </c>
      <c r="Q135">
        <v>0.43110000000000004</v>
      </c>
      <c r="R135">
        <v>4716.6301969365422</v>
      </c>
      <c r="S135">
        <v>1</v>
      </c>
      <c r="T135">
        <v>0.91400000000000003</v>
      </c>
      <c r="U135">
        <v>0.91400000000000003</v>
      </c>
      <c r="X135" s="16"/>
    </row>
    <row r="136" spans="1:33" hidden="1" x14ac:dyDescent="0.25">
      <c r="A136">
        <v>2024</v>
      </c>
      <c r="B136">
        <v>2</v>
      </c>
      <c r="C136" t="s">
        <v>34</v>
      </c>
      <c r="D136" t="s">
        <v>25</v>
      </c>
      <c r="E136">
        <v>2</v>
      </c>
      <c r="F136">
        <v>3</v>
      </c>
      <c r="G136">
        <v>2</v>
      </c>
      <c r="H136">
        <v>15</v>
      </c>
      <c r="I136" s="12">
        <v>45527</v>
      </c>
      <c r="J136">
        <v>235</v>
      </c>
      <c r="K136">
        <f>+J136-$AH$6</f>
        <v>93</v>
      </c>
      <c r="L136" t="s">
        <v>26</v>
      </c>
      <c r="M136">
        <v>37100</v>
      </c>
      <c r="P136">
        <v>0.11895999999999998</v>
      </c>
      <c r="Q136">
        <v>0.13650000000000001</v>
      </c>
      <c r="R136">
        <v>2794.9671772428887</v>
      </c>
      <c r="S136">
        <v>1</v>
      </c>
      <c r="T136">
        <v>0.91400000000000003</v>
      </c>
      <c r="U136">
        <v>0.91400000000000003</v>
      </c>
      <c r="V136">
        <v>716.59800694273827</v>
      </c>
      <c r="W136">
        <v>0</v>
      </c>
      <c r="X136" s="16">
        <v>1627.2648511755422</v>
      </c>
      <c r="Y136">
        <v>451.10431912460882</v>
      </c>
      <c r="Z136">
        <v>61.087043214790825</v>
      </c>
      <c r="AF136">
        <v>36.067999999999998</v>
      </c>
      <c r="AG136">
        <v>12.8</v>
      </c>
    </row>
    <row r="137" spans="1:33" hidden="1" x14ac:dyDescent="0.25">
      <c r="A137">
        <v>2024</v>
      </c>
      <c r="B137">
        <v>2</v>
      </c>
      <c r="C137" t="s">
        <v>27</v>
      </c>
      <c r="D137" t="s">
        <v>25</v>
      </c>
      <c r="E137">
        <v>2</v>
      </c>
      <c r="F137">
        <v>4</v>
      </c>
      <c r="G137">
        <v>2</v>
      </c>
      <c r="H137">
        <v>16</v>
      </c>
      <c r="I137" s="12">
        <v>45527</v>
      </c>
      <c r="J137">
        <v>235</v>
      </c>
      <c r="K137">
        <f>+J137-$AH$6</f>
        <v>93</v>
      </c>
      <c r="L137" t="s">
        <v>26</v>
      </c>
      <c r="M137">
        <v>37100</v>
      </c>
      <c r="P137">
        <v>0.10406</v>
      </c>
      <c r="Q137">
        <v>0.25750000000000001</v>
      </c>
      <c r="R137">
        <v>3955.7986870897153</v>
      </c>
      <c r="S137">
        <v>1</v>
      </c>
      <c r="T137">
        <v>0.91400000000000003</v>
      </c>
      <c r="U137">
        <v>0.91400000000000003</v>
      </c>
      <c r="V137">
        <v>631.04226605505744</v>
      </c>
      <c r="W137">
        <v>0</v>
      </c>
      <c r="X137" s="16">
        <v>2667.1039389411339</v>
      </c>
      <c r="Y137">
        <v>657.65248209352364</v>
      </c>
      <c r="Z137">
        <v>7.6029188681331945</v>
      </c>
      <c r="AF137">
        <v>55.118000000000002</v>
      </c>
      <c r="AG137">
        <v>15.2</v>
      </c>
    </row>
    <row r="138" spans="1:33" hidden="1" x14ac:dyDescent="0.25">
      <c r="A138">
        <v>2024</v>
      </c>
      <c r="B138">
        <v>2</v>
      </c>
      <c r="C138" t="s">
        <v>32</v>
      </c>
      <c r="D138" t="s">
        <v>25</v>
      </c>
      <c r="E138">
        <v>2</v>
      </c>
      <c r="F138">
        <v>5</v>
      </c>
      <c r="G138">
        <v>2</v>
      </c>
      <c r="H138">
        <v>17</v>
      </c>
      <c r="I138" s="12">
        <v>45534</v>
      </c>
      <c r="J138">
        <v>242</v>
      </c>
      <c r="L138" t="s">
        <v>26</v>
      </c>
      <c r="M138">
        <v>37100</v>
      </c>
      <c r="Q138">
        <v>0.3785</v>
      </c>
      <c r="R138">
        <v>4141.1378555798683</v>
      </c>
      <c r="S138">
        <v>1</v>
      </c>
      <c r="T138">
        <v>0.91400000000000003</v>
      </c>
      <c r="U138">
        <v>0.91400000000000003</v>
      </c>
      <c r="X138" s="16"/>
    </row>
    <row r="139" spans="1:33" hidden="1" x14ac:dyDescent="0.25">
      <c r="A139">
        <v>2024</v>
      </c>
      <c r="B139">
        <v>2</v>
      </c>
      <c r="C139" t="s">
        <v>29</v>
      </c>
      <c r="D139" t="s">
        <v>25</v>
      </c>
      <c r="E139">
        <v>2</v>
      </c>
      <c r="F139">
        <v>6</v>
      </c>
      <c r="G139">
        <v>2</v>
      </c>
      <c r="H139">
        <v>18</v>
      </c>
      <c r="I139" s="12">
        <v>45534</v>
      </c>
      <c r="J139">
        <v>242</v>
      </c>
      <c r="K139">
        <f>+J139-$AH$6</f>
        <v>100</v>
      </c>
      <c r="L139" t="s">
        <v>26</v>
      </c>
      <c r="M139">
        <v>37100</v>
      </c>
      <c r="P139">
        <v>0.13835999999999998</v>
      </c>
      <c r="Q139">
        <v>0.23649999999999999</v>
      </c>
      <c r="R139">
        <v>4101.3129102844632</v>
      </c>
      <c r="S139">
        <v>1</v>
      </c>
      <c r="T139">
        <v>0.91400000000000003</v>
      </c>
      <c r="U139">
        <v>0.91400000000000003</v>
      </c>
      <c r="V139">
        <v>699.55901042724304</v>
      </c>
      <c r="W139">
        <v>8.8926992850920943</v>
      </c>
      <c r="X139" s="16">
        <v>2287.2022561256808</v>
      </c>
      <c r="Y139">
        <v>1105.6589444464475</v>
      </c>
      <c r="Z139">
        <v>539.49042329558574</v>
      </c>
      <c r="AF139">
        <v>63.5</v>
      </c>
      <c r="AG139">
        <v>16.600000000000001</v>
      </c>
    </row>
    <row r="140" spans="1:33" hidden="1" x14ac:dyDescent="0.25">
      <c r="A140">
        <v>2024</v>
      </c>
      <c r="B140">
        <v>2</v>
      </c>
      <c r="C140" t="s">
        <v>30</v>
      </c>
      <c r="D140" t="s">
        <v>25</v>
      </c>
      <c r="E140">
        <v>2</v>
      </c>
      <c r="F140">
        <v>7</v>
      </c>
      <c r="G140">
        <v>2</v>
      </c>
      <c r="H140">
        <v>19</v>
      </c>
      <c r="I140" s="12">
        <v>45527</v>
      </c>
      <c r="J140">
        <v>235</v>
      </c>
      <c r="K140">
        <f>+J140-$AH$6</f>
        <v>93</v>
      </c>
      <c r="L140" t="s">
        <v>26</v>
      </c>
      <c r="M140">
        <v>37100</v>
      </c>
      <c r="P140">
        <v>0.13386000000000001</v>
      </c>
      <c r="Q140">
        <v>0.187</v>
      </c>
      <c r="R140">
        <v>3510.5032822757116</v>
      </c>
      <c r="S140">
        <v>1</v>
      </c>
      <c r="T140">
        <v>0.91400000000000003</v>
      </c>
      <c r="U140">
        <v>0.91400000000000003</v>
      </c>
      <c r="V140">
        <v>839.20592434500816</v>
      </c>
      <c r="W140">
        <v>0</v>
      </c>
      <c r="X140" s="16">
        <v>2293.6546919754501</v>
      </c>
      <c r="Y140">
        <v>377.64266595525362</v>
      </c>
      <c r="Z140">
        <v>26.225185135781501</v>
      </c>
      <c r="AF140">
        <v>64.007999999999996</v>
      </c>
      <c r="AG140">
        <v>19.399999999999999</v>
      </c>
    </row>
    <row r="141" spans="1:33" hidden="1" x14ac:dyDescent="0.25">
      <c r="A141">
        <v>2024</v>
      </c>
      <c r="B141">
        <v>2</v>
      </c>
      <c r="C141" t="s">
        <v>36</v>
      </c>
      <c r="D141" t="s">
        <v>25</v>
      </c>
      <c r="E141">
        <v>2</v>
      </c>
      <c r="F141">
        <v>8</v>
      </c>
      <c r="G141">
        <v>2</v>
      </c>
      <c r="H141">
        <v>20</v>
      </c>
      <c r="I141" s="12">
        <v>45527</v>
      </c>
      <c r="J141">
        <v>235</v>
      </c>
      <c r="K141">
        <f>+J141-$AH$6</f>
        <v>93</v>
      </c>
      <c r="L141" t="s">
        <v>26</v>
      </c>
      <c r="M141">
        <v>37100</v>
      </c>
      <c r="P141">
        <v>0.21106</v>
      </c>
      <c r="Q141">
        <v>4.1699999999999987E-2</v>
      </c>
      <c r="R141">
        <v>2765.4266958424505</v>
      </c>
      <c r="S141">
        <v>1</v>
      </c>
      <c r="T141">
        <v>0.91400000000000003</v>
      </c>
      <c r="U141">
        <v>0.91400000000000003</v>
      </c>
      <c r="V141">
        <v>750.77679177377263</v>
      </c>
      <c r="W141">
        <v>0</v>
      </c>
      <c r="X141" s="16">
        <v>1223.2551706806178</v>
      </c>
      <c r="Y141">
        <v>791.3947333880601</v>
      </c>
      <c r="Z141">
        <v>148.05894846498481</v>
      </c>
      <c r="AF141">
        <v>38.353999999999999</v>
      </c>
      <c r="AG141">
        <v>14.4</v>
      </c>
    </row>
    <row r="142" spans="1:33" hidden="1" x14ac:dyDescent="0.25">
      <c r="A142">
        <v>2024</v>
      </c>
      <c r="B142">
        <v>2</v>
      </c>
      <c r="C142" t="s">
        <v>24</v>
      </c>
      <c r="D142" t="s">
        <v>25</v>
      </c>
      <c r="E142">
        <v>2</v>
      </c>
      <c r="F142">
        <v>9</v>
      </c>
      <c r="G142">
        <v>2</v>
      </c>
      <c r="H142">
        <v>21</v>
      </c>
      <c r="I142" s="12">
        <v>45527</v>
      </c>
      <c r="J142">
        <v>235</v>
      </c>
      <c r="K142">
        <f>+J142-$AH$6</f>
        <v>93</v>
      </c>
      <c r="L142" t="s">
        <v>26</v>
      </c>
      <c r="M142">
        <v>37100</v>
      </c>
      <c r="P142">
        <v>0.17716000000000001</v>
      </c>
      <c r="Q142">
        <v>0.1603</v>
      </c>
      <c r="R142">
        <v>3692.1225382932162</v>
      </c>
      <c r="S142">
        <v>1</v>
      </c>
      <c r="T142">
        <v>0.91400000000000003</v>
      </c>
      <c r="U142">
        <v>0.91400000000000003</v>
      </c>
      <c r="V142">
        <v>871.13751467970451</v>
      </c>
      <c r="W142">
        <v>0</v>
      </c>
      <c r="X142" s="16">
        <v>1866.4850673376634</v>
      </c>
      <c r="Y142">
        <v>954.49995627584826</v>
      </c>
      <c r="Z142">
        <v>306.35697286582905</v>
      </c>
      <c r="AF142">
        <v>54.61</v>
      </c>
      <c r="AG142">
        <v>17.8</v>
      </c>
    </row>
    <row r="143" spans="1:33" hidden="1" x14ac:dyDescent="0.25">
      <c r="A143">
        <v>2024</v>
      </c>
      <c r="B143">
        <v>2</v>
      </c>
      <c r="C143" t="s">
        <v>37</v>
      </c>
      <c r="D143" t="s">
        <v>25</v>
      </c>
      <c r="E143">
        <v>2</v>
      </c>
      <c r="F143">
        <v>10</v>
      </c>
      <c r="G143">
        <v>2</v>
      </c>
      <c r="H143">
        <v>22</v>
      </c>
      <c r="I143" s="12">
        <v>45527</v>
      </c>
      <c r="J143">
        <v>235</v>
      </c>
      <c r="K143">
        <f>+J143-$AH$6</f>
        <v>93</v>
      </c>
      <c r="L143" t="s">
        <v>26</v>
      </c>
      <c r="M143">
        <v>37100</v>
      </c>
      <c r="P143">
        <v>0.15945999999999999</v>
      </c>
      <c r="Q143">
        <v>0.18880000000000002</v>
      </c>
      <c r="R143">
        <v>3810.2844638949673</v>
      </c>
      <c r="S143">
        <v>1</v>
      </c>
      <c r="T143">
        <v>0.91400000000000003</v>
      </c>
      <c r="U143">
        <v>0.91400000000000003</v>
      </c>
      <c r="V143">
        <v>998.80779249222155</v>
      </c>
      <c r="W143">
        <v>0</v>
      </c>
      <c r="X143" s="16">
        <v>2013.3862343395831</v>
      </c>
      <c r="Y143">
        <v>807.64840636930819</v>
      </c>
      <c r="Z143">
        <v>195.93837077598602</v>
      </c>
      <c r="AF143">
        <v>65.531999999999996</v>
      </c>
      <c r="AG143">
        <v>20.2</v>
      </c>
    </row>
    <row r="144" spans="1:33" hidden="1" x14ac:dyDescent="0.25">
      <c r="A144">
        <v>2024</v>
      </c>
      <c r="B144">
        <v>2</v>
      </c>
      <c r="C144" t="s">
        <v>31</v>
      </c>
      <c r="D144" t="s">
        <v>25</v>
      </c>
      <c r="E144">
        <v>2</v>
      </c>
      <c r="F144">
        <v>11</v>
      </c>
      <c r="G144">
        <v>2</v>
      </c>
      <c r="H144">
        <v>23</v>
      </c>
      <c r="I144" s="12">
        <v>45534</v>
      </c>
      <c r="J144">
        <v>242</v>
      </c>
      <c r="L144" t="s">
        <v>26</v>
      </c>
      <c r="M144">
        <v>37100</v>
      </c>
      <c r="Q144">
        <v>0.34389999999999998</v>
      </c>
      <c r="R144">
        <v>3762.5820568927788</v>
      </c>
      <c r="S144">
        <v>1</v>
      </c>
      <c r="T144">
        <v>0.91400000000000003</v>
      </c>
      <c r="U144">
        <v>0.91400000000000003</v>
      </c>
      <c r="X144" s="16"/>
    </row>
    <row r="145" spans="1:33" hidden="1" x14ac:dyDescent="0.25">
      <c r="A145">
        <v>2024</v>
      </c>
      <c r="B145">
        <v>2</v>
      </c>
      <c r="C145" t="s">
        <v>28</v>
      </c>
      <c r="D145" t="s">
        <v>25</v>
      </c>
      <c r="E145">
        <v>2</v>
      </c>
      <c r="F145">
        <v>12</v>
      </c>
      <c r="G145">
        <v>2</v>
      </c>
      <c r="H145">
        <v>24</v>
      </c>
      <c r="I145" s="12">
        <v>45527</v>
      </c>
      <c r="J145">
        <v>235</v>
      </c>
      <c r="K145">
        <f>+J145-$AH$6</f>
        <v>93</v>
      </c>
      <c r="L145" t="s">
        <v>26</v>
      </c>
      <c r="M145">
        <v>37100</v>
      </c>
      <c r="P145">
        <v>0.21636000000000002</v>
      </c>
      <c r="Q145">
        <v>9.9600000000000022E-2</v>
      </c>
      <c r="R145">
        <v>3456.8927789934355</v>
      </c>
      <c r="S145">
        <v>1</v>
      </c>
      <c r="T145">
        <v>0.91400000000000003</v>
      </c>
      <c r="U145">
        <v>0.91400000000000003</v>
      </c>
      <c r="V145">
        <v>905.9244803518568</v>
      </c>
      <c r="W145">
        <v>7.988752031321491</v>
      </c>
      <c r="X145" s="16">
        <v>2004.5376596991887</v>
      </c>
      <c r="Y145">
        <v>538.44188691106842</v>
      </c>
      <c r="Z145">
        <v>31.955008125285964</v>
      </c>
      <c r="AF145">
        <v>41.910000000000004</v>
      </c>
      <c r="AG145">
        <v>13.2</v>
      </c>
    </row>
    <row r="146" spans="1:33" hidden="1" x14ac:dyDescent="0.25">
      <c r="A146">
        <v>2024</v>
      </c>
      <c r="B146">
        <v>2</v>
      </c>
      <c r="C146" s="59" t="s">
        <v>24</v>
      </c>
      <c r="D146" s="56" t="s">
        <v>38</v>
      </c>
      <c r="E146">
        <v>1</v>
      </c>
      <c r="H146">
        <v>1</v>
      </c>
      <c r="I146" s="12">
        <v>45525</v>
      </c>
      <c r="J146">
        <v>233</v>
      </c>
      <c r="K146" s="64">
        <f>+I146-'2024-selected'!$R$49</f>
        <v>96</v>
      </c>
      <c r="L146" t="s">
        <v>97</v>
      </c>
      <c r="M146">
        <v>37100</v>
      </c>
      <c r="Q146">
        <v>0.63229999999999997</v>
      </c>
      <c r="R146">
        <v>6552.3316062176164</v>
      </c>
      <c r="S146">
        <v>1</v>
      </c>
      <c r="T146">
        <v>0.96499999999999997</v>
      </c>
      <c r="U146">
        <v>0.96499999999999997</v>
      </c>
    </row>
    <row r="147" spans="1:33" hidden="1" x14ac:dyDescent="0.25">
      <c r="A147">
        <v>2024</v>
      </c>
      <c r="B147">
        <v>2</v>
      </c>
      <c r="C147" s="59" t="s">
        <v>27</v>
      </c>
      <c r="D147" s="56" t="s">
        <v>38</v>
      </c>
      <c r="E147">
        <v>1</v>
      </c>
      <c r="H147">
        <v>2</v>
      </c>
      <c r="I147" s="12">
        <v>45525</v>
      </c>
      <c r="J147">
        <v>233</v>
      </c>
      <c r="K147" s="64">
        <f>+I147-'2024-selected'!$R$49</f>
        <v>96</v>
      </c>
      <c r="L147" t="s">
        <v>97</v>
      </c>
      <c r="M147">
        <v>37100</v>
      </c>
      <c r="Q147">
        <v>0.7913</v>
      </c>
      <c r="R147">
        <v>8200</v>
      </c>
      <c r="S147">
        <v>1</v>
      </c>
      <c r="T147">
        <v>0.96499999999999997</v>
      </c>
      <c r="U147">
        <v>0.96499999999999997</v>
      </c>
    </row>
    <row r="148" spans="1:33" hidden="1" x14ac:dyDescent="0.25">
      <c r="A148">
        <v>2024</v>
      </c>
      <c r="B148">
        <v>2</v>
      </c>
      <c r="C148" s="59" t="s">
        <v>28</v>
      </c>
      <c r="D148" s="56" t="s">
        <v>38</v>
      </c>
      <c r="E148">
        <v>1</v>
      </c>
      <c r="H148">
        <v>3</v>
      </c>
      <c r="I148" s="12">
        <v>45525</v>
      </c>
      <c r="J148">
        <v>233</v>
      </c>
      <c r="K148" s="64">
        <f>+I148-'2024-selected'!$R$49</f>
        <v>96</v>
      </c>
      <c r="L148" t="s">
        <v>97</v>
      </c>
      <c r="M148">
        <v>37100</v>
      </c>
      <c r="Q148">
        <v>0.46329999999999999</v>
      </c>
      <c r="R148">
        <v>4801.036269430052</v>
      </c>
      <c r="S148">
        <v>1</v>
      </c>
      <c r="T148">
        <v>0.96499999999999997</v>
      </c>
      <c r="U148">
        <v>0.96499999999999997</v>
      </c>
    </row>
    <row r="149" spans="1:33" hidden="1" x14ac:dyDescent="0.25">
      <c r="A149">
        <v>2024</v>
      </c>
      <c r="B149">
        <v>2</v>
      </c>
      <c r="C149" s="59" t="s">
        <v>29</v>
      </c>
      <c r="D149" s="56" t="s">
        <v>38</v>
      </c>
      <c r="E149">
        <v>1</v>
      </c>
      <c r="H149">
        <v>4</v>
      </c>
      <c r="I149" s="12">
        <v>45525</v>
      </c>
      <c r="J149">
        <v>233</v>
      </c>
      <c r="K149" s="64">
        <f>+I149-'2024-selected'!$R$49</f>
        <v>96</v>
      </c>
      <c r="L149" t="s">
        <v>97</v>
      </c>
      <c r="M149">
        <v>37100</v>
      </c>
      <c r="Q149">
        <v>0.68559999999999988</v>
      </c>
      <c r="R149">
        <v>7104.6632124352327</v>
      </c>
      <c r="S149">
        <v>1</v>
      </c>
      <c r="T149">
        <v>0.96499999999999997</v>
      </c>
      <c r="U149">
        <v>0.96499999999999997</v>
      </c>
    </row>
    <row r="150" spans="1:33" hidden="1" x14ac:dyDescent="0.25">
      <c r="A150">
        <v>2024</v>
      </c>
      <c r="B150">
        <v>2</v>
      </c>
      <c r="C150" s="59" t="s">
        <v>30</v>
      </c>
      <c r="D150" s="56" t="s">
        <v>38</v>
      </c>
      <c r="E150">
        <v>1</v>
      </c>
      <c r="H150">
        <v>5</v>
      </c>
      <c r="I150" s="12">
        <v>45525</v>
      </c>
      <c r="J150">
        <v>233</v>
      </c>
      <c r="K150" s="64">
        <f>+I150-'2024-selected'!$R$49</f>
        <v>96</v>
      </c>
      <c r="L150" t="s">
        <v>97</v>
      </c>
      <c r="M150">
        <v>37100</v>
      </c>
      <c r="Q150">
        <v>0.87409999999999988</v>
      </c>
      <c r="R150">
        <v>9058.0310880829002</v>
      </c>
      <c r="S150">
        <v>1</v>
      </c>
      <c r="T150">
        <v>0.96499999999999997</v>
      </c>
      <c r="U150">
        <v>0.96499999999999997</v>
      </c>
    </row>
    <row r="151" spans="1:33" hidden="1" x14ac:dyDescent="0.25">
      <c r="A151">
        <v>2024</v>
      </c>
      <c r="B151">
        <v>2</v>
      </c>
      <c r="C151" s="59" t="s">
        <v>31</v>
      </c>
      <c r="D151" s="56" t="s">
        <v>38</v>
      </c>
      <c r="E151">
        <v>1</v>
      </c>
      <c r="H151">
        <v>6</v>
      </c>
      <c r="I151" s="12">
        <v>45525</v>
      </c>
      <c r="J151">
        <v>233</v>
      </c>
      <c r="K151" s="64">
        <f>+I151-'2024-selected'!$R$49</f>
        <v>96</v>
      </c>
      <c r="L151" t="s">
        <v>97</v>
      </c>
      <c r="M151">
        <v>37100</v>
      </c>
      <c r="Q151">
        <v>0.59829999999999994</v>
      </c>
      <c r="R151">
        <v>6199.9999999999991</v>
      </c>
      <c r="S151">
        <v>1</v>
      </c>
      <c r="T151">
        <v>0.96499999999999997</v>
      </c>
      <c r="U151">
        <v>0.96499999999999997</v>
      </c>
    </row>
    <row r="152" spans="1:33" hidden="1" x14ac:dyDescent="0.25">
      <c r="A152">
        <v>2024</v>
      </c>
      <c r="B152">
        <v>2</v>
      </c>
      <c r="C152" s="59" t="s">
        <v>32</v>
      </c>
      <c r="D152" s="56" t="s">
        <v>38</v>
      </c>
      <c r="E152">
        <v>1</v>
      </c>
      <c r="H152">
        <v>7</v>
      </c>
      <c r="I152" s="12">
        <v>45525</v>
      </c>
      <c r="J152">
        <v>233</v>
      </c>
      <c r="K152" s="64">
        <f>+I152-'2024-selected'!$R$49</f>
        <v>96</v>
      </c>
      <c r="L152" t="s">
        <v>97</v>
      </c>
      <c r="M152">
        <v>37100</v>
      </c>
      <c r="Q152">
        <v>0.59729999999999994</v>
      </c>
      <c r="R152">
        <v>6189.6373056994807</v>
      </c>
      <c r="S152">
        <v>1</v>
      </c>
      <c r="T152">
        <v>0.96499999999999997</v>
      </c>
      <c r="U152">
        <v>0.96499999999999997</v>
      </c>
    </row>
    <row r="153" spans="1:33" hidden="1" x14ac:dyDescent="0.25">
      <c r="A153">
        <v>2024</v>
      </c>
      <c r="B153">
        <v>2</v>
      </c>
      <c r="C153" s="59" t="s">
        <v>33</v>
      </c>
      <c r="D153" s="56" t="s">
        <v>38</v>
      </c>
      <c r="E153">
        <v>1</v>
      </c>
      <c r="H153">
        <v>8</v>
      </c>
      <c r="I153" s="12">
        <v>45525</v>
      </c>
      <c r="J153">
        <v>233</v>
      </c>
      <c r="K153" s="64">
        <f>+I153-'2024-selected'!$R$49</f>
        <v>96</v>
      </c>
      <c r="L153" t="s">
        <v>97</v>
      </c>
      <c r="M153">
        <v>37100</v>
      </c>
      <c r="Q153">
        <v>0.43409999999999999</v>
      </c>
      <c r="R153">
        <v>4498.4455958549224</v>
      </c>
      <c r="S153">
        <v>1</v>
      </c>
      <c r="T153">
        <v>0.96499999999999997</v>
      </c>
      <c r="U153">
        <v>0.96499999999999997</v>
      </c>
    </row>
    <row r="154" spans="1:33" hidden="1" x14ac:dyDescent="0.25">
      <c r="A154">
        <v>2024</v>
      </c>
      <c r="B154">
        <v>2</v>
      </c>
      <c r="C154" s="59" t="s">
        <v>24</v>
      </c>
      <c r="D154" s="56" t="s">
        <v>38</v>
      </c>
      <c r="E154">
        <v>2</v>
      </c>
      <c r="H154">
        <v>14</v>
      </c>
      <c r="I154" s="12">
        <v>45525</v>
      </c>
      <c r="J154">
        <v>233</v>
      </c>
      <c r="K154" s="64">
        <f>+I154-'2024-selected'!$R$49</f>
        <v>96</v>
      </c>
      <c r="L154" t="s">
        <v>97</v>
      </c>
      <c r="M154">
        <v>37100</v>
      </c>
      <c r="Q154">
        <v>0.65390000000000004</v>
      </c>
      <c r="R154">
        <v>6776.1658031088082</v>
      </c>
      <c r="S154">
        <v>1</v>
      </c>
      <c r="T154">
        <v>0.96499999999999997</v>
      </c>
      <c r="U154">
        <v>0.96499999999999997</v>
      </c>
    </row>
    <row r="155" spans="1:33" hidden="1" x14ac:dyDescent="0.25">
      <c r="A155">
        <v>2024</v>
      </c>
      <c r="B155">
        <v>2</v>
      </c>
      <c r="C155" s="59" t="s">
        <v>27</v>
      </c>
      <c r="D155" s="56" t="s">
        <v>38</v>
      </c>
      <c r="E155">
        <v>2</v>
      </c>
      <c r="H155">
        <v>9</v>
      </c>
      <c r="I155" s="12">
        <v>45525</v>
      </c>
      <c r="J155">
        <v>233</v>
      </c>
      <c r="K155" s="64">
        <f>+I155-'2024-selected'!$R$49</f>
        <v>96</v>
      </c>
      <c r="L155" t="s">
        <v>97</v>
      </c>
      <c r="M155">
        <v>37100</v>
      </c>
      <c r="Q155">
        <v>0.68049999999999999</v>
      </c>
      <c r="R155">
        <v>7051.8134715025908</v>
      </c>
      <c r="S155">
        <v>1</v>
      </c>
      <c r="T155">
        <v>0.96499999999999997</v>
      </c>
      <c r="U155">
        <v>0.96499999999999997</v>
      </c>
    </row>
    <row r="156" spans="1:33" hidden="1" x14ac:dyDescent="0.25">
      <c r="A156">
        <v>2024</v>
      </c>
      <c r="B156">
        <v>2</v>
      </c>
      <c r="C156" s="59" t="s">
        <v>33</v>
      </c>
      <c r="D156" s="56" t="s">
        <v>38</v>
      </c>
      <c r="E156">
        <v>2</v>
      </c>
      <c r="H156">
        <v>10</v>
      </c>
      <c r="I156" s="12">
        <v>45525</v>
      </c>
      <c r="J156">
        <v>233</v>
      </c>
      <c r="K156" s="64">
        <f>+I156-'2024-selected'!$R$49</f>
        <v>96</v>
      </c>
      <c r="L156" t="s">
        <v>97</v>
      </c>
      <c r="M156">
        <v>37100</v>
      </c>
      <c r="Q156">
        <v>0.59199999999999997</v>
      </c>
      <c r="R156">
        <v>6134.7150259067357</v>
      </c>
      <c r="S156">
        <v>1</v>
      </c>
      <c r="T156">
        <v>0.96499999999999997</v>
      </c>
      <c r="U156">
        <v>0.96499999999999997</v>
      </c>
    </row>
    <row r="157" spans="1:33" hidden="1" x14ac:dyDescent="0.25">
      <c r="A157">
        <v>2024</v>
      </c>
      <c r="B157">
        <v>2</v>
      </c>
      <c r="C157" s="59" t="s">
        <v>32</v>
      </c>
      <c r="D157" s="56" t="s">
        <v>38</v>
      </c>
      <c r="E157">
        <v>2</v>
      </c>
      <c r="H157">
        <v>11</v>
      </c>
      <c r="I157" s="12">
        <v>45525</v>
      </c>
      <c r="J157">
        <v>233</v>
      </c>
      <c r="K157" s="64">
        <f>+I157-'2024-selected'!$R$49</f>
        <v>96</v>
      </c>
      <c r="L157" t="s">
        <v>97</v>
      </c>
      <c r="M157">
        <v>37100</v>
      </c>
      <c r="Q157">
        <v>0.59529999999999994</v>
      </c>
      <c r="R157">
        <v>6168.911917098445</v>
      </c>
      <c r="S157">
        <v>1</v>
      </c>
      <c r="T157">
        <v>0.96499999999999997</v>
      </c>
      <c r="U157">
        <v>0.96499999999999997</v>
      </c>
    </row>
    <row r="158" spans="1:33" hidden="1" x14ac:dyDescent="0.25">
      <c r="A158">
        <v>2024</v>
      </c>
      <c r="B158">
        <v>2</v>
      </c>
      <c r="C158" s="59" t="s">
        <v>28</v>
      </c>
      <c r="D158" s="56" t="s">
        <v>38</v>
      </c>
      <c r="E158">
        <v>2</v>
      </c>
      <c r="H158">
        <v>12</v>
      </c>
      <c r="I158" s="12">
        <v>45525</v>
      </c>
      <c r="J158">
        <v>233</v>
      </c>
      <c r="K158" s="64">
        <f>+I158-'2024-selected'!$R$49</f>
        <v>96</v>
      </c>
      <c r="L158" t="s">
        <v>97</v>
      </c>
      <c r="M158">
        <v>37100</v>
      </c>
      <c r="Q158">
        <v>0.54549999999999998</v>
      </c>
      <c r="R158">
        <v>5652.8497409326428</v>
      </c>
      <c r="S158">
        <v>1</v>
      </c>
      <c r="T158">
        <v>0.96499999999999997</v>
      </c>
      <c r="U158">
        <v>0.96499999999999997</v>
      </c>
    </row>
    <row r="159" spans="1:33" hidden="1" x14ac:dyDescent="0.25">
      <c r="A159">
        <v>2024</v>
      </c>
      <c r="B159">
        <v>2</v>
      </c>
      <c r="C159" s="59" t="s">
        <v>31</v>
      </c>
      <c r="D159" s="56" t="s">
        <v>38</v>
      </c>
      <c r="E159">
        <v>2</v>
      </c>
      <c r="H159">
        <v>13</v>
      </c>
      <c r="I159" s="12">
        <v>45525</v>
      </c>
      <c r="J159">
        <v>233</v>
      </c>
      <c r="K159" s="64">
        <f>+I159-'2024-selected'!$R$49</f>
        <v>96</v>
      </c>
      <c r="L159" t="s">
        <v>97</v>
      </c>
      <c r="M159">
        <v>37100</v>
      </c>
      <c r="Q159">
        <v>0.5492999999999999</v>
      </c>
      <c r="R159">
        <v>5692.2279792746103</v>
      </c>
      <c r="S159">
        <v>1</v>
      </c>
      <c r="T159">
        <v>0.96499999999999997</v>
      </c>
      <c r="U159">
        <v>0.96499999999999997</v>
      </c>
    </row>
    <row r="160" spans="1:33" hidden="1" x14ac:dyDescent="0.25">
      <c r="A160">
        <v>2024</v>
      </c>
      <c r="B160">
        <v>2</v>
      </c>
      <c r="C160" s="59" t="s">
        <v>30</v>
      </c>
      <c r="D160" s="56" t="s">
        <v>38</v>
      </c>
      <c r="E160">
        <v>2</v>
      </c>
      <c r="H160">
        <v>15</v>
      </c>
      <c r="I160" s="12">
        <v>45525</v>
      </c>
      <c r="J160">
        <v>233</v>
      </c>
      <c r="K160" s="64">
        <f>+I160-'2024-selected'!$R$49</f>
        <v>96</v>
      </c>
      <c r="L160" t="s">
        <v>97</v>
      </c>
      <c r="M160">
        <v>37100</v>
      </c>
      <c r="Q160">
        <v>0.70520000000000005</v>
      </c>
      <c r="R160">
        <v>7307.7720207253897</v>
      </c>
      <c r="S160">
        <v>1</v>
      </c>
      <c r="T160">
        <v>0.96499999999999997</v>
      </c>
      <c r="U160">
        <v>0.96499999999999997</v>
      </c>
    </row>
    <row r="161" spans="1:33" hidden="1" x14ac:dyDescent="0.25">
      <c r="A161">
        <v>2024</v>
      </c>
      <c r="B161">
        <v>2</v>
      </c>
      <c r="C161" s="59" t="s">
        <v>29</v>
      </c>
      <c r="D161" s="56" t="s">
        <v>38</v>
      </c>
      <c r="E161">
        <v>2</v>
      </c>
      <c r="H161">
        <v>16</v>
      </c>
      <c r="I161" s="12">
        <v>45525</v>
      </c>
      <c r="J161">
        <v>233</v>
      </c>
      <c r="K161" s="64">
        <f>+I161-'2024-selected'!$R$49</f>
        <v>96</v>
      </c>
      <c r="L161" t="s">
        <v>97</v>
      </c>
      <c r="M161">
        <v>37100</v>
      </c>
      <c r="Q161">
        <v>0.60429999999999995</v>
      </c>
      <c r="R161">
        <v>6262.1761658031082</v>
      </c>
      <c r="S161">
        <v>1</v>
      </c>
      <c r="T161">
        <v>0.96499999999999997</v>
      </c>
      <c r="U161">
        <v>0.96499999999999997</v>
      </c>
    </row>
    <row r="162" spans="1:33" hidden="1" x14ac:dyDescent="0.25">
      <c r="A162">
        <v>2024</v>
      </c>
      <c r="B162">
        <v>2</v>
      </c>
      <c r="C162" s="59" t="s">
        <v>24</v>
      </c>
      <c r="D162" s="56" t="s">
        <v>38</v>
      </c>
      <c r="E162">
        <v>3</v>
      </c>
      <c r="H162">
        <v>23</v>
      </c>
      <c r="I162" s="12">
        <v>45525</v>
      </c>
      <c r="J162">
        <v>233</v>
      </c>
      <c r="K162" s="64">
        <f>+I162-'2024-selected'!$R$49</f>
        <v>96</v>
      </c>
      <c r="L162" t="s">
        <v>97</v>
      </c>
      <c r="M162">
        <v>37100</v>
      </c>
      <c r="Q162">
        <v>0.61190000000000011</v>
      </c>
      <c r="R162">
        <v>6340.9326424870478</v>
      </c>
      <c r="S162">
        <v>1</v>
      </c>
      <c r="T162">
        <v>0.96499999999999997</v>
      </c>
      <c r="U162">
        <v>0.96499999999999997</v>
      </c>
    </row>
    <row r="163" spans="1:33" hidden="1" x14ac:dyDescent="0.25">
      <c r="A163">
        <v>2024</v>
      </c>
      <c r="B163">
        <v>2</v>
      </c>
      <c r="C163" s="59" t="s">
        <v>33</v>
      </c>
      <c r="D163" s="56" t="s">
        <v>38</v>
      </c>
      <c r="E163">
        <v>3</v>
      </c>
      <c r="H163">
        <v>17</v>
      </c>
      <c r="I163" s="12">
        <v>45525</v>
      </c>
      <c r="J163">
        <v>233</v>
      </c>
      <c r="K163" s="64">
        <f>+I163-'2024-selected'!$R$49</f>
        <v>96</v>
      </c>
      <c r="L163" t="s">
        <v>97</v>
      </c>
      <c r="M163">
        <v>37100</v>
      </c>
      <c r="Q163">
        <v>0.55690000000000006</v>
      </c>
      <c r="R163">
        <v>5770.9844559585499</v>
      </c>
      <c r="S163">
        <v>1</v>
      </c>
      <c r="T163">
        <v>0.96499999999999997</v>
      </c>
      <c r="U163">
        <v>0.96499999999999997</v>
      </c>
    </row>
    <row r="164" spans="1:33" hidden="1" x14ac:dyDescent="0.25">
      <c r="A164">
        <v>2024</v>
      </c>
      <c r="B164">
        <v>2</v>
      </c>
      <c r="C164" s="59" t="s">
        <v>27</v>
      </c>
      <c r="D164" s="56" t="s">
        <v>38</v>
      </c>
      <c r="E164">
        <v>3</v>
      </c>
      <c r="H164">
        <v>18</v>
      </c>
      <c r="I164" s="12">
        <v>45525</v>
      </c>
      <c r="J164">
        <v>233</v>
      </c>
      <c r="K164" s="64">
        <f>+I164-'2024-selected'!$R$49</f>
        <v>96</v>
      </c>
      <c r="L164" t="s">
        <v>97</v>
      </c>
      <c r="M164">
        <v>37100</v>
      </c>
      <c r="Q164">
        <v>0.59329999999999994</v>
      </c>
      <c r="R164">
        <v>6148.1865284974083</v>
      </c>
      <c r="S164">
        <v>1</v>
      </c>
      <c r="T164">
        <v>0.96499999999999997</v>
      </c>
      <c r="U164">
        <v>0.96499999999999997</v>
      </c>
    </row>
    <row r="165" spans="1:33" hidden="1" x14ac:dyDescent="0.25">
      <c r="A165">
        <v>2024</v>
      </c>
      <c r="B165">
        <v>2</v>
      </c>
      <c r="C165" s="59" t="s">
        <v>29</v>
      </c>
      <c r="D165" s="56" t="s">
        <v>38</v>
      </c>
      <c r="E165">
        <v>3</v>
      </c>
      <c r="H165">
        <v>19</v>
      </c>
      <c r="I165" s="12">
        <v>45525</v>
      </c>
      <c r="J165">
        <v>233</v>
      </c>
      <c r="K165" s="64">
        <f>+I165-'2024-selected'!$R$49</f>
        <v>96</v>
      </c>
      <c r="L165" t="s">
        <v>97</v>
      </c>
      <c r="M165">
        <v>37100</v>
      </c>
      <c r="Q165">
        <v>0.7157</v>
      </c>
      <c r="R165">
        <v>7416.5803108808295</v>
      </c>
      <c r="S165">
        <v>1</v>
      </c>
      <c r="T165">
        <v>0.96499999999999997</v>
      </c>
      <c r="U165">
        <v>0.96499999999999997</v>
      </c>
    </row>
    <row r="166" spans="1:33" hidden="1" x14ac:dyDescent="0.25">
      <c r="A166">
        <v>2024</v>
      </c>
      <c r="B166">
        <v>2</v>
      </c>
      <c r="C166" s="59" t="s">
        <v>31</v>
      </c>
      <c r="D166" s="56" t="s">
        <v>38</v>
      </c>
      <c r="E166">
        <v>3</v>
      </c>
      <c r="H166">
        <v>20</v>
      </c>
      <c r="I166" s="12">
        <v>45525</v>
      </c>
      <c r="J166">
        <v>233</v>
      </c>
      <c r="K166" s="64">
        <f>+I166-'2024-selected'!$R$49</f>
        <v>96</v>
      </c>
      <c r="L166" t="s">
        <v>97</v>
      </c>
      <c r="M166">
        <v>37100</v>
      </c>
      <c r="Q166">
        <v>0.4803</v>
      </c>
      <c r="R166">
        <v>4977.2020725388602</v>
      </c>
      <c r="S166">
        <v>1</v>
      </c>
      <c r="T166">
        <v>0.96499999999999997</v>
      </c>
      <c r="U166">
        <v>0.96499999999999997</v>
      </c>
    </row>
    <row r="167" spans="1:33" hidden="1" x14ac:dyDescent="0.25">
      <c r="A167">
        <v>2024</v>
      </c>
      <c r="B167">
        <v>2</v>
      </c>
      <c r="C167" s="59" t="s">
        <v>30</v>
      </c>
      <c r="D167" s="56" t="s">
        <v>38</v>
      </c>
      <c r="E167">
        <v>3</v>
      </c>
      <c r="H167">
        <v>21</v>
      </c>
      <c r="I167" s="12">
        <v>45525</v>
      </c>
      <c r="J167">
        <v>233</v>
      </c>
      <c r="K167" s="64">
        <f>+I167-'2024-selected'!$R$49</f>
        <v>96</v>
      </c>
      <c r="L167" t="s">
        <v>97</v>
      </c>
      <c r="M167">
        <v>37100</v>
      </c>
      <c r="Q167">
        <v>0.59920000000000007</v>
      </c>
      <c r="R167">
        <v>6209.3264248704672</v>
      </c>
      <c r="S167">
        <v>1</v>
      </c>
      <c r="T167">
        <v>0.96499999999999997</v>
      </c>
      <c r="U167">
        <v>0.96499999999999997</v>
      </c>
    </row>
    <row r="168" spans="1:33" hidden="1" x14ac:dyDescent="0.25">
      <c r="A168">
        <v>2024</v>
      </c>
      <c r="B168">
        <v>2</v>
      </c>
      <c r="C168" s="59" t="s">
        <v>32</v>
      </c>
      <c r="D168" s="56" t="s">
        <v>38</v>
      </c>
      <c r="E168">
        <v>3</v>
      </c>
      <c r="H168">
        <v>22</v>
      </c>
      <c r="I168" s="12">
        <v>45525</v>
      </c>
      <c r="J168">
        <v>233</v>
      </c>
      <c r="K168" s="64">
        <f>+I168-'2024-selected'!$R$49</f>
        <v>96</v>
      </c>
      <c r="L168" t="s">
        <v>97</v>
      </c>
      <c r="M168">
        <v>37100</v>
      </c>
      <c r="Q168">
        <v>0.47590000000000005</v>
      </c>
      <c r="R168">
        <v>4931.6062176165806</v>
      </c>
      <c r="S168">
        <v>1</v>
      </c>
      <c r="T168">
        <v>0.96499999999999997</v>
      </c>
      <c r="U168">
        <v>0.96499999999999997</v>
      </c>
    </row>
    <row r="169" spans="1:33" hidden="1" x14ac:dyDescent="0.25">
      <c r="A169">
        <v>2024</v>
      </c>
      <c r="B169">
        <v>2</v>
      </c>
      <c r="C169" s="59" t="s">
        <v>28</v>
      </c>
      <c r="D169" s="56" t="s">
        <v>38</v>
      </c>
      <c r="E169">
        <v>3</v>
      </c>
      <c r="H169">
        <v>24</v>
      </c>
      <c r="I169" s="12">
        <v>45525</v>
      </c>
      <c r="J169">
        <v>233</v>
      </c>
      <c r="K169" s="64">
        <f>+I169-'2024-selected'!$R$49</f>
        <v>96</v>
      </c>
      <c r="L169" t="s">
        <v>97</v>
      </c>
      <c r="M169">
        <v>37100</v>
      </c>
      <c r="Q169">
        <v>0.52949999999999997</v>
      </c>
      <c r="R169">
        <v>5487.0466321243521</v>
      </c>
      <c r="S169">
        <v>1</v>
      </c>
      <c r="T169">
        <v>0.96499999999999997</v>
      </c>
      <c r="U169">
        <v>0.96499999999999997</v>
      </c>
    </row>
    <row r="170" spans="1:33" hidden="1" x14ac:dyDescent="0.25">
      <c r="A170">
        <v>2024</v>
      </c>
      <c r="B170" s="19">
        <v>2</v>
      </c>
      <c r="C170" s="59" t="s">
        <v>24</v>
      </c>
      <c r="D170" s="56" t="s">
        <v>38</v>
      </c>
      <c r="E170" s="24">
        <v>1</v>
      </c>
      <c r="F170" s="24"/>
      <c r="G170" s="24"/>
      <c r="H170" s="19">
        <v>1</v>
      </c>
      <c r="I170" s="25">
        <v>45526</v>
      </c>
      <c r="J170" s="18">
        <v>234</v>
      </c>
      <c r="K170" s="62">
        <f>+I170-'2024-selected'!$R$48</f>
        <v>98</v>
      </c>
      <c r="L170" s="19" t="s">
        <v>107</v>
      </c>
      <c r="M170" s="19">
        <v>40800</v>
      </c>
      <c r="N170" s="19"/>
      <c r="O170" s="19"/>
      <c r="P170" s="19"/>
      <c r="Q170" s="19"/>
      <c r="R170" s="19"/>
      <c r="S170" s="19">
        <v>1</v>
      </c>
      <c r="T170" s="19">
        <v>0.96499999999999997</v>
      </c>
      <c r="U170" s="27">
        <f t="shared" ref="U170:U193" si="4">T170*S170</f>
        <v>0.96499999999999997</v>
      </c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spans="1:33" hidden="1" x14ac:dyDescent="0.25">
      <c r="A171">
        <v>2024</v>
      </c>
      <c r="B171" s="19">
        <v>2</v>
      </c>
      <c r="C171" s="59" t="s">
        <v>27</v>
      </c>
      <c r="D171" s="56" t="s">
        <v>38</v>
      </c>
      <c r="E171" s="24">
        <v>1</v>
      </c>
      <c r="F171" s="24"/>
      <c r="G171" s="24"/>
      <c r="H171" s="19">
        <v>2</v>
      </c>
      <c r="I171" s="25">
        <v>45526</v>
      </c>
      <c r="J171" s="18">
        <v>234</v>
      </c>
      <c r="K171" s="62">
        <f>+I171-'2024-selected'!$R$48</f>
        <v>98</v>
      </c>
      <c r="L171" s="19" t="s">
        <v>107</v>
      </c>
      <c r="M171" s="19">
        <v>40800</v>
      </c>
      <c r="N171" s="19"/>
      <c r="O171" s="19"/>
      <c r="P171" s="19"/>
      <c r="Q171" s="19">
        <v>0.89068000000000003</v>
      </c>
      <c r="R171" s="19">
        <v>9229.8445595854937</v>
      </c>
      <c r="S171" s="19">
        <v>1</v>
      </c>
      <c r="T171" s="19">
        <v>0.96499999999999997</v>
      </c>
      <c r="U171" s="27">
        <f t="shared" si="4"/>
        <v>0.96499999999999997</v>
      </c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spans="1:33" hidden="1" x14ac:dyDescent="0.25">
      <c r="A172">
        <v>2024</v>
      </c>
      <c r="B172" s="19">
        <v>2</v>
      </c>
      <c r="C172" s="59" t="s">
        <v>28</v>
      </c>
      <c r="D172" s="56" t="s">
        <v>38</v>
      </c>
      <c r="E172" s="24">
        <v>1</v>
      </c>
      <c r="F172" s="24"/>
      <c r="G172" s="24"/>
      <c r="H172" s="19">
        <v>3</v>
      </c>
      <c r="I172" s="25">
        <v>45526</v>
      </c>
      <c r="J172" s="18">
        <v>234</v>
      </c>
      <c r="K172" s="62">
        <f>+I172-'2024-selected'!$R$48</f>
        <v>98</v>
      </c>
      <c r="L172" s="19" t="s">
        <v>107</v>
      </c>
      <c r="M172" s="19">
        <v>40800</v>
      </c>
      <c r="N172" s="19"/>
      <c r="O172" s="19"/>
      <c r="P172" s="19"/>
      <c r="Q172" s="19">
        <v>0.90368000000000004</v>
      </c>
      <c r="R172" s="19">
        <v>9364.5595854922285</v>
      </c>
      <c r="S172" s="19">
        <v>1</v>
      </c>
      <c r="T172" s="19">
        <v>0.96499999999999997</v>
      </c>
      <c r="U172" s="27">
        <f t="shared" si="4"/>
        <v>0.96499999999999997</v>
      </c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spans="1:33" hidden="1" x14ac:dyDescent="0.25">
      <c r="A173">
        <v>2024</v>
      </c>
      <c r="B173" s="19">
        <v>2</v>
      </c>
      <c r="C173" s="59" t="s">
        <v>29</v>
      </c>
      <c r="D173" s="56" t="s">
        <v>38</v>
      </c>
      <c r="E173" s="24">
        <v>1</v>
      </c>
      <c r="F173" s="24"/>
      <c r="G173" s="24"/>
      <c r="H173" s="19">
        <v>4</v>
      </c>
      <c r="I173" s="25">
        <v>45526</v>
      </c>
      <c r="J173" s="18">
        <v>234</v>
      </c>
      <c r="K173" s="62">
        <f>+I173-'2024-selected'!$R$48</f>
        <v>98</v>
      </c>
      <c r="L173" s="19" t="s">
        <v>107</v>
      </c>
      <c r="M173" s="19">
        <v>40800</v>
      </c>
      <c r="N173" s="19"/>
      <c r="O173" s="19"/>
      <c r="P173" s="19"/>
      <c r="Q173" s="19">
        <v>0.92868000000000006</v>
      </c>
      <c r="R173" s="19">
        <v>9623.6269430051834</v>
      </c>
      <c r="S173" s="19">
        <v>1</v>
      </c>
      <c r="T173" s="19">
        <v>0.96499999999999997</v>
      </c>
      <c r="U173" s="27">
        <f t="shared" si="4"/>
        <v>0.96499999999999997</v>
      </c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spans="1:33" hidden="1" x14ac:dyDescent="0.25">
      <c r="A174">
        <v>2024</v>
      </c>
      <c r="B174" s="19">
        <v>2</v>
      </c>
      <c r="C174" s="59" t="s">
        <v>30</v>
      </c>
      <c r="D174" s="56" t="s">
        <v>38</v>
      </c>
      <c r="E174" s="24">
        <v>1</v>
      </c>
      <c r="F174" s="24"/>
      <c r="G174" s="24"/>
      <c r="H174" s="19">
        <v>5</v>
      </c>
      <c r="I174" s="25">
        <v>45526</v>
      </c>
      <c r="J174" s="18">
        <v>234</v>
      </c>
      <c r="K174" s="62">
        <f>+I174-'2024-selected'!$R$48</f>
        <v>98</v>
      </c>
      <c r="L174" s="19" t="s">
        <v>107</v>
      </c>
      <c r="M174" s="19">
        <v>40800</v>
      </c>
      <c r="N174" s="19"/>
      <c r="O174" s="19"/>
      <c r="P174" s="19"/>
      <c r="Q174" s="19">
        <v>0.78068000000000004</v>
      </c>
      <c r="R174" s="19">
        <v>8089.9481865284979</v>
      </c>
      <c r="S174" s="19">
        <v>1</v>
      </c>
      <c r="T174" s="19">
        <v>0.96499999999999997</v>
      </c>
      <c r="U174" s="27">
        <f t="shared" si="4"/>
        <v>0.96499999999999997</v>
      </c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spans="1:33" hidden="1" x14ac:dyDescent="0.25">
      <c r="A175">
        <v>2024</v>
      </c>
      <c r="B175" s="19">
        <v>2</v>
      </c>
      <c r="C175" s="59" t="s">
        <v>31</v>
      </c>
      <c r="D175" s="56" t="s">
        <v>38</v>
      </c>
      <c r="E175" s="24">
        <v>1</v>
      </c>
      <c r="F175" s="24"/>
      <c r="G175" s="24"/>
      <c r="H175" s="19">
        <v>6</v>
      </c>
      <c r="I175" s="25">
        <v>45526</v>
      </c>
      <c r="J175" s="18">
        <v>234</v>
      </c>
      <c r="K175" s="62">
        <f>+I175-'2024-selected'!$R$48</f>
        <v>98</v>
      </c>
      <c r="L175" s="19" t="s">
        <v>107</v>
      </c>
      <c r="M175" s="19">
        <v>40800</v>
      </c>
      <c r="N175" s="19"/>
      <c r="O175" s="19"/>
      <c r="P175" s="19"/>
      <c r="Q175" s="19">
        <v>0.65468000000000004</v>
      </c>
      <c r="R175" s="19">
        <v>6784.2487046632132</v>
      </c>
      <c r="S175" s="19">
        <v>1</v>
      </c>
      <c r="T175" s="19">
        <v>0.96499999999999997</v>
      </c>
      <c r="U175" s="27">
        <f t="shared" si="4"/>
        <v>0.96499999999999997</v>
      </c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spans="1:33" hidden="1" x14ac:dyDescent="0.25">
      <c r="A176">
        <v>2024</v>
      </c>
      <c r="B176" s="19">
        <v>2</v>
      </c>
      <c r="C176" s="59" t="s">
        <v>32</v>
      </c>
      <c r="D176" s="56" t="s">
        <v>38</v>
      </c>
      <c r="E176" s="24">
        <v>1</v>
      </c>
      <c r="F176" s="24"/>
      <c r="G176" s="24"/>
      <c r="H176" s="19">
        <v>7</v>
      </c>
      <c r="I176" s="25">
        <v>45526</v>
      </c>
      <c r="J176" s="18">
        <v>234</v>
      </c>
      <c r="K176" s="62">
        <f>+I176-'2024-selected'!$R$48</f>
        <v>98</v>
      </c>
      <c r="L176" s="19" t="s">
        <v>107</v>
      </c>
      <c r="M176" s="19">
        <v>40800</v>
      </c>
      <c r="N176" s="19"/>
      <c r="O176" s="19"/>
      <c r="P176" s="19"/>
      <c r="Q176" s="19">
        <v>0.87368000000000001</v>
      </c>
      <c r="R176" s="19">
        <v>9053.6787564766837</v>
      </c>
      <c r="S176" s="19">
        <v>1</v>
      </c>
      <c r="T176" s="19">
        <v>0.96499999999999997</v>
      </c>
      <c r="U176" s="27">
        <f t="shared" si="4"/>
        <v>0.96499999999999997</v>
      </c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spans="1:33" hidden="1" x14ac:dyDescent="0.25">
      <c r="A177">
        <v>2024</v>
      </c>
      <c r="B177" s="19">
        <v>2</v>
      </c>
      <c r="C177" s="59" t="s">
        <v>33</v>
      </c>
      <c r="D177" s="56" t="s">
        <v>38</v>
      </c>
      <c r="E177" s="24">
        <v>1</v>
      </c>
      <c r="F177" s="24"/>
      <c r="G177" s="24"/>
      <c r="H177" s="19">
        <v>8</v>
      </c>
      <c r="I177" s="25">
        <v>45526</v>
      </c>
      <c r="J177" s="18">
        <v>234</v>
      </c>
      <c r="K177" s="62">
        <f>+I177-'2024-selected'!$R$48</f>
        <v>98</v>
      </c>
      <c r="L177" s="19" t="s">
        <v>107</v>
      </c>
      <c r="M177" s="19">
        <v>40800</v>
      </c>
      <c r="N177" s="19"/>
      <c r="O177" s="19"/>
      <c r="P177" s="19"/>
      <c r="Q177" s="19">
        <v>0.82468000000000008</v>
      </c>
      <c r="R177" s="19">
        <v>8545.9067357512959</v>
      </c>
      <c r="S177" s="19">
        <v>1</v>
      </c>
      <c r="T177" s="19">
        <v>0.96499999999999997</v>
      </c>
      <c r="U177" s="27">
        <f t="shared" si="4"/>
        <v>0.96499999999999997</v>
      </c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spans="1:33" hidden="1" x14ac:dyDescent="0.25">
      <c r="A178">
        <v>2024</v>
      </c>
      <c r="B178" s="19">
        <v>2</v>
      </c>
      <c r="C178" s="59" t="s">
        <v>24</v>
      </c>
      <c r="D178" s="56" t="s">
        <v>38</v>
      </c>
      <c r="E178" s="24">
        <v>2</v>
      </c>
      <c r="F178" s="24"/>
      <c r="G178" s="24"/>
      <c r="H178" s="19">
        <v>14</v>
      </c>
      <c r="I178" s="25">
        <v>45526</v>
      </c>
      <c r="J178" s="18">
        <v>234</v>
      </c>
      <c r="K178" s="62">
        <f>+I178-'2024-selected'!$R$48</f>
        <v>98</v>
      </c>
      <c r="L178" s="19" t="s">
        <v>107</v>
      </c>
      <c r="M178" s="19">
        <v>40800</v>
      </c>
      <c r="N178" s="19"/>
      <c r="O178" s="19"/>
      <c r="P178" s="19"/>
      <c r="Q178" s="19"/>
      <c r="R178" s="19"/>
      <c r="S178" s="19">
        <v>1</v>
      </c>
      <c r="T178" s="19">
        <v>0.96499999999999997</v>
      </c>
      <c r="U178" s="27">
        <f t="shared" si="4"/>
        <v>0.96499999999999997</v>
      </c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spans="1:33" hidden="1" x14ac:dyDescent="0.25">
      <c r="A179">
        <v>2024</v>
      </c>
      <c r="B179" s="19">
        <v>2</v>
      </c>
      <c r="C179" s="59" t="s">
        <v>27</v>
      </c>
      <c r="D179" s="56" t="s">
        <v>38</v>
      </c>
      <c r="E179" s="24">
        <v>2</v>
      </c>
      <c r="F179" s="24"/>
      <c r="G179" s="24"/>
      <c r="H179" s="19">
        <v>9</v>
      </c>
      <c r="I179" s="25">
        <v>45526</v>
      </c>
      <c r="J179" s="18">
        <v>234</v>
      </c>
      <c r="K179" s="62">
        <f>+I179-'2024-selected'!$R$48</f>
        <v>98</v>
      </c>
      <c r="L179" s="19" t="s">
        <v>107</v>
      </c>
      <c r="M179" s="19">
        <v>40800</v>
      </c>
      <c r="N179" s="19"/>
      <c r="O179" s="19"/>
      <c r="P179" s="19"/>
      <c r="Q179" s="19">
        <v>0.99268000000000012</v>
      </c>
      <c r="R179" s="19">
        <v>10286.839378238343</v>
      </c>
      <c r="S179" s="19">
        <v>1</v>
      </c>
      <c r="T179" s="19">
        <v>0.96499999999999997</v>
      </c>
      <c r="U179" s="27">
        <f t="shared" si="4"/>
        <v>0.96499999999999997</v>
      </c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spans="1:33" hidden="1" x14ac:dyDescent="0.25">
      <c r="A180">
        <v>2024</v>
      </c>
      <c r="B180" s="19">
        <v>2</v>
      </c>
      <c r="C180" s="59" t="s">
        <v>33</v>
      </c>
      <c r="D180" s="56" t="s">
        <v>38</v>
      </c>
      <c r="E180" s="24">
        <v>2</v>
      </c>
      <c r="F180" s="24"/>
      <c r="G180" s="24"/>
      <c r="H180" s="19">
        <v>10</v>
      </c>
      <c r="I180" s="25">
        <v>45526</v>
      </c>
      <c r="J180" s="18">
        <v>234</v>
      </c>
      <c r="K180" s="62">
        <f>+I180-'2024-selected'!$R$48</f>
        <v>98</v>
      </c>
      <c r="L180" s="19" t="s">
        <v>107</v>
      </c>
      <c r="M180" s="19">
        <v>40800</v>
      </c>
      <c r="N180" s="19"/>
      <c r="O180" s="19"/>
      <c r="P180" s="19"/>
      <c r="Q180" s="19">
        <v>0.91268000000000005</v>
      </c>
      <c r="R180" s="19">
        <v>9457.8238341968918</v>
      </c>
      <c r="S180" s="19">
        <v>1</v>
      </c>
      <c r="T180" s="19">
        <v>0.96499999999999997</v>
      </c>
      <c r="U180" s="27">
        <f t="shared" si="4"/>
        <v>0.96499999999999997</v>
      </c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spans="1:33" hidden="1" x14ac:dyDescent="0.25">
      <c r="A181">
        <v>2024</v>
      </c>
      <c r="B181" s="19">
        <v>2</v>
      </c>
      <c r="C181" s="59" t="s">
        <v>32</v>
      </c>
      <c r="D181" s="56" t="s">
        <v>38</v>
      </c>
      <c r="E181" s="24">
        <v>2</v>
      </c>
      <c r="F181" s="24"/>
      <c r="G181" s="24"/>
      <c r="H181" s="19">
        <v>11</v>
      </c>
      <c r="I181" s="25">
        <v>45526</v>
      </c>
      <c r="J181" s="18">
        <v>234</v>
      </c>
      <c r="K181" s="62">
        <f>+I181-'2024-selected'!$R$48</f>
        <v>98</v>
      </c>
      <c r="L181" s="19" t="s">
        <v>107</v>
      </c>
      <c r="M181" s="19">
        <v>40800</v>
      </c>
      <c r="N181" s="19"/>
      <c r="O181" s="19"/>
      <c r="P181" s="19"/>
      <c r="Q181" s="19">
        <v>0.9766800000000001</v>
      </c>
      <c r="R181" s="19">
        <v>10121.036269430053</v>
      </c>
      <c r="S181" s="19">
        <v>1</v>
      </c>
      <c r="T181" s="19">
        <v>0.96499999999999997</v>
      </c>
      <c r="U181" s="27">
        <f t="shared" si="4"/>
        <v>0.96499999999999997</v>
      </c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spans="1:33" hidden="1" x14ac:dyDescent="0.25">
      <c r="A182">
        <v>2024</v>
      </c>
      <c r="B182" s="19">
        <v>2</v>
      </c>
      <c r="C182" s="59" t="s">
        <v>28</v>
      </c>
      <c r="D182" s="56" t="s">
        <v>38</v>
      </c>
      <c r="E182" s="24">
        <v>2</v>
      </c>
      <c r="F182" s="24"/>
      <c r="G182" s="24"/>
      <c r="H182" s="19">
        <v>12</v>
      </c>
      <c r="I182" s="25">
        <v>45526</v>
      </c>
      <c r="J182" s="18">
        <v>234</v>
      </c>
      <c r="K182" s="62">
        <f>+I182-'2024-selected'!$R$48</f>
        <v>98</v>
      </c>
      <c r="L182" s="19" t="s">
        <v>107</v>
      </c>
      <c r="M182" s="19">
        <v>40800</v>
      </c>
      <c r="N182" s="19"/>
      <c r="O182" s="19"/>
      <c r="P182" s="19"/>
      <c r="Q182" s="19">
        <v>0.81968000000000008</v>
      </c>
      <c r="R182" s="19">
        <v>8494.093264248706</v>
      </c>
      <c r="S182" s="19">
        <v>1</v>
      </c>
      <c r="T182" s="19">
        <v>0.96499999999999997</v>
      </c>
      <c r="U182" s="27">
        <f t="shared" si="4"/>
        <v>0.96499999999999997</v>
      </c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spans="1:33" hidden="1" x14ac:dyDescent="0.25">
      <c r="A183">
        <v>2024</v>
      </c>
      <c r="B183" s="19">
        <v>2</v>
      </c>
      <c r="C183" s="59" t="s">
        <v>31</v>
      </c>
      <c r="D183" s="56" t="s">
        <v>38</v>
      </c>
      <c r="E183" s="24">
        <v>2</v>
      </c>
      <c r="F183" s="24"/>
      <c r="G183" s="24"/>
      <c r="H183" s="19">
        <v>13</v>
      </c>
      <c r="I183" s="25">
        <v>45526</v>
      </c>
      <c r="J183" s="18">
        <v>234</v>
      </c>
      <c r="K183" s="62">
        <f>+I183-'2024-selected'!$R$48</f>
        <v>98</v>
      </c>
      <c r="L183" s="19" t="s">
        <v>107</v>
      </c>
      <c r="M183" s="19">
        <v>40800</v>
      </c>
      <c r="N183" s="19"/>
      <c r="O183" s="19"/>
      <c r="P183" s="19"/>
      <c r="Q183" s="19">
        <v>0.81468000000000007</v>
      </c>
      <c r="R183" s="19">
        <v>8442.2797927461161</v>
      </c>
      <c r="S183" s="19">
        <v>1</v>
      </c>
      <c r="T183" s="19">
        <v>0.96499999999999997</v>
      </c>
      <c r="U183" s="27">
        <f t="shared" si="4"/>
        <v>0.96499999999999997</v>
      </c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1:33" hidden="1" x14ac:dyDescent="0.25">
      <c r="A184">
        <v>2024</v>
      </c>
      <c r="B184" s="19">
        <v>2</v>
      </c>
      <c r="C184" s="59" t="s">
        <v>30</v>
      </c>
      <c r="D184" s="56" t="s">
        <v>38</v>
      </c>
      <c r="E184" s="24">
        <v>2</v>
      </c>
      <c r="F184" s="24"/>
      <c r="G184" s="24"/>
      <c r="H184" s="19">
        <v>15</v>
      </c>
      <c r="I184" s="25">
        <v>45526</v>
      </c>
      <c r="J184" s="18">
        <v>234</v>
      </c>
      <c r="K184" s="62">
        <f>+I184-'2024-selected'!$R$48</f>
        <v>98</v>
      </c>
      <c r="L184" s="19" t="s">
        <v>107</v>
      </c>
      <c r="M184" s="19">
        <v>40800</v>
      </c>
      <c r="N184" s="19"/>
      <c r="O184" s="19"/>
      <c r="P184" s="19"/>
      <c r="Q184" s="19"/>
      <c r="R184" s="19"/>
      <c r="S184" s="19">
        <v>1</v>
      </c>
      <c r="T184" s="19">
        <v>0.96499999999999997</v>
      </c>
      <c r="U184" s="27">
        <f t="shared" si="4"/>
        <v>0.96499999999999997</v>
      </c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spans="1:33" hidden="1" x14ac:dyDescent="0.25">
      <c r="A185">
        <v>2024</v>
      </c>
      <c r="B185" s="19">
        <v>2</v>
      </c>
      <c r="C185" s="59" t="s">
        <v>29</v>
      </c>
      <c r="D185" s="56" t="s">
        <v>38</v>
      </c>
      <c r="E185" s="24">
        <v>2</v>
      </c>
      <c r="F185" s="24"/>
      <c r="G185" s="24"/>
      <c r="H185" s="19">
        <v>16</v>
      </c>
      <c r="I185" s="25">
        <v>45526</v>
      </c>
      <c r="J185" s="18">
        <v>234</v>
      </c>
      <c r="K185" s="62">
        <f>+I185-'2024-selected'!$R$48</f>
        <v>98</v>
      </c>
      <c r="L185" s="19" t="s">
        <v>107</v>
      </c>
      <c r="M185" s="19">
        <v>40800</v>
      </c>
      <c r="N185" s="19"/>
      <c r="O185" s="19"/>
      <c r="P185" s="19"/>
      <c r="Q185" s="19"/>
      <c r="R185" s="19"/>
      <c r="S185" s="19">
        <v>1</v>
      </c>
      <c r="T185" s="19">
        <v>0.96499999999999997</v>
      </c>
      <c r="U185" s="27">
        <f t="shared" si="4"/>
        <v>0.96499999999999997</v>
      </c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spans="1:33" hidden="1" x14ac:dyDescent="0.25">
      <c r="A186">
        <v>2024</v>
      </c>
      <c r="B186" s="19">
        <v>2</v>
      </c>
      <c r="C186" s="59" t="s">
        <v>24</v>
      </c>
      <c r="D186" s="56" t="s">
        <v>38</v>
      </c>
      <c r="E186" s="24">
        <v>3</v>
      </c>
      <c r="F186" s="24"/>
      <c r="G186" s="24"/>
      <c r="H186" s="19">
        <v>23</v>
      </c>
      <c r="I186" s="25">
        <v>45526</v>
      </c>
      <c r="J186" s="18">
        <v>234</v>
      </c>
      <c r="K186" s="62">
        <f>+I186-'2024-selected'!$R$48</f>
        <v>98</v>
      </c>
      <c r="L186" s="19" t="s">
        <v>107</v>
      </c>
      <c r="M186" s="19">
        <v>40800</v>
      </c>
      <c r="N186" s="19"/>
      <c r="O186" s="19"/>
      <c r="P186" s="19"/>
      <c r="Q186" s="19"/>
      <c r="R186" s="19"/>
      <c r="S186" s="19">
        <v>1</v>
      </c>
      <c r="T186" s="19">
        <v>0.96499999999999997</v>
      </c>
      <c r="U186" s="27">
        <f t="shared" si="4"/>
        <v>0.96499999999999997</v>
      </c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spans="1:33" hidden="1" x14ac:dyDescent="0.25">
      <c r="A187">
        <v>2024</v>
      </c>
      <c r="B187" s="19">
        <v>2</v>
      </c>
      <c r="C187" s="59" t="s">
        <v>33</v>
      </c>
      <c r="D187" s="56" t="s">
        <v>38</v>
      </c>
      <c r="E187" s="24">
        <v>3</v>
      </c>
      <c r="F187" s="24"/>
      <c r="G187" s="24"/>
      <c r="H187" s="19">
        <v>17</v>
      </c>
      <c r="I187" s="25">
        <v>45526</v>
      </c>
      <c r="J187" s="18">
        <v>234</v>
      </c>
      <c r="K187" s="62">
        <f>+I187-'2024-selected'!$R$48</f>
        <v>98</v>
      </c>
      <c r="L187" s="19" t="s">
        <v>107</v>
      </c>
      <c r="M187" s="19">
        <v>40800</v>
      </c>
      <c r="N187" s="19"/>
      <c r="O187" s="19"/>
      <c r="P187" s="19"/>
      <c r="Q187" s="19">
        <v>0.76968000000000003</v>
      </c>
      <c r="R187" s="19">
        <v>7975.958549222798</v>
      </c>
      <c r="S187" s="19">
        <v>1</v>
      </c>
      <c r="T187" s="19">
        <v>0.96499999999999997</v>
      </c>
      <c r="U187" s="27">
        <f t="shared" si="4"/>
        <v>0.96499999999999997</v>
      </c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spans="1:33" hidden="1" x14ac:dyDescent="0.25">
      <c r="A188">
        <v>2024</v>
      </c>
      <c r="B188" s="19">
        <v>2</v>
      </c>
      <c r="C188" s="59" t="s">
        <v>27</v>
      </c>
      <c r="D188" s="56" t="s">
        <v>38</v>
      </c>
      <c r="E188" s="24">
        <v>3</v>
      </c>
      <c r="F188" s="24"/>
      <c r="G188" s="24"/>
      <c r="H188" s="19">
        <v>18</v>
      </c>
      <c r="I188" s="25">
        <v>45526</v>
      </c>
      <c r="J188" s="18">
        <v>234</v>
      </c>
      <c r="K188" s="62">
        <f>+I188-'2024-selected'!$R$48</f>
        <v>98</v>
      </c>
      <c r="L188" s="19" t="s">
        <v>107</v>
      </c>
      <c r="M188" s="19">
        <v>40800</v>
      </c>
      <c r="N188" s="19"/>
      <c r="O188" s="19"/>
      <c r="P188" s="19"/>
      <c r="Q188" s="19">
        <v>0.7216800000000001</v>
      </c>
      <c r="R188" s="19">
        <v>7478.5492227979285</v>
      </c>
      <c r="S188" s="19">
        <v>1</v>
      </c>
      <c r="T188" s="19">
        <v>0.96499999999999997</v>
      </c>
      <c r="U188" s="27">
        <f t="shared" si="4"/>
        <v>0.96499999999999997</v>
      </c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spans="1:33" hidden="1" x14ac:dyDescent="0.25">
      <c r="A189">
        <v>2024</v>
      </c>
      <c r="B189" s="19">
        <v>2</v>
      </c>
      <c r="C189" s="59" t="s">
        <v>29</v>
      </c>
      <c r="D189" s="56" t="s">
        <v>38</v>
      </c>
      <c r="E189" s="24">
        <v>3</v>
      </c>
      <c r="F189" s="24"/>
      <c r="G189" s="24"/>
      <c r="H189" s="19">
        <v>19</v>
      </c>
      <c r="I189" s="25">
        <v>45526</v>
      </c>
      <c r="J189" s="18">
        <v>234</v>
      </c>
      <c r="K189" s="62">
        <f>+I189-'2024-selected'!$R$48</f>
        <v>98</v>
      </c>
      <c r="L189" s="19" t="s">
        <v>107</v>
      </c>
      <c r="M189" s="19">
        <v>40800</v>
      </c>
      <c r="N189" s="19"/>
      <c r="O189" s="19"/>
      <c r="P189" s="19"/>
      <c r="Q189" s="19">
        <v>0.93468000000000007</v>
      </c>
      <c r="R189" s="19">
        <v>9685.8031088082917</v>
      </c>
      <c r="S189" s="19">
        <v>1</v>
      </c>
      <c r="T189" s="19">
        <v>0.96499999999999997</v>
      </c>
      <c r="U189" s="27">
        <f t="shared" si="4"/>
        <v>0.96499999999999997</v>
      </c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spans="1:33" hidden="1" x14ac:dyDescent="0.25">
      <c r="A190">
        <v>2024</v>
      </c>
      <c r="B190" s="19">
        <v>2</v>
      </c>
      <c r="C190" s="59" t="s">
        <v>31</v>
      </c>
      <c r="D190" s="56" t="s">
        <v>38</v>
      </c>
      <c r="E190" s="24">
        <v>3</v>
      </c>
      <c r="F190" s="24"/>
      <c r="G190" s="24"/>
      <c r="H190" s="19">
        <v>20</v>
      </c>
      <c r="I190" s="25">
        <v>45526</v>
      </c>
      <c r="J190" s="18">
        <v>234</v>
      </c>
      <c r="K190" s="62">
        <f>+I190-'2024-selected'!$R$48</f>
        <v>98</v>
      </c>
      <c r="L190" s="19" t="s">
        <v>107</v>
      </c>
      <c r="M190" s="19">
        <v>40800</v>
      </c>
      <c r="N190" s="19"/>
      <c r="O190" s="19"/>
      <c r="P190" s="19"/>
      <c r="Q190" s="19">
        <v>0.78068000000000004</v>
      </c>
      <c r="R190" s="19">
        <v>8089.9481865284979</v>
      </c>
      <c r="S190" s="19">
        <v>1</v>
      </c>
      <c r="T190" s="19">
        <v>0.96499999999999997</v>
      </c>
      <c r="U190" s="27">
        <f t="shared" si="4"/>
        <v>0.96499999999999997</v>
      </c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spans="1:33" hidden="1" x14ac:dyDescent="0.25">
      <c r="A191">
        <v>2024</v>
      </c>
      <c r="B191" s="19">
        <v>2</v>
      </c>
      <c r="C191" s="59" t="s">
        <v>30</v>
      </c>
      <c r="D191" s="56" t="s">
        <v>38</v>
      </c>
      <c r="E191" s="24">
        <v>3</v>
      </c>
      <c r="F191" s="24"/>
      <c r="G191" s="24"/>
      <c r="H191" s="19">
        <v>21</v>
      </c>
      <c r="I191" s="25">
        <v>45526</v>
      </c>
      <c r="J191" s="18">
        <v>234</v>
      </c>
      <c r="K191" s="62">
        <f>+I191-'2024-selected'!$R$48</f>
        <v>98</v>
      </c>
      <c r="L191" s="19" t="s">
        <v>107</v>
      </c>
      <c r="M191" s="19">
        <v>40800</v>
      </c>
      <c r="N191" s="19"/>
      <c r="O191" s="19"/>
      <c r="P191" s="19"/>
      <c r="Q191" s="19">
        <v>1.0316800000000002</v>
      </c>
      <c r="R191" s="19">
        <v>10690.984455958551</v>
      </c>
      <c r="S191" s="19">
        <v>1</v>
      </c>
      <c r="T191" s="19">
        <v>0.96499999999999997</v>
      </c>
      <c r="U191" s="27">
        <f t="shared" si="4"/>
        <v>0.96499999999999997</v>
      </c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spans="1:33" hidden="1" x14ac:dyDescent="0.25">
      <c r="A192">
        <v>2024</v>
      </c>
      <c r="B192" s="19">
        <v>2</v>
      </c>
      <c r="C192" s="59" t="s">
        <v>32</v>
      </c>
      <c r="D192" s="56" t="s">
        <v>38</v>
      </c>
      <c r="E192" s="24">
        <v>3</v>
      </c>
      <c r="F192" s="24"/>
      <c r="G192" s="24"/>
      <c r="H192" s="19">
        <v>22</v>
      </c>
      <c r="I192" s="25">
        <v>45526</v>
      </c>
      <c r="J192" s="18">
        <v>234</v>
      </c>
      <c r="K192" s="62">
        <f>+I192-'2024-selected'!$R$48</f>
        <v>98</v>
      </c>
      <c r="L192" s="19" t="s">
        <v>107</v>
      </c>
      <c r="M192" s="19">
        <v>40800</v>
      </c>
      <c r="N192" s="19"/>
      <c r="O192" s="19"/>
      <c r="P192" s="19"/>
      <c r="Q192" s="19">
        <v>0.9776800000000001</v>
      </c>
      <c r="R192" s="19">
        <v>10131.398963730571</v>
      </c>
      <c r="S192" s="19">
        <v>1</v>
      </c>
      <c r="T192" s="19">
        <v>0.96499999999999997</v>
      </c>
      <c r="U192" s="27">
        <f t="shared" si="4"/>
        <v>0.96499999999999997</v>
      </c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spans="1:33" hidden="1" x14ac:dyDescent="0.25">
      <c r="A193">
        <v>2024</v>
      </c>
      <c r="B193" s="19">
        <v>2</v>
      </c>
      <c r="C193" s="59" t="s">
        <v>28</v>
      </c>
      <c r="D193" s="56" t="s">
        <v>38</v>
      </c>
      <c r="E193" s="24">
        <v>3</v>
      </c>
      <c r="F193" s="24"/>
      <c r="G193" s="24"/>
      <c r="H193" s="19">
        <v>24</v>
      </c>
      <c r="I193" s="25">
        <v>45526</v>
      </c>
      <c r="J193" s="18">
        <v>234</v>
      </c>
      <c r="K193" s="62">
        <f>+I193-'2024-selected'!$R$48</f>
        <v>98</v>
      </c>
      <c r="L193" s="19" t="s">
        <v>107</v>
      </c>
      <c r="M193" s="19">
        <v>40800</v>
      </c>
      <c r="N193" s="19"/>
      <c r="O193" s="19"/>
      <c r="P193" s="19"/>
      <c r="Q193" s="19"/>
      <c r="R193" s="19"/>
      <c r="S193" s="19">
        <v>1</v>
      </c>
      <c r="T193" s="19">
        <v>0.96499999999999997</v>
      </c>
      <c r="U193" s="27">
        <f t="shared" si="4"/>
        <v>0.96499999999999997</v>
      </c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spans="1:33" hidden="1" x14ac:dyDescent="0.25">
      <c r="A194">
        <v>2024</v>
      </c>
      <c r="B194">
        <v>2</v>
      </c>
      <c r="C194" t="s">
        <v>27</v>
      </c>
      <c r="D194" t="s">
        <v>25</v>
      </c>
      <c r="E194">
        <v>3</v>
      </c>
      <c r="F194">
        <v>1</v>
      </c>
      <c r="G194">
        <v>3</v>
      </c>
      <c r="H194">
        <v>25</v>
      </c>
      <c r="I194" s="12">
        <v>45527</v>
      </c>
      <c r="J194">
        <v>235</v>
      </c>
      <c r="K194">
        <f>+J194-$AH$6</f>
        <v>93</v>
      </c>
      <c r="L194" t="s">
        <v>26</v>
      </c>
      <c r="M194">
        <v>37100</v>
      </c>
      <c r="P194">
        <v>0.10906</v>
      </c>
      <c r="Q194">
        <v>0.22750000000000001</v>
      </c>
      <c r="R194">
        <v>3682.2757111597375</v>
      </c>
      <c r="S194">
        <v>1</v>
      </c>
      <c r="T194">
        <v>0.91400000000000003</v>
      </c>
      <c r="U194">
        <v>0.91400000000000003</v>
      </c>
      <c r="V194">
        <v>837.34125836018245</v>
      </c>
      <c r="W194">
        <v>0</v>
      </c>
      <c r="X194" s="16">
        <v>2139.2718600685948</v>
      </c>
      <c r="Y194">
        <v>705.66259273096023</v>
      </c>
      <c r="Z194">
        <v>94.538529169698023</v>
      </c>
      <c r="AF194">
        <v>48.514000000000003</v>
      </c>
      <c r="AG194">
        <v>14.4</v>
      </c>
    </row>
    <row r="195" spans="1:33" hidden="1" x14ac:dyDescent="0.25">
      <c r="A195">
        <v>2024</v>
      </c>
      <c r="B195">
        <v>2</v>
      </c>
      <c r="C195" t="s">
        <v>24</v>
      </c>
      <c r="D195" t="s">
        <v>25</v>
      </c>
      <c r="E195">
        <v>3</v>
      </c>
      <c r="F195">
        <v>2</v>
      </c>
      <c r="G195">
        <v>3</v>
      </c>
      <c r="H195">
        <v>26</v>
      </c>
      <c r="I195" s="12">
        <v>45527</v>
      </c>
      <c r="J195">
        <v>235</v>
      </c>
      <c r="K195">
        <f>+J195-$AH$6</f>
        <v>93</v>
      </c>
      <c r="L195" t="s">
        <v>26</v>
      </c>
      <c r="M195">
        <v>37100</v>
      </c>
      <c r="P195">
        <v>0.18425999999999998</v>
      </c>
      <c r="Q195">
        <v>0.20150000000000001</v>
      </c>
      <c r="R195">
        <v>4220.5689277899337</v>
      </c>
      <c r="S195">
        <v>1</v>
      </c>
      <c r="T195">
        <v>0.91400000000000003</v>
      </c>
      <c r="U195">
        <v>0.91400000000000003</v>
      </c>
      <c r="V195">
        <v>971.19354465588412</v>
      </c>
      <c r="W195">
        <v>0</v>
      </c>
      <c r="X195" s="16">
        <v>2001.02519012118</v>
      </c>
      <c r="Y195">
        <v>1248.3501930128698</v>
      </c>
      <c r="Z195">
        <v>313.80546136286819</v>
      </c>
      <c r="AF195">
        <v>51.308</v>
      </c>
      <c r="AG195">
        <v>17</v>
      </c>
    </row>
    <row r="196" spans="1:33" hidden="1" x14ac:dyDescent="0.25">
      <c r="A196">
        <v>2024</v>
      </c>
      <c r="B196">
        <v>2</v>
      </c>
      <c r="C196" t="s">
        <v>33</v>
      </c>
      <c r="D196" t="s">
        <v>25</v>
      </c>
      <c r="E196">
        <v>3</v>
      </c>
      <c r="F196">
        <v>3</v>
      </c>
      <c r="G196">
        <v>3</v>
      </c>
      <c r="H196">
        <v>27</v>
      </c>
      <c r="I196" s="12">
        <v>45534</v>
      </c>
      <c r="J196">
        <v>242</v>
      </c>
      <c r="L196" t="s">
        <v>26</v>
      </c>
      <c r="M196">
        <v>37100</v>
      </c>
      <c r="Q196">
        <v>0.3876</v>
      </c>
      <c r="R196">
        <v>4240.7002188183806</v>
      </c>
      <c r="S196">
        <v>1</v>
      </c>
      <c r="T196">
        <v>0.91400000000000003</v>
      </c>
      <c r="U196">
        <v>0.91400000000000003</v>
      </c>
      <c r="X196" s="16"/>
    </row>
    <row r="197" spans="1:33" hidden="1" x14ac:dyDescent="0.25">
      <c r="A197">
        <v>2024</v>
      </c>
      <c r="B197">
        <v>2</v>
      </c>
      <c r="C197" t="s">
        <v>34</v>
      </c>
      <c r="D197" t="s">
        <v>25</v>
      </c>
      <c r="E197">
        <v>3</v>
      </c>
      <c r="F197">
        <v>4</v>
      </c>
      <c r="G197">
        <v>3</v>
      </c>
      <c r="H197">
        <v>28</v>
      </c>
      <c r="I197" s="12">
        <v>45527</v>
      </c>
      <c r="J197">
        <v>235</v>
      </c>
      <c r="K197">
        <f>+J197-$AH$6</f>
        <v>93</v>
      </c>
      <c r="L197" t="s">
        <v>26</v>
      </c>
      <c r="M197">
        <v>37100</v>
      </c>
      <c r="P197">
        <v>0.19736000000000001</v>
      </c>
      <c r="Q197">
        <v>0.14649999999999999</v>
      </c>
      <c r="R197">
        <v>3762.1444201312906</v>
      </c>
      <c r="S197">
        <v>1</v>
      </c>
      <c r="T197">
        <v>0.91400000000000003</v>
      </c>
      <c r="U197">
        <v>0.91400000000000003</v>
      </c>
      <c r="V197">
        <v>945.4923147472233</v>
      </c>
      <c r="W197">
        <v>5.7187035166162845</v>
      </c>
      <c r="X197" s="16">
        <v>1947.409170858394</v>
      </c>
      <c r="Y197">
        <v>863.52423100905685</v>
      </c>
      <c r="Z197">
        <v>129.62394637663547</v>
      </c>
      <c r="AF197">
        <v>40.64</v>
      </c>
      <c r="AG197">
        <v>13</v>
      </c>
    </row>
    <row r="198" spans="1:33" hidden="1" x14ac:dyDescent="0.25">
      <c r="A198">
        <v>2024</v>
      </c>
      <c r="B198">
        <v>2</v>
      </c>
      <c r="C198" t="s">
        <v>37</v>
      </c>
      <c r="D198" t="s">
        <v>25</v>
      </c>
      <c r="E198">
        <v>3</v>
      </c>
      <c r="F198">
        <v>5</v>
      </c>
      <c r="G198">
        <v>3</v>
      </c>
      <c r="H198">
        <v>29</v>
      </c>
      <c r="I198" s="12">
        <v>45527</v>
      </c>
      <c r="J198">
        <v>235</v>
      </c>
      <c r="L198" t="s">
        <v>26</v>
      </c>
      <c r="M198">
        <v>37100</v>
      </c>
      <c r="Q198">
        <v>0.52749999999999997</v>
      </c>
      <c r="R198">
        <v>5771.3347921225377</v>
      </c>
      <c r="S198">
        <v>1</v>
      </c>
      <c r="T198">
        <v>0.91400000000000003</v>
      </c>
      <c r="U198">
        <v>0.91400000000000003</v>
      </c>
      <c r="X198" s="16"/>
    </row>
    <row r="199" spans="1:33" hidden="1" x14ac:dyDescent="0.25">
      <c r="A199">
        <v>2024</v>
      </c>
      <c r="B199">
        <v>2</v>
      </c>
      <c r="C199" t="s">
        <v>36</v>
      </c>
      <c r="D199" t="s">
        <v>25</v>
      </c>
      <c r="E199">
        <v>3</v>
      </c>
      <c r="F199">
        <v>6</v>
      </c>
      <c r="G199">
        <v>3</v>
      </c>
      <c r="H199">
        <v>30</v>
      </c>
      <c r="I199" s="12">
        <v>45527</v>
      </c>
      <c r="J199">
        <v>235</v>
      </c>
      <c r="K199">
        <f>+J199-$AH$6</f>
        <v>93</v>
      </c>
      <c r="L199" t="s">
        <v>26</v>
      </c>
      <c r="M199">
        <v>37100</v>
      </c>
      <c r="P199">
        <v>0.15986</v>
      </c>
      <c r="Q199">
        <v>0.17299999999999999</v>
      </c>
      <c r="R199">
        <v>3641.7943107221004</v>
      </c>
      <c r="S199">
        <v>1</v>
      </c>
      <c r="T199">
        <v>0.91400000000000003</v>
      </c>
      <c r="U199">
        <v>0.91400000000000003</v>
      </c>
      <c r="V199">
        <v>913.52403265329815</v>
      </c>
      <c r="W199">
        <v>0</v>
      </c>
      <c r="X199" s="16">
        <v>1878.5334596656096</v>
      </c>
      <c r="Y199">
        <v>849.73681840319239</v>
      </c>
      <c r="Z199">
        <v>143.52123206273762</v>
      </c>
      <c r="AF199">
        <v>43.687999999999995</v>
      </c>
      <c r="AG199">
        <v>12</v>
      </c>
    </row>
    <row r="200" spans="1:33" hidden="1" x14ac:dyDescent="0.25">
      <c r="A200">
        <v>2024</v>
      </c>
      <c r="B200">
        <v>2</v>
      </c>
      <c r="C200" t="s">
        <v>35</v>
      </c>
      <c r="D200" t="s">
        <v>25</v>
      </c>
      <c r="E200">
        <v>3</v>
      </c>
      <c r="F200">
        <v>7</v>
      </c>
      <c r="G200">
        <v>3</v>
      </c>
      <c r="H200">
        <v>31</v>
      </c>
      <c r="I200" s="12">
        <v>45534</v>
      </c>
      <c r="J200">
        <v>242</v>
      </c>
      <c r="K200">
        <f>+J200-$AH$6</f>
        <v>100</v>
      </c>
      <c r="L200" t="s">
        <v>26</v>
      </c>
      <c r="M200">
        <v>37100</v>
      </c>
      <c r="P200">
        <v>0.11735999999999999</v>
      </c>
      <c r="Q200">
        <v>0.20849999999999999</v>
      </c>
      <c r="R200">
        <v>3565.2078774617066</v>
      </c>
      <c r="S200">
        <v>1</v>
      </c>
      <c r="T200">
        <v>0.91400000000000003</v>
      </c>
      <c r="U200">
        <v>0.91400000000000003</v>
      </c>
      <c r="V200">
        <v>504.28127782774652</v>
      </c>
      <c r="W200">
        <v>9.1135170691761633</v>
      </c>
      <c r="X200" s="16">
        <v>2161.7262488085807</v>
      </c>
      <c r="Y200">
        <v>890.08683375620319</v>
      </c>
      <c r="Z200">
        <v>404.03259006680901</v>
      </c>
      <c r="AF200">
        <v>60.198</v>
      </c>
      <c r="AG200">
        <v>15.2</v>
      </c>
    </row>
    <row r="201" spans="1:33" hidden="1" x14ac:dyDescent="0.25">
      <c r="A201">
        <v>2024</v>
      </c>
      <c r="B201">
        <v>2</v>
      </c>
      <c r="C201" t="s">
        <v>28</v>
      </c>
      <c r="D201" t="s">
        <v>25</v>
      </c>
      <c r="E201">
        <v>3</v>
      </c>
      <c r="F201">
        <v>8</v>
      </c>
      <c r="G201">
        <v>3</v>
      </c>
      <c r="H201">
        <v>32</v>
      </c>
      <c r="I201" s="12">
        <v>45527</v>
      </c>
      <c r="J201">
        <v>235</v>
      </c>
      <c r="K201">
        <f>+J201-$AH$6</f>
        <v>93</v>
      </c>
      <c r="L201" t="s">
        <v>26</v>
      </c>
      <c r="M201">
        <v>37100</v>
      </c>
      <c r="P201">
        <v>0.16166</v>
      </c>
      <c r="Q201">
        <v>0.2422</v>
      </c>
      <c r="R201">
        <v>4418.599562363238</v>
      </c>
      <c r="S201">
        <v>1</v>
      </c>
      <c r="T201">
        <v>0.91400000000000003</v>
      </c>
      <c r="U201">
        <v>0.91400000000000003</v>
      </c>
      <c r="V201">
        <v>1057.7743601599486</v>
      </c>
      <c r="W201">
        <v>0</v>
      </c>
      <c r="X201" s="16">
        <v>2691.1747674767066</v>
      </c>
      <c r="Y201">
        <v>669.6504347265826</v>
      </c>
      <c r="Z201">
        <v>49.198807449299963</v>
      </c>
      <c r="AF201">
        <v>51.562000000000005</v>
      </c>
      <c r="AG201">
        <v>14.4</v>
      </c>
    </row>
    <row r="202" spans="1:33" hidden="1" x14ac:dyDescent="0.25">
      <c r="A202">
        <v>2024</v>
      </c>
      <c r="B202">
        <v>2</v>
      </c>
      <c r="C202" t="s">
        <v>29</v>
      </c>
      <c r="D202" t="s">
        <v>25</v>
      </c>
      <c r="E202">
        <v>3</v>
      </c>
      <c r="F202">
        <v>9</v>
      </c>
      <c r="G202">
        <v>3</v>
      </c>
      <c r="H202">
        <v>33</v>
      </c>
      <c r="I202" s="12">
        <v>45534</v>
      </c>
      <c r="J202">
        <v>242</v>
      </c>
      <c r="K202">
        <f>+J202-$AH$6</f>
        <v>100</v>
      </c>
      <c r="L202" t="s">
        <v>26</v>
      </c>
      <c r="M202">
        <v>37100</v>
      </c>
      <c r="P202">
        <v>0.13735999999999998</v>
      </c>
      <c r="Q202">
        <v>0.16950000000000001</v>
      </c>
      <c r="R202">
        <v>3357.3304157549237</v>
      </c>
      <c r="S202">
        <v>1</v>
      </c>
      <c r="T202">
        <v>0.91400000000000003</v>
      </c>
      <c r="U202">
        <v>0.91400000000000003</v>
      </c>
      <c r="V202">
        <v>625.71096857401028</v>
      </c>
      <c r="W202">
        <v>7.3325504129767021</v>
      </c>
      <c r="X202" s="16">
        <v>1910.3738009275251</v>
      </c>
      <c r="Y202">
        <v>813.91309584041176</v>
      </c>
      <c r="Z202">
        <v>339.7415024679197</v>
      </c>
      <c r="AF202">
        <v>63.5</v>
      </c>
      <c r="AG202">
        <v>16.2</v>
      </c>
    </row>
    <row r="203" spans="1:33" hidden="1" x14ac:dyDescent="0.25">
      <c r="A203">
        <v>2024</v>
      </c>
      <c r="B203">
        <v>2</v>
      </c>
      <c r="C203" t="s">
        <v>31</v>
      </c>
      <c r="D203" t="s">
        <v>25</v>
      </c>
      <c r="E203">
        <v>3</v>
      </c>
      <c r="F203">
        <v>10</v>
      </c>
      <c r="G203">
        <v>3</v>
      </c>
      <c r="H203">
        <v>34</v>
      </c>
      <c r="I203" s="12">
        <v>45534</v>
      </c>
      <c r="J203">
        <v>242</v>
      </c>
      <c r="L203" t="s">
        <v>26</v>
      </c>
      <c r="M203">
        <v>37100</v>
      </c>
      <c r="Q203">
        <v>0.221</v>
      </c>
      <c r="R203">
        <v>2417.9431072210064</v>
      </c>
      <c r="S203">
        <v>1</v>
      </c>
      <c r="T203">
        <v>0.91400000000000003</v>
      </c>
      <c r="U203">
        <v>0.91400000000000003</v>
      </c>
      <c r="X203" s="16"/>
    </row>
    <row r="204" spans="1:33" hidden="1" x14ac:dyDescent="0.25">
      <c r="A204">
        <v>2024</v>
      </c>
      <c r="B204">
        <v>2</v>
      </c>
      <c r="C204" t="s">
        <v>30</v>
      </c>
      <c r="D204" t="s">
        <v>25</v>
      </c>
      <c r="E204">
        <v>3</v>
      </c>
      <c r="F204">
        <v>11</v>
      </c>
      <c r="G204">
        <v>3</v>
      </c>
      <c r="H204">
        <v>35</v>
      </c>
      <c r="I204" s="12">
        <v>45527</v>
      </c>
      <c r="J204">
        <v>235</v>
      </c>
      <c r="K204">
        <f>+J204-$AH$6</f>
        <v>93</v>
      </c>
      <c r="L204" t="s">
        <v>26</v>
      </c>
      <c r="M204">
        <v>37100</v>
      </c>
      <c r="P204">
        <v>0.13906000000000002</v>
      </c>
      <c r="Q204">
        <v>0.29149999999999998</v>
      </c>
      <c r="R204">
        <v>4710.722100656455</v>
      </c>
      <c r="S204">
        <v>1</v>
      </c>
      <c r="T204">
        <v>0.91400000000000003</v>
      </c>
      <c r="U204">
        <v>0.91400000000000003</v>
      </c>
      <c r="V204">
        <v>1104.3401444081721</v>
      </c>
      <c r="W204">
        <v>0</v>
      </c>
      <c r="X204" s="16">
        <v>2918.7100258346045</v>
      </c>
      <c r="Y204">
        <v>687.67193041367773</v>
      </c>
      <c r="Z204">
        <v>138.88940466483152</v>
      </c>
      <c r="AF204">
        <v>64.515999999999991</v>
      </c>
      <c r="AG204">
        <v>17</v>
      </c>
    </row>
    <row r="205" spans="1:33" hidden="1" x14ac:dyDescent="0.25">
      <c r="A205">
        <v>2024</v>
      </c>
      <c r="B205">
        <v>2</v>
      </c>
      <c r="C205" t="s">
        <v>32</v>
      </c>
      <c r="D205" t="s">
        <v>25</v>
      </c>
      <c r="E205">
        <v>3</v>
      </c>
      <c r="F205">
        <v>12</v>
      </c>
      <c r="G205">
        <v>3</v>
      </c>
      <c r="H205">
        <v>36</v>
      </c>
      <c r="I205" s="12">
        <v>45534</v>
      </c>
      <c r="J205">
        <v>242</v>
      </c>
      <c r="L205" t="s">
        <v>26</v>
      </c>
      <c r="M205">
        <v>37100</v>
      </c>
      <c r="Q205">
        <v>0.47489999999999999</v>
      </c>
      <c r="R205">
        <v>5195.8424507658638</v>
      </c>
      <c r="S205">
        <v>1</v>
      </c>
      <c r="T205">
        <v>0.91400000000000003</v>
      </c>
      <c r="U205">
        <v>0.91400000000000003</v>
      </c>
      <c r="X205" s="16"/>
    </row>
    <row r="206" spans="1:33" hidden="1" x14ac:dyDescent="0.25">
      <c r="A206">
        <v>2024</v>
      </c>
      <c r="B206">
        <v>2</v>
      </c>
      <c r="C206" t="s">
        <v>24</v>
      </c>
      <c r="D206" t="s">
        <v>38</v>
      </c>
      <c r="E206">
        <v>4</v>
      </c>
      <c r="F206">
        <v>1</v>
      </c>
      <c r="G206">
        <v>4</v>
      </c>
      <c r="H206">
        <v>37</v>
      </c>
      <c r="I206" s="12">
        <v>45527</v>
      </c>
      <c r="J206">
        <v>235</v>
      </c>
      <c r="K206">
        <f>+J206-$AH$6</f>
        <v>93</v>
      </c>
      <c r="L206" t="s">
        <v>26</v>
      </c>
      <c r="M206">
        <v>37100</v>
      </c>
      <c r="P206">
        <v>0.18896000000000002</v>
      </c>
      <c r="Q206">
        <v>0.46250000000000002</v>
      </c>
      <c r="R206">
        <v>7127.5711159737421</v>
      </c>
      <c r="S206">
        <v>1</v>
      </c>
      <c r="T206">
        <v>0.91400000000000003</v>
      </c>
      <c r="U206">
        <v>0.91400000000000003</v>
      </c>
      <c r="V206">
        <v>1538.9759818571586</v>
      </c>
      <c r="W206">
        <v>26.40399968872573</v>
      </c>
      <c r="X206" s="16">
        <v>3585.6631577289577</v>
      </c>
      <c r="Y206">
        <v>1976.527976698899</v>
      </c>
      <c r="Z206">
        <v>818.52399035049848</v>
      </c>
      <c r="AF206">
        <v>62.230000000000004</v>
      </c>
      <c r="AG206">
        <v>16.2</v>
      </c>
    </row>
    <row r="207" spans="1:33" hidden="1" x14ac:dyDescent="0.25">
      <c r="A207">
        <v>2024</v>
      </c>
      <c r="B207">
        <v>2</v>
      </c>
      <c r="C207" t="s">
        <v>27</v>
      </c>
      <c r="D207" t="s">
        <v>38</v>
      </c>
      <c r="E207">
        <v>4</v>
      </c>
      <c r="F207">
        <v>2</v>
      </c>
      <c r="G207">
        <v>4</v>
      </c>
      <c r="H207">
        <v>38</v>
      </c>
      <c r="I207" s="12">
        <v>45527</v>
      </c>
      <c r="J207">
        <v>235</v>
      </c>
      <c r="K207">
        <f>+J207-$AH$6</f>
        <v>93</v>
      </c>
      <c r="L207" t="s">
        <v>26</v>
      </c>
      <c r="M207">
        <v>37100</v>
      </c>
      <c r="P207">
        <v>0.21686</v>
      </c>
      <c r="Q207">
        <v>0.4345</v>
      </c>
      <c r="R207">
        <v>7126.4770240700209</v>
      </c>
      <c r="S207">
        <v>1</v>
      </c>
      <c r="T207">
        <v>0.91400000000000003</v>
      </c>
      <c r="U207">
        <v>0.91400000000000003</v>
      </c>
      <c r="V207">
        <v>1436.0741766663284</v>
      </c>
      <c r="W207">
        <v>13.144843722346323</v>
      </c>
      <c r="X207" s="16">
        <v>4178.7458193338734</v>
      </c>
      <c r="Y207">
        <v>1498.5121843474726</v>
      </c>
      <c r="Z207">
        <v>381.20046794804136</v>
      </c>
      <c r="AF207">
        <v>98.298000000000002</v>
      </c>
      <c r="AG207">
        <v>20</v>
      </c>
    </row>
    <row r="208" spans="1:33" hidden="1" x14ac:dyDescent="0.25">
      <c r="A208">
        <v>2024</v>
      </c>
      <c r="B208">
        <v>2</v>
      </c>
      <c r="C208" t="s">
        <v>28</v>
      </c>
      <c r="D208" t="s">
        <v>38</v>
      </c>
      <c r="E208">
        <v>4</v>
      </c>
      <c r="F208">
        <v>3</v>
      </c>
      <c r="G208">
        <v>4</v>
      </c>
      <c r="H208">
        <v>39</v>
      </c>
      <c r="I208" s="12">
        <v>45527</v>
      </c>
      <c r="J208">
        <v>235</v>
      </c>
      <c r="K208">
        <f>+J208-$AH$6</f>
        <v>93</v>
      </c>
      <c r="L208" t="s">
        <v>26</v>
      </c>
      <c r="M208">
        <v>37100</v>
      </c>
      <c r="P208">
        <v>0.23416000000000001</v>
      </c>
      <c r="Q208">
        <v>0.4849</v>
      </c>
      <c r="R208">
        <v>7867.1772428884024</v>
      </c>
      <c r="S208">
        <v>1</v>
      </c>
      <c r="T208">
        <v>0.91400000000000003</v>
      </c>
      <c r="U208">
        <v>0.91400000000000003</v>
      </c>
      <c r="V208">
        <v>1824.3411525830211</v>
      </c>
      <c r="W208">
        <v>16.798721478665019</v>
      </c>
      <c r="X208" s="16">
        <v>4813.1696780671018</v>
      </c>
      <c r="Y208">
        <v>1212.8676907596141</v>
      </c>
      <c r="Z208">
        <v>137.74951612505319</v>
      </c>
      <c r="AF208">
        <v>62.738</v>
      </c>
      <c r="AG208">
        <v>12.6</v>
      </c>
    </row>
    <row r="209" spans="1:33" hidden="1" x14ac:dyDescent="0.25">
      <c r="A209">
        <v>2024</v>
      </c>
      <c r="B209">
        <v>2</v>
      </c>
      <c r="C209" t="s">
        <v>29</v>
      </c>
      <c r="D209" t="s">
        <v>38</v>
      </c>
      <c r="E209">
        <v>4</v>
      </c>
      <c r="F209">
        <v>4</v>
      </c>
      <c r="G209">
        <v>4</v>
      </c>
      <c r="H209">
        <v>40</v>
      </c>
      <c r="I209" s="12">
        <v>45534</v>
      </c>
      <c r="J209">
        <v>242</v>
      </c>
      <c r="K209">
        <f>+J209-$AH$6</f>
        <v>100</v>
      </c>
      <c r="L209" t="s">
        <v>26</v>
      </c>
      <c r="M209">
        <v>37100</v>
      </c>
      <c r="P209">
        <v>0.16805999999999999</v>
      </c>
      <c r="Q209">
        <v>0.48049999999999998</v>
      </c>
      <c r="R209">
        <v>7095.8424507658647</v>
      </c>
      <c r="S209">
        <v>1</v>
      </c>
      <c r="T209">
        <v>0.91400000000000003</v>
      </c>
      <c r="U209">
        <v>0.91400000000000003</v>
      </c>
      <c r="V209">
        <v>1123.1072782956803</v>
      </c>
      <c r="W209">
        <v>0</v>
      </c>
      <c r="X209" s="16">
        <v>4482.2958144311806</v>
      </c>
      <c r="Y209">
        <v>1490.4393580390042</v>
      </c>
      <c r="Z209">
        <v>612.22013290554014</v>
      </c>
      <c r="AF209">
        <v>90.424000000000007</v>
      </c>
      <c r="AG209">
        <v>17.600000000000001</v>
      </c>
    </row>
    <row r="210" spans="1:33" hidden="1" x14ac:dyDescent="0.25">
      <c r="A210">
        <v>2024</v>
      </c>
      <c r="B210">
        <v>2</v>
      </c>
      <c r="C210" t="s">
        <v>30</v>
      </c>
      <c r="D210" t="s">
        <v>38</v>
      </c>
      <c r="E210">
        <v>4</v>
      </c>
      <c r="F210">
        <v>5</v>
      </c>
      <c r="G210">
        <v>4</v>
      </c>
      <c r="H210">
        <v>41</v>
      </c>
      <c r="I210" s="12">
        <v>45527</v>
      </c>
      <c r="J210">
        <v>235</v>
      </c>
      <c r="K210">
        <f>+J210-$AH$6</f>
        <v>93</v>
      </c>
      <c r="L210" t="s">
        <v>26</v>
      </c>
      <c r="M210">
        <v>37100</v>
      </c>
      <c r="P210">
        <v>0.20405999999999999</v>
      </c>
      <c r="Q210">
        <v>0.55249999999999999</v>
      </c>
      <c r="R210">
        <v>8277.4617067833697</v>
      </c>
      <c r="S210">
        <v>1</v>
      </c>
      <c r="T210">
        <v>0.91400000000000003</v>
      </c>
      <c r="U210">
        <v>0.91400000000000003</v>
      </c>
      <c r="V210">
        <v>1403.5096297888101</v>
      </c>
      <c r="W210">
        <v>0</v>
      </c>
      <c r="X210" s="16">
        <v>5604.3031922434111</v>
      </c>
      <c r="Y210">
        <v>1269.6488847511491</v>
      </c>
      <c r="Z210">
        <v>478.65357316497</v>
      </c>
      <c r="AF210">
        <v>105.15599999999999</v>
      </c>
      <c r="AG210">
        <v>17.600000000000001</v>
      </c>
    </row>
    <row r="211" spans="1:33" hidden="1" x14ac:dyDescent="0.25">
      <c r="A211">
        <v>2024</v>
      </c>
      <c r="B211">
        <v>2</v>
      </c>
      <c r="C211" t="s">
        <v>31</v>
      </c>
      <c r="D211" t="s">
        <v>38</v>
      </c>
      <c r="E211">
        <v>4</v>
      </c>
      <c r="F211">
        <v>6</v>
      </c>
      <c r="G211">
        <v>4</v>
      </c>
      <c r="H211">
        <v>42</v>
      </c>
      <c r="I211" s="12">
        <v>45534</v>
      </c>
      <c r="J211">
        <v>242</v>
      </c>
      <c r="L211" t="s">
        <v>26</v>
      </c>
      <c r="M211">
        <v>37100</v>
      </c>
      <c r="Q211">
        <v>0.91259999999999986</v>
      </c>
      <c r="R211">
        <v>9984.6827133479183</v>
      </c>
      <c r="S211">
        <v>1</v>
      </c>
      <c r="T211">
        <v>0.91400000000000003</v>
      </c>
      <c r="U211">
        <v>0.91400000000000003</v>
      </c>
      <c r="X211" s="16"/>
    </row>
    <row r="212" spans="1:33" hidden="1" x14ac:dyDescent="0.25">
      <c r="A212">
        <v>2024</v>
      </c>
      <c r="B212">
        <v>2</v>
      </c>
      <c r="C212" t="s">
        <v>32</v>
      </c>
      <c r="D212" t="s">
        <v>38</v>
      </c>
      <c r="E212">
        <v>4</v>
      </c>
      <c r="F212">
        <v>7</v>
      </c>
      <c r="G212">
        <v>4</v>
      </c>
      <c r="H212">
        <v>43</v>
      </c>
      <c r="I212" s="12">
        <v>45534</v>
      </c>
      <c r="J212">
        <v>242</v>
      </c>
      <c r="L212" t="s">
        <v>26</v>
      </c>
      <c r="M212">
        <v>37100</v>
      </c>
      <c r="Q212">
        <v>0.8417</v>
      </c>
      <c r="R212">
        <v>9208.9715536105032</v>
      </c>
      <c r="S212">
        <v>1</v>
      </c>
      <c r="T212">
        <v>0.91400000000000003</v>
      </c>
      <c r="U212">
        <v>0.91400000000000003</v>
      </c>
      <c r="X212" s="16"/>
    </row>
    <row r="213" spans="1:33" hidden="1" x14ac:dyDescent="0.25">
      <c r="A213">
        <v>2024</v>
      </c>
      <c r="B213">
        <v>2</v>
      </c>
      <c r="C213" t="s">
        <v>33</v>
      </c>
      <c r="D213" t="s">
        <v>38</v>
      </c>
      <c r="E213">
        <v>4</v>
      </c>
      <c r="F213">
        <v>8</v>
      </c>
      <c r="G213">
        <v>4</v>
      </c>
      <c r="H213">
        <v>44</v>
      </c>
      <c r="I213" s="12">
        <v>45534</v>
      </c>
      <c r="J213">
        <v>242</v>
      </c>
      <c r="L213" t="s">
        <v>26</v>
      </c>
      <c r="M213">
        <v>37100</v>
      </c>
      <c r="Q213">
        <v>0.87779999999999991</v>
      </c>
      <c r="R213">
        <v>9603.9387308533915</v>
      </c>
      <c r="S213">
        <v>1</v>
      </c>
      <c r="T213">
        <v>0.91400000000000003</v>
      </c>
      <c r="U213">
        <v>0.91400000000000003</v>
      </c>
      <c r="X213" s="16"/>
    </row>
    <row r="214" spans="1:33" hidden="1" x14ac:dyDescent="0.25">
      <c r="A214">
        <v>2024</v>
      </c>
      <c r="B214">
        <v>2</v>
      </c>
      <c r="C214" t="s">
        <v>34</v>
      </c>
      <c r="D214" t="s">
        <v>38</v>
      </c>
      <c r="E214">
        <v>4</v>
      </c>
      <c r="F214">
        <v>9</v>
      </c>
      <c r="G214">
        <v>4</v>
      </c>
      <c r="H214">
        <v>45</v>
      </c>
      <c r="I214" s="12">
        <v>45527</v>
      </c>
      <c r="J214">
        <v>235</v>
      </c>
      <c r="K214">
        <f>+J214-$AH$6</f>
        <v>93</v>
      </c>
      <c r="L214" t="s">
        <v>26</v>
      </c>
      <c r="M214">
        <v>37100</v>
      </c>
      <c r="P214">
        <v>0.28226000000000001</v>
      </c>
      <c r="Q214">
        <v>0.26450000000000001</v>
      </c>
      <c r="R214">
        <v>5982.0568927789936</v>
      </c>
      <c r="S214">
        <v>1</v>
      </c>
      <c r="T214">
        <v>0.91400000000000003</v>
      </c>
      <c r="U214">
        <v>0.91400000000000003</v>
      </c>
      <c r="V214">
        <v>1352.1406850396791</v>
      </c>
      <c r="W214">
        <v>36.028827030837824</v>
      </c>
      <c r="X214" s="16">
        <v>2896.2938247260586</v>
      </c>
      <c r="Y214">
        <v>1697.5935559824181</v>
      </c>
      <c r="Z214">
        <v>358.16892754185858</v>
      </c>
      <c r="AF214">
        <v>49.53</v>
      </c>
      <c r="AG214">
        <v>13.6</v>
      </c>
    </row>
    <row r="215" spans="1:33" hidden="1" x14ac:dyDescent="0.25">
      <c r="A215">
        <v>2024</v>
      </c>
      <c r="B215">
        <v>2</v>
      </c>
      <c r="C215" t="s">
        <v>35</v>
      </c>
      <c r="D215" t="s">
        <v>38</v>
      </c>
      <c r="E215">
        <v>4</v>
      </c>
      <c r="F215">
        <v>10</v>
      </c>
      <c r="G215">
        <v>4</v>
      </c>
      <c r="H215">
        <v>46</v>
      </c>
      <c r="I215" s="12">
        <v>45534</v>
      </c>
      <c r="J215">
        <v>242</v>
      </c>
      <c r="K215">
        <f>+J215-$AH$6</f>
        <v>100</v>
      </c>
      <c r="L215" t="s">
        <v>26</v>
      </c>
      <c r="M215">
        <v>37100</v>
      </c>
      <c r="P215">
        <v>0.33935999999999999</v>
      </c>
      <c r="Q215">
        <v>0.16750000000000001</v>
      </c>
      <c r="R215">
        <v>5545.5142231947475</v>
      </c>
      <c r="S215">
        <v>1</v>
      </c>
      <c r="T215">
        <v>0.91400000000000003</v>
      </c>
      <c r="U215">
        <v>0.91400000000000003</v>
      </c>
      <c r="V215">
        <v>483.6964315374957</v>
      </c>
      <c r="W215">
        <v>102.94890265831835</v>
      </c>
      <c r="X215" s="16">
        <v>2437.4378286531369</v>
      </c>
      <c r="Y215">
        <v>2521.4310603457971</v>
      </c>
      <c r="Z215">
        <v>1238.65505103183</v>
      </c>
      <c r="AF215">
        <v>68.072000000000003</v>
      </c>
      <c r="AG215">
        <v>13.6</v>
      </c>
    </row>
    <row r="216" spans="1:33" hidden="1" x14ac:dyDescent="0.25">
      <c r="A216">
        <v>2024</v>
      </c>
      <c r="B216">
        <v>2</v>
      </c>
      <c r="C216" t="s">
        <v>36</v>
      </c>
      <c r="D216" t="s">
        <v>38</v>
      </c>
      <c r="E216">
        <v>4</v>
      </c>
      <c r="F216">
        <v>11</v>
      </c>
      <c r="G216">
        <v>4</v>
      </c>
      <c r="H216">
        <v>47</v>
      </c>
      <c r="I216" s="12">
        <v>45527</v>
      </c>
      <c r="J216">
        <v>235</v>
      </c>
      <c r="K216">
        <f>+J216-$AH$6</f>
        <v>93</v>
      </c>
      <c r="L216" t="s">
        <v>26</v>
      </c>
      <c r="M216">
        <v>37100</v>
      </c>
      <c r="P216">
        <v>0.24906</v>
      </c>
      <c r="Q216">
        <v>0.3715</v>
      </c>
      <c r="R216">
        <v>6789.4967177242888</v>
      </c>
      <c r="S216">
        <v>1</v>
      </c>
      <c r="T216">
        <v>0.91400000000000003</v>
      </c>
      <c r="U216">
        <v>0.91400000000000003</v>
      </c>
      <c r="V216">
        <v>1270.3386615512402</v>
      </c>
      <c r="W216">
        <v>0</v>
      </c>
      <c r="X216" s="16">
        <v>3030.2756570393958</v>
      </c>
      <c r="Y216">
        <v>2488.8823991336526</v>
      </c>
      <c r="Z216">
        <v>1095.8715492351901</v>
      </c>
      <c r="AF216">
        <v>57.404000000000003</v>
      </c>
      <c r="AG216">
        <v>14.8</v>
      </c>
    </row>
    <row r="217" spans="1:33" hidden="1" x14ac:dyDescent="0.25">
      <c r="A217">
        <v>2024</v>
      </c>
      <c r="B217">
        <v>2</v>
      </c>
      <c r="C217" t="s">
        <v>37</v>
      </c>
      <c r="D217" t="s">
        <v>38</v>
      </c>
      <c r="E217">
        <v>4</v>
      </c>
      <c r="F217">
        <v>12</v>
      </c>
      <c r="G217">
        <v>4</v>
      </c>
      <c r="H217">
        <v>48</v>
      </c>
      <c r="I217" s="12">
        <v>45527</v>
      </c>
      <c r="J217">
        <v>235</v>
      </c>
      <c r="K217">
        <f>+J217-$AH$6</f>
        <v>93</v>
      </c>
      <c r="L217" t="s">
        <v>26</v>
      </c>
      <c r="M217">
        <v>37100</v>
      </c>
      <c r="P217">
        <v>0.29605999999999999</v>
      </c>
      <c r="Q217">
        <v>0.2984</v>
      </c>
      <c r="R217">
        <v>6503.9387308533906</v>
      </c>
      <c r="S217">
        <v>1</v>
      </c>
      <c r="T217">
        <v>0.91400000000000003</v>
      </c>
      <c r="U217">
        <v>0.91400000000000003</v>
      </c>
      <c r="V217">
        <v>1518.0104245827511</v>
      </c>
      <c r="W217">
        <v>83.479589195578228</v>
      </c>
      <c r="X217" s="16">
        <v>3050.5199357099968</v>
      </c>
      <c r="Y217">
        <v>1851.928781365064</v>
      </c>
      <c r="Z217">
        <v>573.37296789594495</v>
      </c>
      <c r="AF217">
        <v>89.661999999999992</v>
      </c>
      <c r="AG217">
        <v>15.4</v>
      </c>
    </row>
    <row r="218" spans="1:33" hidden="1" x14ac:dyDescent="0.25">
      <c r="A218">
        <v>2024</v>
      </c>
      <c r="B218">
        <v>2</v>
      </c>
      <c r="C218" t="s">
        <v>35</v>
      </c>
      <c r="D218" t="s">
        <v>38</v>
      </c>
      <c r="E218">
        <v>5</v>
      </c>
      <c r="F218">
        <v>1</v>
      </c>
      <c r="G218">
        <v>5</v>
      </c>
      <c r="H218">
        <v>49</v>
      </c>
      <c r="I218" s="12">
        <v>45534</v>
      </c>
      <c r="J218">
        <v>242</v>
      </c>
      <c r="K218">
        <f>+J218-$AH$6</f>
        <v>100</v>
      </c>
      <c r="L218" t="s">
        <v>26</v>
      </c>
      <c r="M218">
        <v>37100</v>
      </c>
      <c r="P218">
        <v>0.25335999999999997</v>
      </c>
      <c r="Q218">
        <v>0.28949999999999998</v>
      </c>
      <c r="R218">
        <v>5939.3873085339146</v>
      </c>
      <c r="S218">
        <v>1</v>
      </c>
      <c r="T218">
        <v>0.91400000000000003</v>
      </c>
      <c r="U218">
        <v>0.91400000000000003</v>
      </c>
      <c r="V218">
        <v>1115.8621561659866</v>
      </c>
      <c r="W218">
        <v>30.475226954113097</v>
      </c>
      <c r="X218" s="16">
        <v>3567.008102567574</v>
      </c>
      <c r="Y218">
        <v>1226.0418228462415</v>
      </c>
      <c r="Z218">
        <v>335.22749649524388</v>
      </c>
      <c r="AF218">
        <v>85.344000000000008</v>
      </c>
      <c r="AG218">
        <v>13.8</v>
      </c>
    </row>
    <row r="219" spans="1:33" hidden="1" x14ac:dyDescent="0.25">
      <c r="A219">
        <v>2024</v>
      </c>
      <c r="B219">
        <v>2</v>
      </c>
      <c r="C219" t="s">
        <v>33</v>
      </c>
      <c r="D219" t="s">
        <v>38</v>
      </c>
      <c r="E219">
        <v>5</v>
      </c>
      <c r="F219">
        <v>2</v>
      </c>
      <c r="G219">
        <v>5</v>
      </c>
      <c r="H219">
        <v>50</v>
      </c>
      <c r="I219" s="12">
        <v>45534</v>
      </c>
      <c r="J219">
        <v>242</v>
      </c>
      <c r="L219" t="s">
        <v>26</v>
      </c>
      <c r="M219">
        <v>37100</v>
      </c>
      <c r="Q219">
        <v>0.86359999999999992</v>
      </c>
      <c r="R219">
        <v>9448.5776805251644</v>
      </c>
      <c r="S219">
        <v>1</v>
      </c>
      <c r="T219">
        <v>0.91400000000000003</v>
      </c>
      <c r="U219">
        <v>0.91400000000000003</v>
      </c>
      <c r="X219" s="16"/>
    </row>
    <row r="220" spans="1:33" hidden="1" x14ac:dyDescent="0.25">
      <c r="A220">
        <v>2024</v>
      </c>
      <c r="B220">
        <v>2</v>
      </c>
      <c r="C220" t="s">
        <v>34</v>
      </c>
      <c r="D220" t="s">
        <v>38</v>
      </c>
      <c r="E220">
        <v>5</v>
      </c>
      <c r="F220">
        <v>3</v>
      </c>
      <c r="G220">
        <v>5</v>
      </c>
      <c r="H220">
        <v>51</v>
      </c>
      <c r="I220" s="12">
        <v>45527</v>
      </c>
      <c r="J220">
        <v>235</v>
      </c>
      <c r="K220">
        <f>+J220-$AH$6</f>
        <v>93</v>
      </c>
      <c r="L220" t="s">
        <v>26</v>
      </c>
      <c r="M220">
        <v>37100</v>
      </c>
      <c r="P220">
        <v>0.18106</v>
      </c>
      <c r="Q220">
        <v>0.20949999999999999</v>
      </c>
      <c r="R220">
        <v>4273.0853391684905</v>
      </c>
      <c r="S220">
        <v>1</v>
      </c>
      <c r="T220">
        <v>0.91400000000000003</v>
      </c>
      <c r="U220">
        <v>0.91400000000000003</v>
      </c>
      <c r="V220">
        <v>674.97095272406295</v>
      </c>
      <c r="W220">
        <v>0</v>
      </c>
      <c r="X220" s="16">
        <v>2340.2139745495829</v>
      </c>
      <c r="Y220">
        <v>1257.9004118948446</v>
      </c>
      <c r="Z220">
        <v>172.2827956253727</v>
      </c>
      <c r="AF220">
        <v>36.576000000000001</v>
      </c>
      <c r="AG220">
        <v>8.8000000000000007</v>
      </c>
    </row>
    <row r="221" spans="1:33" hidden="1" x14ac:dyDescent="0.25">
      <c r="A221">
        <v>2024</v>
      </c>
      <c r="B221">
        <v>2</v>
      </c>
      <c r="C221" t="s">
        <v>27</v>
      </c>
      <c r="D221" t="s">
        <v>38</v>
      </c>
      <c r="E221">
        <v>5</v>
      </c>
      <c r="F221">
        <v>4</v>
      </c>
      <c r="G221">
        <v>5</v>
      </c>
      <c r="H221">
        <v>52</v>
      </c>
      <c r="I221" s="12">
        <v>45527</v>
      </c>
      <c r="J221">
        <v>235</v>
      </c>
      <c r="K221">
        <f>+J221-$AH$6</f>
        <v>93</v>
      </c>
      <c r="L221" t="s">
        <v>26</v>
      </c>
      <c r="M221">
        <v>37100</v>
      </c>
      <c r="P221">
        <v>0.26726</v>
      </c>
      <c r="Q221">
        <v>0.62050000000000005</v>
      </c>
      <c r="R221">
        <v>9712.9102844638946</v>
      </c>
      <c r="S221">
        <v>1</v>
      </c>
      <c r="T221">
        <v>0.91400000000000003</v>
      </c>
      <c r="U221">
        <v>0.91400000000000003</v>
      </c>
      <c r="V221">
        <v>1886.1784171356587</v>
      </c>
      <c r="W221">
        <v>0</v>
      </c>
      <c r="X221" s="16">
        <v>5377.2439036491724</v>
      </c>
      <c r="Y221">
        <v>2449.4879636790633</v>
      </c>
      <c r="Z221">
        <v>850.41570252359179</v>
      </c>
      <c r="AF221">
        <v>96.52</v>
      </c>
      <c r="AG221">
        <v>21.4</v>
      </c>
    </row>
    <row r="222" spans="1:33" hidden="1" x14ac:dyDescent="0.25">
      <c r="A222">
        <v>2024</v>
      </c>
      <c r="B222">
        <v>2</v>
      </c>
      <c r="C222" t="s">
        <v>32</v>
      </c>
      <c r="D222" t="s">
        <v>38</v>
      </c>
      <c r="E222">
        <v>5</v>
      </c>
      <c r="F222">
        <v>5</v>
      </c>
      <c r="G222">
        <v>5</v>
      </c>
      <c r="H222">
        <v>53</v>
      </c>
      <c r="I222" s="12">
        <v>45534</v>
      </c>
      <c r="J222">
        <v>242</v>
      </c>
      <c r="L222" t="s">
        <v>26</v>
      </c>
      <c r="M222">
        <v>37100</v>
      </c>
      <c r="Q222">
        <v>0.80829999999999991</v>
      </c>
      <c r="R222">
        <v>8843.5448577680509</v>
      </c>
      <c r="S222">
        <v>1</v>
      </c>
      <c r="T222">
        <v>0.91400000000000003</v>
      </c>
      <c r="U222">
        <v>0.91400000000000003</v>
      </c>
      <c r="X222" s="16"/>
    </row>
    <row r="223" spans="1:33" hidden="1" x14ac:dyDescent="0.25">
      <c r="A223">
        <v>2024</v>
      </c>
      <c r="B223">
        <v>2</v>
      </c>
      <c r="C223" t="s">
        <v>29</v>
      </c>
      <c r="D223" t="s">
        <v>38</v>
      </c>
      <c r="E223">
        <v>5</v>
      </c>
      <c r="F223">
        <v>6</v>
      </c>
      <c r="G223">
        <v>5</v>
      </c>
      <c r="H223">
        <v>54</v>
      </c>
      <c r="I223" s="12">
        <v>45534</v>
      </c>
      <c r="J223">
        <v>242</v>
      </c>
      <c r="K223">
        <f>+J223-$AH$6</f>
        <v>100</v>
      </c>
      <c r="L223" t="s">
        <v>26</v>
      </c>
      <c r="M223">
        <v>37100</v>
      </c>
      <c r="P223">
        <v>0.16636000000000001</v>
      </c>
      <c r="Q223">
        <v>0.51649999999999996</v>
      </c>
      <c r="R223">
        <v>7471.1159737417947</v>
      </c>
      <c r="S223">
        <v>1</v>
      </c>
      <c r="T223">
        <v>0.91400000000000003</v>
      </c>
      <c r="U223">
        <v>0.91400000000000003</v>
      </c>
      <c r="V223">
        <v>970.04150656902368</v>
      </c>
      <c r="W223">
        <v>13.472798702347582</v>
      </c>
      <c r="X223" s="16">
        <v>4722.6650384628947</v>
      </c>
      <c r="Y223">
        <v>1764.9366300075287</v>
      </c>
      <c r="Z223">
        <v>947.58684206511089</v>
      </c>
      <c r="AF223">
        <v>104.14</v>
      </c>
      <c r="AG223">
        <v>19.2</v>
      </c>
    </row>
    <row r="224" spans="1:33" hidden="1" x14ac:dyDescent="0.25">
      <c r="A224">
        <v>2024</v>
      </c>
      <c r="B224">
        <v>2</v>
      </c>
      <c r="C224" t="s">
        <v>30</v>
      </c>
      <c r="D224" t="s">
        <v>38</v>
      </c>
      <c r="E224">
        <v>5</v>
      </c>
      <c r="F224">
        <v>7</v>
      </c>
      <c r="G224">
        <v>5</v>
      </c>
      <c r="H224">
        <v>55</v>
      </c>
      <c r="I224" s="12">
        <v>45527</v>
      </c>
      <c r="J224">
        <v>235</v>
      </c>
      <c r="K224">
        <f>+J224-$AH$6</f>
        <v>93</v>
      </c>
      <c r="L224" t="s">
        <v>26</v>
      </c>
      <c r="M224">
        <v>37100</v>
      </c>
      <c r="P224">
        <v>0.22006000000000001</v>
      </c>
      <c r="Q224">
        <v>0.57050000000000001</v>
      </c>
      <c r="R224">
        <v>8649.4529540481399</v>
      </c>
      <c r="S224">
        <v>1</v>
      </c>
      <c r="T224">
        <v>0.91400000000000003</v>
      </c>
      <c r="U224">
        <v>0.91400000000000003</v>
      </c>
      <c r="V224">
        <v>1910.2218193526294</v>
      </c>
      <c r="W224">
        <v>0</v>
      </c>
      <c r="X224" s="16">
        <v>5391.0704679507544</v>
      </c>
      <c r="Y224">
        <v>1348.1606667447568</v>
      </c>
      <c r="Z224">
        <v>353.74478136159797</v>
      </c>
      <c r="AF224">
        <v>99.06</v>
      </c>
      <c r="AG224">
        <v>19</v>
      </c>
    </row>
    <row r="225" spans="1:33" hidden="1" x14ac:dyDescent="0.25">
      <c r="A225">
        <v>2024</v>
      </c>
      <c r="B225">
        <v>2</v>
      </c>
      <c r="C225" t="s">
        <v>36</v>
      </c>
      <c r="D225" t="s">
        <v>38</v>
      </c>
      <c r="E225">
        <v>5</v>
      </c>
      <c r="F225">
        <v>8</v>
      </c>
      <c r="G225">
        <v>5</v>
      </c>
      <c r="H225">
        <v>56</v>
      </c>
      <c r="I225" s="12">
        <v>45527</v>
      </c>
      <c r="J225">
        <v>235</v>
      </c>
      <c r="K225">
        <f>+J225-$AH$6</f>
        <v>93</v>
      </c>
      <c r="L225" t="s">
        <v>26</v>
      </c>
      <c r="M225">
        <v>37100</v>
      </c>
      <c r="P225">
        <v>0.22136</v>
      </c>
      <c r="Q225">
        <v>0.31950000000000001</v>
      </c>
      <c r="R225">
        <v>5917.5054704595186</v>
      </c>
      <c r="S225">
        <v>1</v>
      </c>
      <c r="T225">
        <v>0.91400000000000003</v>
      </c>
      <c r="U225">
        <v>0.91400000000000003</v>
      </c>
      <c r="V225">
        <v>898.21188926382297</v>
      </c>
      <c r="W225">
        <v>8.0197490112841532</v>
      </c>
      <c r="X225" s="16">
        <v>2650.7943731964483</v>
      </c>
      <c r="Y225">
        <v>2360.479458987963</v>
      </c>
      <c r="Z225">
        <v>1066.6266185007898</v>
      </c>
      <c r="AF225">
        <v>55.372</v>
      </c>
      <c r="AG225">
        <v>13.6</v>
      </c>
    </row>
    <row r="226" spans="1:33" hidden="1" x14ac:dyDescent="0.25">
      <c r="A226">
        <v>2024</v>
      </c>
      <c r="B226">
        <v>2</v>
      </c>
      <c r="C226" t="s">
        <v>24</v>
      </c>
      <c r="D226" t="s">
        <v>38</v>
      </c>
      <c r="E226">
        <v>5</v>
      </c>
      <c r="F226">
        <v>9</v>
      </c>
      <c r="G226">
        <v>5</v>
      </c>
      <c r="H226">
        <v>57</v>
      </c>
      <c r="I226" s="12">
        <v>45527</v>
      </c>
      <c r="J226">
        <v>235</v>
      </c>
      <c r="L226" t="s">
        <v>26</v>
      </c>
      <c r="M226">
        <v>37100</v>
      </c>
      <c r="Q226">
        <v>0.60150000000000003</v>
      </c>
      <c r="R226">
        <v>6580.9628008752734</v>
      </c>
      <c r="S226">
        <v>1</v>
      </c>
      <c r="T226">
        <v>0.91400000000000003</v>
      </c>
      <c r="U226">
        <v>0.91400000000000003</v>
      </c>
      <c r="X226" s="16"/>
    </row>
    <row r="227" spans="1:33" hidden="1" x14ac:dyDescent="0.25">
      <c r="A227">
        <v>2024</v>
      </c>
      <c r="B227">
        <v>2</v>
      </c>
      <c r="C227" t="s">
        <v>37</v>
      </c>
      <c r="D227" t="s">
        <v>38</v>
      </c>
      <c r="E227">
        <v>5</v>
      </c>
      <c r="F227">
        <v>10</v>
      </c>
      <c r="G227">
        <v>5</v>
      </c>
      <c r="H227">
        <v>58</v>
      </c>
      <c r="I227" s="12">
        <v>45527</v>
      </c>
      <c r="J227">
        <v>235</v>
      </c>
      <c r="K227">
        <f>+J227-$AH$6</f>
        <v>93</v>
      </c>
      <c r="L227" t="s">
        <v>26</v>
      </c>
      <c r="M227">
        <v>37100</v>
      </c>
      <c r="P227">
        <v>0.26605999999999996</v>
      </c>
      <c r="Q227">
        <v>0.42020000000000002</v>
      </c>
      <c r="R227">
        <v>7508.3150984682707</v>
      </c>
      <c r="S227">
        <v>1</v>
      </c>
      <c r="T227">
        <v>0.91400000000000003</v>
      </c>
      <c r="U227">
        <v>0.91400000000000003</v>
      </c>
      <c r="V227">
        <v>1718.6213241250759</v>
      </c>
      <c r="W227">
        <v>5.6440765981118881</v>
      </c>
      <c r="X227" s="16">
        <v>3715.495624537069</v>
      </c>
      <c r="Y227">
        <v>2068.5540732080144</v>
      </c>
      <c r="Z227">
        <v>733.7299577545482</v>
      </c>
      <c r="AF227">
        <v>98.551999999999992</v>
      </c>
      <c r="AG227">
        <v>22.2</v>
      </c>
    </row>
    <row r="228" spans="1:33" hidden="1" x14ac:dyDescent="0.25">
      <c r="A228">
        <v>2024</v>
      </c>
      <c r="B228">
        <v>2</v>
      </c>
      <c r="C228" t="s">
        <v>31</v>
      </c>
      <c r="D228" t="s">
        <v>38</v>
      </c>
      <c r="E228">
        <v>5</v>
      </c>
      <c r="F228">
        <v>11</v>
      </c>
      <c r="G228">
        <v>5</v>
      </c>
      <c r="H228">
        <v>59</v>
      </c>
      <c r="I228" s="12">
        <v>45534</v>
      </c>
      <c r="J228">
        <v>242</v>
      </c>
      <c r="L228" t="s">
        <v>26</v>
      </c>
      <c r="M228">
        <v>37100</v>
      </c>
      <c r="Q228">
        <v>1.0015000000000001</v>
      </c>
      <c r="R228">
        <v>10957.330415754923</v>
      </c>
      <c r="S228">
        <v>1</v>
      </c>
      <c r="T228">
        <v>0.91400000000000003</v>
      </c>
      <c r="U228">
        <v>0.91400000000000003</v>
      </c>
      <c r="X228" s="16"/>
    </row>
    <row r="229" spans="1:33" hidden="1" x14ac:dyDescent="0.25">
      <c r="A229">
        <v>2024</v>
      </c>
      <c r="B229">
        <v>2</v>
      </c>
      <c r="C229" t="s">
        <v>28</v>
      </c>
      <c r="D229" t="s">
        <v>38</v>
      </c>
      <c r="E229">
        <v>5</v>
      </c>
      <c r="F229">
        <v>12</v>
      </c>
      <c r="G229">
        <v>5</v>
      </c>
      <c r="H229">
        <v>60</v>
      </c>
      <c r="I229" s="12">
        <v>45527</v>
      </c>
      <c r="J229">
        <v>235</v>
      </c>
      <c r="K229">
        <f>+J229-$AH$6</f>
        <v>93</v>
      </c>
      <c r="L229" t="s">
        <v>26</v>
      </c>
      <c r="M229">
        <v>37100</v>
      </c>
      <c r="P229">
        <v>0.27526</v>
      </c>
      <c r="Q229">
        <v>0.34050000000000002</v>
      </c>
      <c r="R229">
        <v>6736.9803063457339</v>
      </c>
      <c r="S229">
        <v>1</v>
      </c>
      <c r="T229">
        <v>0.91400000000000003</v>
      </c>
      <c r="U229">
        <v>0.91400000000000003</v>
      </c>
      <c r="V229">
        <v>1561.5031008677538</v>
      </c>
      <c r="W229">
        <v>36.712455349555334</v>
      </c>
      <c r="X229" s="16">
        <v>4037.3910896417647</v>
      </c>
      <c r="Y229">
        <v>1101.3736604866599</v>
      </c>
      <c r="Z229">
        <v>242.30220530706524</v>
      </c>
      <c r="AF229">
        <v>71.628</v>
      </c>
      <c r="AG229">
        <v>15</v>
      </c>
    </row>
    <row r="230" spans="1:33" hidden="1" x14ac:dyDescent="0.25">
      <c r="A230">
        <v>2024</v>
      </c>
      <c r="B230">
        <v>2</v>
      </c>
      <c r="C230" t="s">
        <v>27</v>
      </c>
      <c r="D230" t="s">
        <v>38</v>
      </c>
      <c r="E230">
        <v>6</v>
      </c>
      <c r="F230">
        <v>1</v>
      </c>
      <c r="G230">
        <v>6</v>
      </c>
      <c r="H230">
        <v>61</v>
      </c>
      <c r="I230" s="12">
        <v>45527</v>
      </c>
      <c r="J230">
        <v>235</v>
      </c>
      <c r="K230">
        <f>+J230-$AH$6</f>
        <v>93</v>
      </c>
      <c r="L230" t="s">
        <v>26</v>
      </c>
      <c r="M230">
        <v>37100</v>
      </c>
      <c r="P230">
        <v>0.20405999999999999</v>
      </c>
      <c r="Q230">
        <v>0.53249999999999997</v>
      </c>
      <c r="R230">
        <v>8058.6433260393878</v>
      </c>
      <c r="S230">
        <v>1</v>
      </c>
      <c r="T230">
        <v>0.91400000000000003</v>
      </c>
      <c r="U230">
        <v>0.91400000000000003</v>
      </c>
      <c r="V230">
        <v>1208.4410750603024</v>
      </c>
      <c r="W230">
        <v>0</v>
      </c>
      <c r="X230" s="16">
        <v>4705.8117158230598</v>
      </c>
      <c r="Y230">
        <v>2144.3905351560261</v>
      </c>
      <c r="Z230">
        <v>525.23746072882432</v>
      </c>
      <c r="AF230">
        <v>94.995999999999995</v>
      </c>
      <c r="AG230">
        <v>18.2</v>
      </c>
    </row>
    <row r="231" spans="1:33" hidden="1" x14ac:dyDescent="0.25">
      <c r="A231">
        <v>2024</v>
      </c>
      <c r="B231">
        <v>2</v>
      </c>
      <c r="C231" t="s">
        <v>24</v>
      </c>
      <c r="D231" t="s">
        <v>38</v>
      </c>
      <c r="E231">
        <v>6</v>
      </c>
      <c r="F231">
        <v>2</v>
      </c>
      <c r="G231">
        <v>6</v>
      </c>
      <c r="H231">
        <v>62</v>
      </c>
      <c r="I231" s="12">
        <v>45527</v>
      </c>
      <c r="J231">
        <v>235</v>
      </c>
      <c r="K231">
        <f>+J231-$AH$6</f>
        <v>93</v>
      </c>
      <c r="L231" t="s">
        <v>26</v>
      </c>
      <c r="M231">
        <v>37100</v>
      </c>
      <c r="P231">
        <v>0.15756000000000001</v>
      </c>
      <c r="Q231">
        <v>0.58350000000000002</v>
      </c>
      <c r="R231">
        <v>8107.8774617067838</v>
      </c>
      <c r="S231">
        <v>1</v>
      </c>
      <c r="T231">
        <v>0.91400000000000003</v>
      </c>
      <c r="U231">
        <v>0.91400000000000003</v>
      </c>
      <c r="V231">
        <v>1492.3105254474278</v>
      </c>
      <c r="W231">
        <v>0</v>
      </c>
      <c r="X231" s="16">
        <v>4505.7486071785088</v>
      </c>
      <c r="Y231">
        <v>2109.8183290808461</v>
      </c>
      <c r="Z231">
        <v>725.57166926926652</v>
      </c>
      <c r="AF231">
        <v>77.724000000000004</v>
      </c>
      <c r="AG231">
        <v>18</v>
      </c>
    </row>
    <row r="232" spans="1:33" hidden="1" x14ac:dyDescent="0.25">
      <c r="A232">
        <v>2024</v>
      </c>
      <c r="B232">
        <v>2</v>
      </c>
      <c r="C232" t="s">
        <v>33</v>
      </c>
      <c r="D232" t="s">
        <v>38</v>
      </c>
      <c r="E232">
        <v>6</v>
      </c>
      <c r="F232">
        <v>3</v>
      </c>
      <c r="G232">
        <v>6</v>
      </c>
      <c r="H232">
        <v>63</v>
      </c>
      <c r="I232" s="12">
        <v>45534</v>
      </c>
      <c r="J232">
        <v>242</v>
      </c>
      <c r="L232" t="s">
        <v>26</v>
      </c>
      <c r="M232">
        <v>37100</v>
      </c>
      <c r="Q232">
        <v>0.90129999999999999</v>
      </c>
      <c r="R232">
        <v>9861.0503282275713</v>
      </c>
      <c r="S232">
        <v>1</v>
      </c>
      <c r="T232">
        <v>0.91400000000000003</v>
      </c>
      <c r="U232">
        <v>0.91400000000000003</v>
      </c>
      <c r="X232" s="16"/>
    </row>
    <row r="233" spans="1:33" hidden="1" x14ac:dyDescent="0.25">
      <c r="A233">
        <v>2024</v>
      </c>
      <c r="B233">
        <v>2</v>
      </c>
      <c r="C233" t="s">
        <v>34</v>
      </c>
      <c r="D233" t="s">
        <v>38</v>
      </c>
      <c r="E233">
        <v>6</v>
      </c>
      <c r="F233">
        <v>4</v>
      </c>
      <c r="G233">
        <v>6</v>
      </c>
      <c r="H233">
        <v>64</v>
      </c>
      <c r="I233" s="12">
        <v>45527</v>
      </c>
      <c r="J233">
        <v>235</v>
      </c>
      <c r="K233">
        <f>+J233-$AH$6</f>
        <v>93</v>
      </c>
      <c r="L233" t="s">
        <v>26</v>
      </c>
      <c r="M233">
        <v>37100</v>
      </c>
      <c r="P233">
        <v>0.23386000000000001</v>
      </c>
      <c r="Q233">
        <v>0.31829999999999997</v>
      </c>
      <c r="R233">
        <v>6041.1378555798683</v>
      </c>
      <c r="S233">
        <v>1</v>
      </c>
      <c r="T233">
        <v>0.91400000000000003</v>
      </c>
      <c r="U233">
        <v>0.91400000000000003</v>
      </c>
      <c r="V233">
        <v>1431.1085144921092</v>
      </c>
      <c r="W233">
        <v>77.496850965276678</v>
      </c>
      <c r="X233" s="16">
        <v>3021.343896299587</v>
      </c>
      <c r="Y233">
        <v>1511.1885938228954</v>
      </c>
      <c r="Z233">
        <v>25.832283655092226</v>
      </c>
      <c r="AF233">
        <v>44.45</v>
      </c>
      <c r="AG233">
        <v>11</v>
      </c>
    </row>
    <row r="234" spans="1:33" hidden="1" x14ac:dyDescent="0.25">
      <c r="A234">
        <v>2024</v>
      </c>
      <c r="B234">
        <v>2</v>
      </c>
      <c r="C234" t="s">
        <v>37</v>
      </c>
      <c r="D234" t="s">
        <v>38</v>
      </c>
      <c r="E234">
        <v>6</v>
      </c>
      <c r="F234">
        <v>5</v>
      </c>
      <c r="G234">
        <v>6</v>
      </c>
      <c r="H234">
        <v>65</v>
      </c>
      <c r="I234" s="12">
        <v>45527</v>
      </c>
      <c r="J234">
        <v>235</v>
      </c>
      <c r="L234" t="s">
        <v>26</v>
      </c>
      <c r="M234">
        <v>37100</v>
      </c>
      <c r="Q234">
        <v>0.47249999999999998</v>
      </c>
      <c r="R234">
        <v>5169.5842450765858</v>
      </c>
      <c r="S234">
        <v>1</v>
      </c>
      <c r="T234">
        <v>0.91400000000000003</v>
      </c>
      <c r="U234">
        <v>0.91400000000000003</v>
      </c>
      <c r="X234" s="16"/>
    </row>
    <row r="235" spans="1:33" hidden="1" x14ac:dyDescent="0.25">
      <c r="A235">
        <v>2024</v>
      </c>
      <c r="B235">
        <v>2</v>
      </c>
      <c r="C235" t="s">
        <v>36</v>
      </c>
      <c r="D235" t="s">
        <v>38</v>
      </c>
      <c r="E235">
        <v>6</v>
      </c>
      <c r="F235">
        <v>6</v>
      </c>
      <c r="G235">
        <v>6</v>
      </c>
      <c r="H235">
        <v>66</v>
      </c>
      <c r="I235" s="12">
        <v>45527</v>
      </c>
      <c r="J235">
        <v>235</v>
      </c>
      <c r="K235">
        <f>+J235-$AH$6</f>
        <v>93</v>
      </c>
      <c r="L235" t="s">
        <v>26</v>
      </c>
      <c r="M235">
        <v>37100</v>
      </c>
      <c r="P235">
        <v>0.35975999999999997</v>
      </c>
      <c r="Q235">
        <v>0.28979999999999995</v>
      </c>
      <c r="R235">
        <v>7106.7833698030627</v>
      </c>
      <c r="S235">
        <v>1</v>
      </c>
      <c r="T235">
        <v>0.91400000000000003</v>
      </c>
      <c r="U235">
        <v>0.91400000000000003</v>
      </c>
      <c r="V235">
        <v>1372.9192911977789</v>
      </c>
      <c r="W235">
        <v>999.56426092960567</v>
      </c>
      <c r="X235" s="16">
        <v>2709.4907910890265</v>
      </c>
      <c r="Y235">
        <v>2024.809026586652</v>
      </c>
      <c r="Z235">
        <v>732.8820964523394</v>
      </c>
      <c r="AF235">
        <v>52.324000000000005</v>
      </c>
      <c r="AG235">
        <v>13.6</v>
      </c>
    </row>
    <row r="236" spans="1:33" hidden="1" x14ac:dyDescent="0.25">
      <c r="A236">
        <v>2024</v>
      </c>
      <c r="B236">
        <v>2</v>
      </c>
      <c r="C236" t="s">
        <v>35</v>
      </c>
      <c r="D236" t="s">
        <v>38</v>
      </c>
      <c r="E236">
        <v>6</v>
      </c>
      <c r="F236">
        <v>7</v>
      </c>
      <c r="G236">
        <v>6</v>
      </c>
      <c r="H236">
        <v>67</v>
      </c>
      <c r="I236" s="12">
        <v>45534</v>
      </c>
      <c r="J236">
        <v>242</v>
      </c>
      <c r="K236">
        <f>+J236-$AH$6</f>
        <v>100</v>
      </c>
      <c r="L236" t="s">
        <v>26</v>
      </c>
      <c r="M236">
        <v>37100</v>
      </c>
      <c r="P236">
        <v>0.24806</v>
      </c>
      <c r="Q236">
        <v>0.38450000000000001</v>
      </c>
      <c r="R236">
        <v>6920.7877461706785</v>
      </c>
      <c r="S236">
        <v>1</v>
      </c>
      <c r="T236">
        <v>0.91400000000000003</v>
      </c>
      <c r="U236">
        <v>0.91400000000000003</v>
      </c>
      <c r="V236">
        <v>323.63596652253437</v>
      </c>
      <c r="W236">
        <v>0</v>
      </c>
      <c r="X236" s="16">
        <v>3547.7197847418506</v>
      </c>
      <c r="Y236">
        <v>3049.4319949062933</v>
      </c>
      <c r="Z236">
        <v>1300.1237965474224</v>
      </c>
      <c r="AF236">
        <v>73.152000000000001</v>
      </c>
      <c r="AG236">
        <v>14.2</v>
      </c>
    </row>
    <row r="237" spans="1:33" hidden="1" x14ac:dyDescent="0.25">
      <c r="A237">
        <v>2024</v>
      </c>
      <c r="B237">
        <v>2</v>
      </c>
      <c r="C237" t="s">
        <v>28</v>
      </c>
      <c r="D237" t="s">
        <v>38</v>
      </c>
      <c r="E237">
        <v>6</v>
      </c>
      <c r="F237">
        <v>8</v>
      </c>
      <c r="G237">
        <v>6</v>
      </c>
      <c r="H237">
        <v>68</v>
      </c>
      <c r="I237" s="12">
        <v>45527</v>
      </c>
      <c r="J237">
        <v>235</v>
      </c>
      <c r="K237">
        <f>+J237-$AH$6</f>
        <v>93</v>
      </c>
      <c r="L237" t="s">
        <v>26</v>
      </c>
      <c r="M237">
        <v>37100</v>
      </c>
      <c r="P237">
        <v>0.31165999999999999</v>
      </c>
      <c r="Q237">
        <v>0.64600000000000002</v>
      </c>
      <c r="R237">
        <v>10477.680525164114</v>
      </c>
      <c r="S237">
        <v>1</v>
      </c>
      <c r="T237">
        <v>0.91400000000000003</v>
      </c>
      <c r="U237">
        <v>0.91400000000000003</v>
      </c>
      <c r="V237">
        <v>2447.4592255404855</v>
      </c>
      <c r="W237">
        <v>13.447578162310428</v>
      </c>
      <c r="X237" s="16">
        <v>6406.4262365246541</v>
      </c>
      <c r="Y237">
        <v>1610.3474849366651</v>
      </c>
      <c r="Z237">
        <v>0</v>
      </c>
      <c r="AF237">
        <v>67.055999999999997</v>
      </c>
      <c r="AG237">
        <v>13.2</v>
      </c>
    </row>
    <row r="238" spans="1:33" hidden="1" x14ac:dyDescent="0.25">
      <c r="A238">
        <v>2024</v>
      </c>
      <c r="B238">
        <v>2</v>
      </c>
      <c r="C238" t="s">
        <v>29</v>
      </c>
      <c r="D238" t="s">
        <v>38</v>
      </c>
      <c r="E238">
        <v>6</v>
      </c>
      <c r="F238">
        <v>9</v>
      </c>
      <c r="G238">
        <v>6</v>
      </c>
      <c r="H238">
        <v>69</v>
      </c>
      <c r="I238" s="12">
        <v>45534</v>
      </c>
      <c r="J238">
        <v>242</v>
      </c>
      <c r="K238">
        <f>+J238-$AH$6</f>
        <v>100</v>
      </c>
      <c r="L238" t="s">
        <v>26</v>
      </c>
      <c r="M238">
        <v>37100</v>
      </c>
      <c r="P238">
        <v>0.27736</v>
      </c>
      <c r="Q238">
        <v>0.57650000000000001</v>
      </c>
      <c r="R238">
        <v>9342.0131291028447</v>
      </c>
      <c r="S238">
        <v>1</v>
      </c>
      <c r="T238">
        <v>0.91400000000000003</v>
      </c>
      <c r="U238">
        <v>0.91400000000000003</v>
      </c>
      <c r="V238">
        <v>1333.8034320467</v>
      </c>
      <c r="W238">
        <v>10.104571454899267</v>
      </c>
      <c r="X238" s="16">
        <v>5091.3567370752298</v>
      </c>
      <c r="Y238">
        <v>2906.7483885260149</v>
      </c>
      <c r="Z238">
        <v>1384.3262893211959</v>
      </c>
      <c r="AF238">
        <v>99.06</v>
      </c>
      <c r="AG238">
        <v>20.6</v>
      </c>
    </row>
    <row r="239" spans="1:33" hidden="1" x14ac:dyDescent="0.25">
      <c r="A239">
        <v>2024</v>
      </c>
      <c r="B239">
        <v>2</v>
      </c>
      <c r="C239" t="s">
        <v>31</v>
      </c>
      <c r="D239" t="s">
        <v>38</v>
      </c>
      <c r="E239">
        <v>6</v>
      </c>
      <c r="F239">
        <v>10</v>
      </c>
      <c r="G239">
        <v>6</v>
      </c>
      <c r="H239">
        <v>70</v>
      </c>
      <c r="I239" s="12">
        <v>45534</v>
      </c>
      <c r="J239">
        <v>242</v>
      </c>
      <c r="L239" t="s">
        <v>26</v>
      </c>
      <c r="M239">
        <v>37100</v>
      </c>
      <c r="Q239">
        <v>0.58179999999999998</v>
      </c>
      <c r="R239">
        <v>6365.4266958424505</v>
      </c>
      <c r="S239">
        <v>1</v>
      </c>
      <c r="T239">
        <v>0.91400000000000003</v>
      </c>
      <c r="U239">
        <v>0.91400000000000003</v>
      </c>
      <c r="X239" s="16"/>
    </row>
    <row r="240" spans="1:33" hidden="1" x14ac:dyDescent="0.25">
      <c r="A240">
        <v>2024</v>
      </c>
      <c r="B240">
        <v>2</v>
      </c>
      <c r="C240" t="s">
        <v>30</v>
      </c>
      <c r="D240" t="s">
        <v>38</v>
      </c>
      <c r="E240">
        <v>6</v>
      </c>
      <c r="F240">
        <v>11</v>
      </c>
      <c r="G240">
        <v>6</v>
      </c>
      <c r="H240">
        <v>71</v>
      </c>
      <c r="I240" s="12">
        <v>45527</v>
      </c>
      <c r="J240">
        <v>235</v>
      </c>
      <c r="K240">
        <f>+J240-$AH$6</f>
        <v>93</v>
      </c>
      <c r="L240" t="s">
        <v>26</v>
      </c>
      <c r="M240">
        <v>37100</v>
      </c>
      <c r="P240">
        <v>0.23805999999999999</v>
      </c>
      <c r="Q240">
        <v>0.49349999999999999</v>
      </c>
      <c r="R240">
        <v>8003.9387308533906</v>
      </c>
      <c r="S240">
        <v>1</v>
      </c>
      <c r="T240">
        <v>0.91400000000000003</v>
      </c>
      <c r="U240">
        <v>0.91400000000000003</v>
      </c>
      <c r="V240">
        <v>1761.7675774876823</v>
      </c>
      <c r="W240">
        <v>0</v>
      </c>
      <c r="X240" s="16">
        <v>5055.3315448673275</v>
      </c>
      <c r="Y240">
        <v>1186.8396084983815</v>
      </c>
      <c r="Z240">
        <v>289.14506042736781</v>
      </c>
      <c r="AF240">
        <v>103.63199999999999</v>
      </c>
      <c r="AG240">
        <v>21.4</v>
      </c>
    </row>
    <row r="241" spans="1:33" hidden="1" x14ac:dyDescent="0.25">
      <c r="A241">
        <v>2024</v>
      </c>
      <c r="B241">
        <v>2</v>
      </c>
      <c r="C241" t="s">
        <v>32</v>
      </c>
      <c r="D241" t="s">
        <v>38</v>
      </c>
      <c r="E241">
        <v>6</v>
      </c>
      <c r="F241">
        <v>12</v>
      </c>
      <c r="G241">
        <v>6</v>
      </c>
      <c r="H241">
        <v>72</v>
      </c>
      <c r="I241" s="12">
        <v>45534</v>
      </c>
      <c r="J241">
        <v>242</v>
      </c>
      <c r="L241" t="s">
        <v>26</v>
      </c>
      <c r="M241">
        <v>37100</v>
      </c>
      <c r="Q241">
        <v>0.76079999999999992</v>
      </c>
      <c r="R241">
        <v>8323.8512035010936</v>
      </c>
      <c r="S241">
        <v>1</v>
      </c>
      <c r="T241">
        <v>0.91400000000000003</v>
      </c>
      <c r="U241">
        <v>0.91400000000000003</v>
      </c>
      <c r="X241" s="16"/>
    </row>
    <row r="242" spans="1:33" hidden="1" x14ac:dyDescent="0.25">
      <c r="A242">
        <v>2024</v>
      </c>
      <c r="B242">
        <v>3</v>
      </c>
      <c r="C242" t="s">
        <v>24</v>
      </c>
      <c r="D242" t="s">
        <v>25</v>
      </c>
      <c r="E242">
        <v>1</v>
      </c>
      <c r="F242">
        <v>1</v>
      </c>
      <c r="G242">
        <v>1</v>
      </c>
      <c r="H242">
        <v>1</v>
      </c>
      <c r="I242" s="12">
        <v>45538</v>
      </c>
      <c r="J242">
        <v>246</v>
      </c>
      <c r="K242">
        <f>+J242-$AH$6</f>
        <v>104</v>
      </c>
      <c r="L242" t="s">
        <v>26</v>
      </c>
      <c r="M242">
        <v>37100</v>
      </c>
      <c r="P242">
        <v>0.19409000000000001</v>
      </c>
      <c r="Q242">
        <v>0.26150000000000001</v>
      </c>
      <c r="R242">
        <v>4984.5733041575495</v>
      </c>
      <c r="S242">
        <v>1</v>
      </c>
      <c r="T242">
        <v>0.91400000000000003</v>
      </c>
      <c r="U242">
        <v>0.91400000000000003</v>
      </c>
      <c r="V242">
        <v>862.90722355450396</v>
      </c>
      <c r="W242">
        <v>7.7045287817366601</v>
      </c>
      <c r="X242" s="16">
        <v>2308.5336406343554</v>
      </c>
      <c r="Y242">
        <v>1805.427911186953</v>
      </c>
      <c r="Z242">
        <v>796.13464077945309</v>
      </c>
    </row>
    <row r="243" spans="1:33" hidden="1" x14ac:dyDescent="0.25">
      <c r="A243">
        <v>2024</v>
      </c>
      <c r="B243">
        <v>3</v>
      </c>
      <c r="C243" t="s">
        <v>27</v>
      </c>
      <c r="D243" t="s">
        <v>25</v>
      </c>
      <c r="E243">
        <v>1</v>
      </c>
      <c r="F243">
        <v>2</v>
      </c>
      <c r="G243">
        <v>1</v>
      </c>
      <c r="H243">
        <v>2</v>
      </c>
      <c r="I243" s="12"/>
      <c r="L243" t="s">
        <v>26</v>
      </c>
      <c r="M243">
        <v>37100</v>
      </c>
      <c r="S243">
        <v>1</v>
      </c>
      <c r="T243">
        <v>0.91400000000000003</v>
      </c>
      <c r="U243">
        <v>0.91400000000000003</v>
      </c>
      <c r="X243" s="16"/>
    </row>
    <row r="244" spans="1:33" hidden="1" x14ac:dyDescent="0.25">
      <c r="A244">
        <v>2024</v>
      </c>
      <c r="B244">
        <v>3</v>
      </c>
      <c r="C244" t="s">
        <v>28</v>
      </c>
      <c r="D244" t="s">
        <v>25</v>
      </c>
      <c r="E244">
        <v>1</v>
      </c>
      <c r="F244">
        <v>3</v>
      </c>
      <c r="G244">
        <v>1</v>
      </c>
      <c r="H244">
        <v>3</v>
      </c>
      <c r="I244" s="12"/>
      <c r="L244" t="s">
        <v>26</v>
      </c>
      <c r="M244">
        <v>37100</v>
      </c>
      <c r="S244">
        <v>1</v>
      </c>
      <c r="T244">
        <v>0.91400000000000003</v>
      </c>
      <c r="U244">
        <v>0.91400000000000003</v>
      </c>
      <c r="X244" s="16"/>
    </row>
    <row r="245" spans="1:33" hidden="1" x14ac:dyDescent="0.25">
      <c r="A245">
        <v>2024</v>
      </c>
      <c r="B245">
        <v>3</v>
      </c>
      <c r="C245" t="s">
        <v>29</v>
      </c>
      <c r="D245" t="s">
        <v>25</v>
      </c>
      <c r="E245">
        <v>1</v>
      </c>
      <c r="F245">
        <v>4</v>
      </c>
      <c r="G245">
        <v>1</v>
      </c>
      <c r="H245">
        <v>4</v>
      </c>
      <c r="I245" s="12">
        <v>45538</v>
      </c>
      <c r="J245">
        <v>246</v>
      </c>
      <c r="K245">
        <f>+J245-$AH$6</f>
        <v>104</v>
      </c>
      <c r="L245" t="s">
        <v>26</v>
      </c>
      <c r="M245">
        <v>37100</v>
      </c>
      <c r="P245">
        <v>8.1089999999999995E-2</v>
      </c>
      <c r="Q245">
        <v>0.16650000000000001</v>
      </c>
      <c r="R245">
        <v>2708.8621444201312</v>
      </c>
      <c r="S245">
        <v>1</v>
      </c>
      <c r="T245">
        <v>0.91400000000000003</v>
      </c>
      <c r="U245">
        <v>0.91400000000000003</v>
      </c>
      <c r="V245">
        <v>420.91087704641336</v>
      </c>
      <c r="W245">
        <v>10.021687548724151</v>
      </c>
      <c r="X245" s="16">
        <v>1198.9278870790297</v>
      </c>
      <c r="Y245">
        <v>1079.0016927459642</v>
      </c>
      <c r="Z245">
        <v>634.70687808586149</v>
      </c>
      <c r="AF245">
        <v>64.77</v>
      </c>
      <c r="AG245">
        <v>14.6</v>
      </c>
    </row>
    <row r="246" spans="1:33" hidden="1" x14ac:dyDescent="0.25">
      <c r="A246">
        <v>2024</v>
      </c>
      <c r="B246">
        <v>3</v>
      </c>
      <c r="C246" t="s">
        <v>30</v>
      </c>
      <c r="D246" t="s">
        <v>25</v>
      </c>
      <c r="E246">
        <v>1</v>
      </c>
      <c r="F246">
        <v>5</v>
      </c>
      <c r="G246">
        <v>1</v>
      </c>
      <c r="H246">
        <v>5</v>
      </c>
      <c r="I246" s="12"/>
      <c r="L246" t="s">
        <v>26</v>
      </c>
      <c r="M246">
        <v>37100</v>
      </c>
      <c r="S246">
        <v>1</v>
      </c>
      <c r="T246">
        <v>0.91400000000000003</v>
      </c>
      <c r="U246">
        <v>0.91400000000000003</v>
      </c>
      <c r="X246" s="16"/>
    </row>
    <row r="247" spans="1:33" hidden="1" x14ac:dyDescent="0.25">
      <c r="A247">
        <v>2024</v>
      </c>
      <c r="B247">
        <v>3</v>
      </c>
      <c r="C247" t="s">
        <v>31</v>
      </c>
      <c r="D247" t="s">
        <v>25</v>
      </c>
      <c r="E247">
        <v>1</v>
      </c>
      <c r="F247">
        <v>6</v>
      </c>
      <c r="G247">
        <v>1</v>
      </c>
      <c r="H247">
        <v>6</v>
      </c>
      <c r="I247" s="12"/>
      <c r="L247" t="s">
        <v>26</v>
      </c>
      <c r="M247">
        <v>37100</v>
      </c>
      <c r="S247">
        <v>1</v>
      </c>
      <c r="T247">
        <v>0.91400000000000003</v>
      </c>
      <c r="U247">
        <v>0.91400000000000003</v>
      </c>
      <c r="X247" s="16"/>
    </row>
    <row r="248" spans="1:33" hidden="1" x14ac:dyDescent="0.25">
      <c r="A248">
        <v>2024</v>
      </c>
      <c r="B248">
        <v>3</v>
      </c>
      <c r="C248" t="s">
        <v>32</v>
      </c>
      <c r="D248" t="s">
        <v>25</v>
      </c>
      <c r="E248">
        <v>1</v>
      </c>
      <c r="F248">
        <v>7</v>
      </c>
      <c r="G248">
        <v>1</v>
      </c>
      <c r="H248">
        <v>7</v>
      </c>
      <c r="I248" s="12"/>
      <c r="L248" t="s">
        <v>26</v>
      </c>
      <c r="M248">
        <v>37100</v>
      </c>
      <c r="S248">
        <v>1</v>
      </c>
      <c r="T248">
        <v>0.91400000000000003</v>
      </c>
      <c r="U248">
        <v>0.91400000000000003</v>
      </c>
      <c r="X248" s="16"/>
    </row>
    <row r="249" spans="1:33" hidden="1" x14ac:dyDescent="0.25">
      <c r="A249">
        <v>2024</v>
      </c>
      <c r="B249">
        <v>3</v>
      </c>
      <c r="C249" t="s">
        <v>33</v>
      </c>
      <c r="D249" t="s">
        <v>25</v>
      </c>
      <c r="E249">
        <v>1</v>
      </c>
      <c r="F249">
        <v>8</v>
      </c>
      <c r="G249">
        <v>1</v>
      </c>
      <c r="H249">
        <v>8</v>
      </c>
      <c r="I249" s="12"/>
      <c r="L249" t="s">
        <v>26</v>
      </c>
      <c r="M249">
        <v>37100</v>
      </c>
      <c r="S249">
        <v>1</v>
      </c>
      <c r="T249">
        <v>0.91400000000000003</v>
      </c>
      <c r="U249">
        <v>0.91400000000000003</v>
      </c>
      <c r="X249" s="16"/>
    </row>
    <row r="250" spans="1:33" hidden="1" x14ac:dyDescent="0.25">
      <c r="A250">
        <v>2024</v>
      </c>
      <c r="B250">
        <v>3</v>
      </c>
      <c r="C250" t="s">
        <v>34</v>
      </c>
      <c r="D250" t="s">
        <v>25</v>
      </c>
      <c r="E250">
        <v>1</v>
      </c>
      <c r="F250">
        <v>9</v>
      </c>
      <c r="G250">
        <v>1</v>
      </c>
      <c r="H250">
        <v>9</v>
      </c>
      <c r="I250" s="12">
        <v>45538</v>
      </c>
      <c r="J250">
        <v>246</v>
      </c>
      <c r="K250">
        <f>+J250-$AH$6</f>
        <v>104</v>
      </c>
      <c r="L250" t="s">
        <v>26</v>
      </c>
      <c r="M250">
        <v>37100</v>
      </c>
      <c r="P250">
        <v>0.17509</v>
      </c>
      <c r="Q250">
        <v>0.14349999999999999</v>
      </c>
      <c r="R250">
        <v>3485.6673960612684</v>
      </c>
      <c r="S250">
        <v>1</v>
      </c>
      <c r="T250">
        <v>0.91400000000000003</v>
      </c>
      <c r="U250">
        <v>0.91400000000000003</v>
      </c>
      <c r="V250">
        <v>589.2726878943032</v>
      </c>
      <c r="W250">
        <v>25.88021940076333</v>
      </c>
      <c r="X250" s="16">
        <v>973.29532807947578</v>
      </c>
      <c r="Y250">
        <v>1897.2191606867259</v>
      </c>
      <c r="Z250">
        <v>832.14859303992807</v>
      </c>
      <c r="AF250">
        <v>30.988</v>
      </c>
      <c r="AG250">
        <v>10.4</v>
      </c>
    </row>
    <row r="251" spans="1:33" hidden="1" x14ac:dyDescent="0.25">
      <c r="A251">
        <v>2024</v>
      </c>
      <c r="B251">
        <v>3</v>
      </c>
      <c r="C251" t="s">
        <v>35</v>
      </c>
      <c r="D251" t="s">
        <v>25</v>
      </c>
      <c r="E251">
        <v>1</v>
      </c>
      <c r="F251">
        <v>10</v>
      </c>
      <c r="G251">
        <v>1</v>
      </c>
      <c r="H251">
        <v>10</v>
      </c>
      <c r="I251" s="12">
        <v>45538</v>
      </c>
      <c r="J251">
        <v>246</v>
      </c>
      <c r="K251">
        <f>+J251-$AH$6</f>
        <v>104</v>
      </c>
      <c r="L251" t="s">
        <v>26</v>
      </c>
      <c r="M251">
        <v>37100</v>
      </c>
      <c r="P251">
        <v>0.12409000000000001</v>
      </c>
      <c r="Q251">
        <v>0.17549999999999999</v>
      </c>
      <c r="R251">
        <v>3277.7899343544859</v>
      </c>
      <c r="S251">
        <v>1</v>
      </c>
      <c r="T251">
        <v>0.91400000000000003</v>
      </c>
      <c r="U251">
        <v>0.91400000000000003</v>
      </c>
      <c r="V251">
        <v>332.82418545303028</v>
      </c>
      <c r="W251">
        <v>87.168239047222215</v>
      </c>
      <c r="X251" s="16">
        <v>948.02063618327406</v>
      </c>
      <c r="Y251">
        <v>1909.776873670959</v>
      </c>
      <c r="Z251">
        <v>1001.1140181484005</v>
      </c>
      <c r="AF251">
        <v>52.07</v>
      </c>
      <c r="AG251">
        <v>15</v>
      </c>
    </row>
    <row r="252" spans="1:33" hidden="1" x14ac:dyDescent="0.25">
      <c r="A252">
        <v>2024</v>
      </c>
      <c r="B252">
        <v>3</v>
      </c>
      <c r="C252" t="s">
        <v>36</v>
      </c>
      <c r="D252" t="s">
        <v>25</v>
      </c>
      <c r="E252">
        <v>1</v>
      </c>
      <c r="F252">
        <v>11</v>
      </c>
      <c r="G252">
        <v>1</v>
      </c>
      <c r="H252">
        <v>11</v>
      </c>
      <c r="I252" s="12"/>
      <c r="L252" t="s">
        <v>26</v>
      </c>
      <c r="M252">
        <v>37100</v>
      </c>
      <c r="S252">
        <v>1</v>
      </c>
      <c r="T252">
        <v>0.91400000000000003</v>
      </c>
      <c r="U252">
        <v>0.91400000000000003</v>
      </c>
      <c r="X252" s="16"/>
    </row>
    <row r="253" spans="1:33" hidden="1" x14ac:dyDescent="0.25">
      <c r="A253">
        <v>2024</v>
      </c>
      <c r="B253">
        <v>3</v>
      </c>
      <c r="C253" t="s">
        <v>37</v>
      </c>
      <c r="D253" t="s">
        <v>25</v>
      </c>
      <c r="E253">
        <v>1</v>
      </c>
      <c r="F253">
        <v>12</v>
      </c>
      <c r="G253">
        <v>1</v>
      </c>
      <c r="H253">
        <v>12</v>
      </c>
      <c r="I253" s="12"/>
      <c r="L253" t="s">
        <v>26</v>
      </c>
      <c r="M253">
        <v>37100</v>
      </c>
      <c r="S253">
        <v>1</v>
      </c>
      <c r="T253">
        <v>0.91400000000000003</v>
      </c>
      <c r="U253">
        <v>0.91400000000000003</v>
      </c>
      <c r="X253" s="16"/>
    </row>
    <row r="254" spans="1:33" hidden="1" x14ac:dyDescent="0.25">
      <c r="A254">
        <v>2024</v>
      </c>
      <c r="B254">
        <v>3</v>
      </c>
      <c r="C254" t="s">
        <v>35</v>
      </c>
      <c r="D254" t="s">
        <v>25</v>
      </c>
      <c r="E254">
        <v>2</v>
      </c>
      <c r="F254">
        <v>1</v>
      </c>
      <c r="G254">
        <v>2</v>
      </c>
      <c r="H254">
        <v>13</v>
      </c>
      <c r="I254" s="12">
        <v>45538</v>
      </c>
      <c r="J254">
        <v>246</v>
      </c>
      <c r="K254">
        <f>+J254-$AH$6</f>
        <v>104</v>
      </c>
      <c r="L254" t="s">
        <v>26</v>
      </c>
      <c r="M254">
        <v>37100</v>
      </c>
      <c r="P254">
        <v>0.12109</v>
      </c>
      <c r="Q254">
        <v>0.18049999999999999</v>
      </c>
      <c r="R254">
        <v>3299.6717724288842</v>
      </c>
      <c r="S254">
        <v>1</v>
      </c>
      <c r="T254">
        <v>0.91400000000000003</v>
      </c>
      <c r="U254">
        <v>0.91400000000000003</v>
      </c>
      <c r="V254">
        <v>234.3478176801421</v>
      </c>
      <c r="W254">
        <v>89.924162598194073</v>
      </c>
      <c r="X254" s="16">
        <v>923.4939001372112</v>
      </c>
      <c r="Y254">
        <v>2051.9058920133366</v>
      </c>
      <c r="Z254">
        <v>1130.8644690378949</v>
      </c>
      <c r="AF254">
        <v>50.8</v>
      </c>
      <c r="AG254">
        <v>12.4</v>
      </c>
    </row>
    <row r="255" spans="1:33" hidden="1" x14ac:dyDescent="0.25">
      <c r="A255">
        <v>2024</v>
      </c>
      <c r="B255">
        <v>3</v>
      </c>
      <c r="C255" t="s">
        <v>33</v>
      </c>
      <c r="D255" t="s">
        <v>25</v>
      </c>
      <c r="E255">
        <v>2</v>
      </c>
      <c r="F255">
        <v>2</v>
      </c>
      <c r="G255">
        <v>2</v>
      </c>
      <c r="H255">
        <v>14</v>
      </c>
      <c r="I255" s="12"/>
      <c r="L255" t="s">
        <v>26</v>
      </c>
      <c r="M255">
        <v>37100</v>
      </c>
      <c r="S255">
        <v>1</v>
      </c>
      <c r="T255">
        <v>0.91400000000000003</v>
      </c>
      <c r="U255">
        <v>0.91400000000000003</v>
      </c>
      <c r="X255" s="16"/>
    </row>
    <row r="256" spans="1:33" hidden="1" x14ac:dyDescent="0.25">
      <c r="A256">
        <v>2024</v>
      </c>
      <c r="B256">
        <v>3</v>
      </c>
      <c r="C256" t="s">
        <v>34</v>
      </c>
      <c r="D256" t="s">
        <v>25</v>
      </c>
      <c r="E256">
        <v>2</v>
      </c>
      <c r="F256">
        <v>3</v>
      </c>
      <c r="G256">
        <v>2</v>
      </c>
      <c r="H256">
        <v>15</v>
      </c>
      <c r="I256" s="12">
        <v>45538</v>
      </c>
      <c r="J256">
        <v>246</v>
      </c>
      <c r="K256">
        <f>+J256-$AH$6</f>
        <v>104</v>
      </c>
      <c r="L256" t="s">
        <v>26</v>
      </c>
      <c r="M256">
        <v>37100</v>
      </c>
      <c r="P256">
        <v>0.19809000000000002</v>
      </c>
      <c r="Q256">
        <v>8.6499999999999994E-2</v>
      </c>
      <c r="R256">
        <v>3113.6761487964991</v>
      </c>
      <c r="S256">
        <v>1</v>
      </c>
      <c r="T256">
        <v>0.91400000000000003</v>
      </c>
      <c r="U256">
        <v>0.91400000000000003</v>
      </c>
      <c r="V256">
        <v>575.29681985941681</v>
      </c>
      <c r="W256">
        <v>51.871024741422829</v>
      </c>
      <c r="X256" s="16">
        <v>847.06955251978059</v>
      </c>
      <c r="Y256">
        <v>1639.4387516758788</v>
      </c>
      <c r="Z256">
        <v>710.47585403403377</v>
      </c>
      <c r="AF256">
        <v>33.527999999999999</v>
      </c>
      <c r="AG256">
        <v>11.4</v>
      </c>
    </row>
    <row r="257" spans="1:33" hidden="1" x14ac:dyDescent="0.25">
      <c r="A257">
        <v>2024</v>
      </c>
      <c r="B257">
        <v>3</v>
      </c>
      <c r="C257" t="s">
        <v>27</v>
      </c>
      <c r="D257" t="s">
        <v>25</v>
      </c>
      <c r="E257">
        <v>2</v>
      </c>
      <c r="F257">
        <v>4</v>
      </c>
      <c r="G257">
        <v>2</v>
      </c>
      <c r="H257">
        <v>16</v>
      </c>
      <c r="I257" s="12"/>
      <c r="L257" t="s">
        <v>26</v>
      </c>
      <c r="M257">
        <v>37100</v>
      </c>
      <c r="S257">
        <v>1</v>
      </c>
      <c r="T257">
        <v>0.91400000000000003</v>
      </c>
      <c r="U257">
        <v>0.91400000000000003</v>
      </c>
      <c r="X257" s="16"/>
    </row>
    <row r="258" spans="1:33" hidden="1" x14ac:dyDescent="0.25">
      <c r="A258">
        <v>2024</v>
      </c>
      <c r="B258">
        <v>3</v>
      </c>
      <c r="C258" t="s">
        <v>32</v>
      </c>
      <c r="D258" t="s">
        <v>25</v>
      </c>
      <c r="E258">
        <v>2</v>
      </c>
      <c r="F258">
        <v>5</v>
      </c>
      <c r="G258">
        <v>2</v>
      </c>
      <c r="H258">
        <v>17</v>
      </c>
      <c r="I258" s="12"/>
      <c r="L258" t="s">
        <v>26</v>
      </c>
      <c r="M258">
        <v>37100</v>
      </c>
      <c r="S258">
        <v>1</v>
      </c>
      <c r="T258">
        <v>0.91400000000000003</v>
      </c>
      <c r="U258">
        <v>0.91400000000000003</v>
      </c>
      <c r="X258" s="16"/>
    </row>
    <row r="259" spans="1:33" hidden="1" x14ac:dyDescent="0.25">
      <c r="A259">
        <v>2024</v>
      </c>
      <c r="B259">
        <v>3</v>
      </c>
      <c r="C259" t="s">
        <v>29</v>
      </c>
      <c r="D259" t="s">
        <v>25</v>
      </c>
      <c r="E259">
        <v>2</v>
      </c>
      <c r="F259">
        <v>6</v>
      </c>
      <c r="G259">
        <v>2</v>
      </c>
      <c r="H259">
        <v>18</v>
      </c>
      <c r="I259" s="12">
        <v>45538</v>
      </c>
      <c r="J259">
        <v>246</v>
      </c>
      <c r="K259">
        <f>+J259-$AH$6</f>
        <v>104</v>
      </c>
      <c r="L259" t="s">
        <v>26</v>
      </c>
      <c r="M259">
        <v>37100</v>
      </c>
      <c r="P259">
        <v>0.15078999999999998</v>
      </c>
      <c r="Q259">
        <v>0.35549999999999998</v>
      </c>
      <c r="R259">
        <v>5539.2778993435431</v>
      </c>
      <c r="S259">
        <v>1</v>
      </c>
      <c r="T259">
        <v>0.91400000000000003</v>
      </c>
      <c r="U259">
        <v>0.91400000000000003</v>
      </c>
      <c r="V259">
        <v>1271.0326634212256</v>
      </c>
      <c r="W259">
        <v>0</v>
      </c>
      <c r="X259" s="16">
        <v>1979.6517408025968</v>
      </c>
      <c r="Y259">
        <v>2288.593495119721</v>
      </c>
      <c r="Z259">
        <v>1204.9095768848611</v>
      </c>
      <c r="AF259">
        <v>66.802000000000007</v>
      </c>
      <c r="AG259">
        <v>18.2</v>
      </c>
    </row>
    <row r="260" spans="1:33" hidden="1" x14ac:dyDescent="0.25">
      <c r="A260">
        <v>2024</v>
      </c>
      <c r="B260">
        <v>3</v>
      </c>
      <c r="C260" t="s">
        <v>30</v>
      </c>
      <c r="D260" t="s">
        <v>25</v>
      </c>
      <c r="E260">
        <v>2</v>
      </c>
      <c r="F260">
        <v>7</v>
      </c>
      <c r="G260">
        <v>2</v>
      </c>
      <c r="H260">
        <v>19</v>
      </c>
      <c r="I260" s="12"/>
      <c r="L260" t="s">
        <v>26</v>
      </c>
      <c r="M260">
        <v>37100</v>
      </c>
      <c r="S260">
        <v>1</v>
      </c>
      <c r="T260">
        <v>0.91400000000000003</v>
      </c>
      <c r="U260">
        <v>0.91400000000000003</v>
      </c>
      <c r="X260" s="16"/>
    </row>
    <row r="261" spans="1:33" hidden="1" x14ac:dyDescent="0.25">
      <c r="A261">
        <v>2024</v>
      </c>
      <c r="B261">
        <v>3</v>
      </c>
      <c r="C261" t="s">
        <v>36</v>
      </c>
      <c r="D261" t="s">
        <v>25</v>
      </c>
      <c r="E261">
        <v>2</v>
      </c>
      <c r="F261">
        <v>8</v>
      </c>
      <c r="G261">
        <v>2</v>
      </c>
      <c r="H261">
        <v>20</v>
      </c>
      <c r="I261" s="12"/>
      <c r="L261" t="s">
        <v>26</v>
      </c>
      <c r="M261">
        <v>37100</v>
      </c>
      <c r="S261">
        <v>1</v>
      </c>
      <c r="T261">
        <v>0.91400000000000003</v>
      </c>
      <c r="U261">
        <v>0.91400000000000003</v>
      </c>
      <c r="X261" s="16"/>
    </row>
    <row r="262" spans="1:33" hidden="1" x14ac:dyDescent="0.25">
      <c r="A262">
        <v>2024</v>
      </c>
      <c r="B262">
        <v>3</v>
      </c>
      <c r="C262" t="s">
        <v>24</v>
      </c>
      <c r="D262" t="s">
        <v>25</v>
      </c>
      <c r="E262">
        <v>2</v>
      </c>
      <c r="F262">
        <v>9</v>
      </c>
      <c r="G262">
        <v>2</v>
      </c>
      <c r="H262">
        <v>21</v>
      </c>
      <c r="I262" s="12">
        <v>45538</v>
      </c>
      <c r="J262">
        <v>246</v>
      </c>
      <c r="K262">
        <f>+J262-$AH$6</f>
        <v>104</v>
      </c>
      <c r="L262" t="s">
        <v>26</v>
      </c>
      <c r="M262">
        <v>37100</v>
      </c>
      <c r="P262">
        <v>0.11108999999999999</v>
      </c>
      <c r="Q262">
        <v>0.31950000000000001</v>
      </c>
      <c r="R262">
        <v>4711.0503282275713</v>
      </c>
      <c r="S262">
        <v>1</v>
      </c>
      <c r="T262">
        <v>0.91400000000000003</v>
      </c>
      <c r="U262">
        <v>0.91400000000000003</v>
      </c>
      <c r="V262">
        <v>703.96467232494103</v>
      </c>
      <c r="W262">
        <v>12.722253114306193</v>
      </c>
      <c r="X262" s="16">
        <v>1394.7830164317654</v>
      </c>
      <c r="Y262">
        <v>2599.5803863565588</v>
      </c>
      <c r="Z262">
        <v>1467.2998591833102</v>
      </c>
      <c r="AF262">
        <v>45.212000000000003</v>
      </c>
      <c r="AG262">
        <v>14.4</v>
      </c>
    </row>
    <row r="263" spans="1:33" hidden="1" x14ac:dyDescent="0.25">
      <c r="A263">
        <v>2024</v>
      </c>
      <c r="B263">
        <v>3</v>
      </c>
      <c r="C263" t="s">
        <v>37</v>
      </c>
      <c r="D263" t="s">
        <v>25</v>
      </c>
      <c r="E263">
        <v>2</v>
      </c>
      <c r="F263">
        <v>10</v>
      </c>
      <c r="G263">
        <v>2</v>
      </c>
      <c r="H263">
        <v>22</v>
      </c>
      <c r="I263" s="12"/>
      <c r="L263" t="s">
        <v>26</v>
      </c>
      <c r="M263">
        <v>37100</v>
      </c>
      <c r="S263">
        <v>1</v>
      </c>
      <c r="T263">
        <v>0.91400000000000003</v>
      </c>
      <c r="U263">
        <v>0.91400000000000003</v>
      </c>
      <c r="X263" s="16"/>
    </row>
    <row r="264" spans="1:33" hidden="1" x14ac:dyDescent="0.25">
      <c r="A264">
        <v>2024</v>
      </c>
      <c r="B264">
        <v>3</v>
      </c>
      <c r="C264" t="s">
        <v>31</v>
      </c>
      <c r="D264" t="s">
        <v>25</v>
      </c>
      <c r="E264">
        <v>2</v>
      </c>
      <c r="F264">
        <v>11</v>
      </c>
      <c r="G264">
        <v>2</v>
      </c>
      <c r="H264">
        <v>23</v>
      </c>
      <c r="I264" s="12"/>
      <c r="L264" t="s">
        <v>26</v>
      </c>
      <c r="M264">
        <v>37100</v>
      </c>
      <c r="S264">
        <v>1</v>
      </c>
      <c r="T264">
        <v>0.91400000000000003</v>
      </c>
      <c r="U264">
        <v>0.91400000000000003</v>
      </c>
      <c r="X264" s="16"/>
    </row>
    <row r="265" spans="1:33" hidden="1" x14ac:dyDescent="0.25">
      <c r="A265">
        <v>2024</v>
      </c>
      <c r="B265">
        <v>3</v>
      </c>
      <c r="C265" t="s">
        <v>28</v>
      </c>
      <c r="D265" t="s">
        <v>25</v>
      </c>
      <c r="E265">
        <v>2</v>
      </c>
      <c r="F265">
        <v>12</v>
      </c>
      <c r="G265">
        <v>2</v>
      </c>
      <c r="H265">
        <v>24</v>
      </c>
      <c r="I265" s="12"/>
      <c r="L265" t="s">
        <v>26</v>
      </c>
      <c r="M265">
        <v>37100</v>
      </c>
      <c r="S265">
        <v>1</v>
      </c>
      <c r="T265">
        <v>0.91400000000000003</v>
      </c>
      <c r="U265">
        <v>0.91400000000000003</v>
      </c>
      <c r="X265" s="16"/>
    </row>
    <row r="266" spans="1:33" hidden="1" x14ac:dyDescent="0.25">
      <c r="A266">
        <v>2024</v>
      </c>
      <c r="B266">
        <v>3</v>
      </c>
      <c r="C266" t="s">
        <v>27</v>
      </c>
      <c r="D266" t="s">
        <v>25</v>
      </c>
      <c r="E266">
        <v>3</v>
      </c>
      <c r="F266">
        <v>1</v>
      </c>
      <c r="G266">
        <v>3</v>
      </c>
      <c r="H266">
        <v>25</v>
      </c>
      <c r="I266" s="12"/>
      <c r="L266" t="s">
        <v>26</v>
      </c>
      <c r="M266">
        <v>37100</v>
      </c>
      <c r="S266">
        <v>1</v>
      </c>
      <c r="T266">
        <v>0.91400000000000003</v>
      </c>
      <c r="U266">
        <v>0.91400000000000003</v>
      </c>
      <c r="X266" s="16"/>
    </row>
    <row r="267" spans="1:33" hidden="1" x14ac:dyDescent="0.25">
      <c r="A267">
        <v>2024</v>
      </c>
      <c r="B267">
        <v>3</v>
      </c>
      <c r="C267" t="s">
        <v>24</v>
      </c>
      <c r="D267" t="s">
        <v>25</v>
      </c>
      <c r="E267">
        <v>3</v>
      </c>
      <c r="F267">
        <v>2</v>
      </c>
      <c r="G267">
        <v>3</v>
      </c>
      <c r="H267">
        <v>26</v>
      </c>
      <c r="I267" s="12">
        <v>45538</v>
      </c>
      <c r="J267">
        <v>246</v>
      </c>
      <c r="K267">
        <f>+J267-$AH$6</f>
        <v>104</v>
      </c>
      <c r="L267" t="s">
        <v>26</v>
      </c>
      <c r="M267">
        <v>37100</v>
      </c>
      <c r="P267">
        <v>0.16509000000000001</v>
      </c>
      <c r="Q267">
        <v>0.2555</v>
      </c>
      <c r="R267">
        <v>4601.6411378555804</v>
      </c>
      <c r="S267">
        <v>1</v>
      </c>
      <c r="T267">
        <v>0.91400000000000003</v>
      </c>
      <c r="U267">
        <v>0.91400000000000003</v>
      </c>
      <c r="V267">
        <v>936.55062227843905</v>
      </c>
      <c r="W267">
        <v>36.235589552439627</v>
      </c>
      <c r="X267" s="16">
        <v>1223.3692503512109</v>
      </c>
      <c r="Y267">
        <v>2405.4856756734903</v>
      </c>
      <c r="Z267">
        <v>1318.4179891003023</v>
      </c>
      <c r="AF267">
        <v>49.022000000000006</v>
      </c>
      <c r="AG267">
        <v>16.600000000000001</v>
      </c>
    </row>
    <row r="268" spans="1:33" hidden="1" x14ac:dyDescent="0.25">
      <c r="A268">
        <v>2024</v>
      </c>
      <c r="B268">
        <v>3</v>
      </c>
      <c r="C268" t="s">
        <v>33</v>
      </c>
      <c r="D268" t="s">
        <v>25</v>
      </c>
      <c r="E268">
        <v>3</v>
      </c>
      <c r="F268">
        <v>3</v>
      </c>
      <c r="G268">
        <v>3</v>
      </c>
      <c r="H268">
        <v>27</v>
      </c>
      <c r="I268" s="12"/>
      <c r="L268" t="s">
        <v>26</v>
      </c>
      <c r="M268">
        <v>37100</v>
      </c>
      <c r="S268">
        <v>1</v>
      </c>
      <c r="T268">
        <v>0.91400000000000003</v>
      </c>
      <c r="U268">
        <v>0.91400000000000003</v>
      </c>
      <c r="X268" s="16"/>
    </row>
    <row r="269" spans="1:33" hidden="1" x14ac:dyDescent="0.25">
      <c r="A269">
        <v>2024</v>
      </c>
      <c r="B269">
        <v>3</v>
      </c>
      <c r="C269" t="s">
        <v>34</v>
      </c>
      <c r="D269" t="s">
        <v>25</v>
      </c>
      <c r="E269">
        <v>3</v>
      </c>
      <c r="F269">
        <v>4</v>
      </c>
      <c r="G269">
        <v>3</v>
      </c>
      <c r="H269">
        <v>28</v>
      </c>
      <c r="I269" s="12">
        <v>45538</v>
      </c>
      <c r="J269">
        <v>246</v>
      </c>
      <c r="K269">
        <f>+J269-$AH$6</f>
        <v>104</v>
      </c>
      <c r="L269" t="s">
        <v>26</v>
      </c>
      <c r="M269">
        <v>37100</v>
      </c>
      <c r="P269">
        <v>0.15109</v>
      </c>
      <c r="Q269">
        <v>0.23449999999999999</v>
      </c>
      <c r="R269">
        <v>4218.7089715536104</v>
      </c>
      <c r="S269">
        <v>1</v>
      </c>
      <c r="T269">
        <v>0.91400000000000003</v>
      </c>
      <c r="U269">
        <v>0.91400000000000003</v>
      </c>
      <c r="V269">
        <v>603.1114818026208</v>
      </c>
      <c r="W269">
        <v>8.3765483583697549</v>
      </c>
      <c r="X269" s="16">
        <v>1225.4890248294919</v>
      </c>
      <c r="Y269">
        <v>2381.7319165631279</v>
      </c>
      <c r="Z269">
        <v>1128.0418455937911</v>
      </c>
      <c r="AF269">
        <v>38.607999999999997</v>
      </c>
      <c r="AG269">
        <v>13.4</v>
      </c>
    </row>
    <row r="270" spans="1:33" hidden="1" x14ac:dyDescent="0.25">
      <c r="A270">
        <v>2024</v>
      </c>
      <c r="B270">
        <v>3</v>
      </c>
      <c r="C270" t="s">
        <v>37</v>
      </c>
      <c r="D270" t="s">
        <v>25</v>
      </c>
      <c r="E270">
        <v>3</v>
      </c>
      <c r="F270">
        <v>5</v>
      </c>
      <c r="G270">
        <v>3</v>
      </c>
      <c r="H270">
        <v>29</v>
      </c>
      <c r="I270" s="12"/>
      <c r="L270" t="s">
        <v>26</v>
      </c>
      <c r="M270">
        <v>37100</v>
      </c>
      <c r="S270">
        <v>1</v>
      </c>
      <c r="T270">
        <v>0.91400000000000003</v>
      </c>
      <c r="U270">
        <v>0.91400000000000003</v>
      </c>
      <c r="X270" s="16"/>
    </row>
    <row r="271" spans="1:33" hidden="1" x14ac:dyDescent="0.25">
      <c r="A271">
        <v>2024</v>
      </c>
      <c r="B271">
        <v>3</v>
      </c>
      <c r="C271" t="s">
        <v>36</v>
      </c>
      <c r="D271" t="s">
        <v>25</v>
      </c>
      <c r="E271">
        <v>3</v>
      </c>
      <c r="F271">
        <v>6</v>
      </c>
      <c r="G271">
        <v>3</v>
      </c>
      <c r="H271">
        <v>30</v>
      </c>
      <c r="I271" s="12"/>
      <c r="L271" t="s">
        <v>26</v>
      </c>
      <c r="M271">
        <v>37100</v>
      </c>
      <c r="S271">
        <v>1</v>
      </c>
      <c r="T271">
        <v>0.91400000000000003</v>
      </c>
      <c r="U271">
        <v>0.91400000000000003</v>
      </c>
      <c r="X271" s="16"/>
    </row>
    <row r="272" spans="1:33" hidden="1" x14ac:dyDescent="0.25">
      <c r="A272">
        <v>2024</v>
      </c>
      <c r="B272">
        <v>3</v>
      </c>
      <c r="C272" t="s">
        <v>35</v>
      </c>
      <c r="D272" t="s">
        <v>25</v>
      </c>
      <c r="E272">
        <v>3</v>
      </c>
      <c r="F272">
        <v>7</v>
      </c>
      <c r="G272">
        <v>3</v>
      </c>
      <c r="H272">
        <v>31</v>
      </c>
      <c r="I272" s="12">
        <v>45538</v>
      </c>
      <c r="J272">
        <v>246</v>
      </c>
      <c r="K272">
        <f>+J272-$AH$6</f>
        <v>104</v>
      </c>
      <c r="L272" t="s">
        <v>26</v>
      </c>
      <c r="M272">
        <v>37100</v>
      </c>
      <c r="P272">
        <v>6.5090000000000009E-2</v>
      </c>
      <c r="Q272">
        <v>0.21249999999999999</v>
      </c>
      <c r="R272">
        <v>3037.0897155361049</v>
      </c>
      <c r="S272">
        <v>1</v>
      </c>
      <c r="T272">
        <v>0.91400000000000003</v>
      </c>
      <c r="U272">
        <v>0.91400000000000003</v>
      </c>
      <c r="V272">
        <v>447.93457165688443</v>
      </c>
      <c r="W272">
        <v>60.657806578536466</v>
      </c>
      <c r="X272" s="16">
        <v>1441.3228040084539</v>
      </c>
      <c r="Y272">
        <v>1087.1745332922299</v>
      </c>
      <c r="Z272">
        <v>480.59646750686551</v>
      </c>
      <c r="AF272">
        <v>69.596000000000004</v>
      </c>
      <c r="AG272">
        <v>17.8</v>
      </c>
    </row>
    <row r="273" spans="1:33" hidden="1" x14ac:dyDescent="0.25">
      <c r="A273">
        <v>2024</v>
      </c>
      <c r="B273">
        <v>3</v>
      </c>
      <c r="C273" t="s">
        <v>28</v>
      </c>
      <c r="D273" t="s">
        <v>25</v>
      </c>
      <c r="E273">
        <v>3</v>
      </c>
      <c r="F273">
        <v>8</v>
      </c>
      <c r="G273">
        <v>3</v>
      </c>
      <c r="H273">
        <v>32</v>
      </c>
      <c r="I273" s="12"/>
      <c r="L273" t="s">
        <v>26</v>
      </c>
      <c r="M273">
        <v>37100</v>
      </c>
      <c r="S273">
        <v>1</v>
      </c>
      <c r="T273">
        <v>0.91400000000000003</v>
      </c>
      <c r="U273">
        <v>0.91400000000000003</v>
      </c>
      <c r="X273" s="16"/>
    </row>
    <row r="274" spans="1:33" hidden="1" x14ac:dyDescent="0.25">
      <c r="A274">
        <v>2024</v>
      </c>
      <c r="B274">
        <v>3</v>
      </c>
      <c r="C274" t="s">
        <v>29</v>
      </c>
      <c r="D274" t="s">
        <v>25</v>
      </c>
      <c r="E274">
        <v>3</v>
      </c>
      <c r="F274">
        <v>9</v>
      </c>
      <c r="G274">
        <v>3</v>
      </c>
      <c r="H274">
        <v>33</v>
      </c>
      <c r="I274" s="12">
        <v>45538</v>
      </c>
      <c r="J274">
        <v>246</v>
      </c>
      <c r="K274">
        <f>+J274-$AH$6</f>
        <v>104</v>
      </c>
      <c r="L274" t="s">
        <v>26</v>
      </c>
      <c r="M274">
        <v>37100</v>
      </c>
      <c r="P274">
        <v>0.16578999999999999</v>
      </c>
      <c r="Q274">
        <v>0.1265</v>
      </c>
      <c r="R274">
        <v>3197.9212253829323</v>
      </c>
      <c r="S274">
        <v>1</v>
      </c>
      <c r="T274">
        <v>0.91400000000000003</v>
      </c>
      <c r="U274">
        <v>0.91400000000000003</v>
      </c>
      <c r="V274">
        <v>667.39896494510799</v>
      </c>
      <c r="W274">
        <v>0</v>
      </c>
      <c r="X274" s="16">
        <v>1155.217456952674</v>
      </c>
      <c r="Y274">
        <v>1375.3048034851506</v>
      </c>
      <c r="Z274">
        <v>709.83473728265824</v>
      </c>
      <c r="AF274">
        <v>59.69</v>
      </c>
      <c r="AG274">
        <v>18.2</v>
      </c>
    </row>
    <row r="275" spans="1:33" hidden="1" x14ac:dyDescent="0.25">
      <c r="A275">
        <v>2024</v>
      </c>
      <c r="B275">
        <v>3</v>
      </c>
      <c r="C275" t="s">
        <v>31</v>
      </c>
      <c r="D275" t="s">
        <v>25</v>
      </c>
      <c r="E275">
        <v>3</v>
      </c>
      <c r="F275">
        <v>10</v>
      </c>
      <c r="G275">
        <v>3</v>
      </c>
      <c r="H275">
        <v>34</v>
      </c>
      <c r="I275" s="12"/>
      <c r="L275" t="s">
        <v>26</v>
      </c>
      <c r="M275">
        <v>37100</v>
      </c>
      <c r="S275">
        <v>1</v>
      </c>
      <c r="T275">
        <v>0.91400000000000003</v>
      </c>
      <c r="U275">
        <v>0.91400000000000003</v>
      </c>
      <c r="X275" s="16"/>
    </row>
    <row r="276" spans="1:33" hidden="1" x14ac:dyDescent="0.25">
      <c r="A276">
        <v>2024</v>
      </c>
      <c r="B276">
        <v>3</v>
      </c>
      <c r="C276" t="s">
        <v>30</v>
      </c>
      <c r="D276" t="s">
        <v>25</v>
      </c>
      <c r="E276">
        <v>3</v>
      </c>
      <c r="F276">
        <v>11</v>
      </c>
      <c r="G276">
        <v>3</v>
      </c>
      <c r="H276">
        <v>35</v>
      </c>
      <c r="I276" s="12"/>
      <c r="L276" t="s">
        <v>26</v>
      </c>
      <c r="M276">
        <v>37100</v>
      </c>
      <c r="S276">
        <v>1</v>
      </c>
      <c r="T276">
        <v>0.91400000000000003</v>
      </c>
      <c r="U276">
        <v>0.91400000000000003</v>
      </c>
      <c r="X276" s="16"/>
    </row>
    <row r="277" spans="1:33" hidden="1" x14ac:dyDescent="0.25">
      <c r="A277">
        <v>2024</v>
      </c>
      <c r="B277">
        <v>3</v>
      </c>
      <c r="C277" t="s">
        <v>32</v>
      </c>
      <c r="D277" t="s">
        <v>25</v>
      </c>
      <c r="E277">
        <v>3</v>
      </c>
      <c r="F277">
        <v>12</v>
      </c>
      <c r="G277">
        <v>3</v>
      </c>
      <c r="H277">
        <v>36</v>
      </c>
      <c r="I277" s="12"/>
      <c r="L277" t="s">
        <v>26</v>
      </c>
      <c r="M277">
        <v>37100</v>
      </c>
      <c r="S277">
        <v>1</v>
      </c>
      <c r="T277">
        <v>0.91400000000000003</v>
      </c>
      <c r="U277">
        <v>0.91400000000000003</v>
      </c>
      <c r="X277" s="16"/>
    </row>
    <row r="278" spans="1:33" hidden="1" x14ac:dyDescent="0.25">
      <c r="A278">
        <v>2024</v>
      </c>
      <c r="B278">
        <v>3</v>
      </c>
      <c r="C278" t="s">
        <v>24</v>
      </c>
      <c r="D278" t="s">
        <v>38</v>
      </c>
      <c r="E278">
        <v>4</v>
      </c>
      <c r="F278">
        <v>1</v>
      </c>
      <c r="G278">
        <v>4</v>
      </c>
      <c r="H278">
        <v>37</v>
      </c>
      <c r="I278" s="12">
        <v>45538</v>
      </c>
      <c r="J278">
        <v>246</v>
      </c>
      <c r="L278" t="s">
        <v>26</v>
      </c>
      <c r="M278">
        <v>37100</v>
      </c>
      <c r="Q278">
        <v>0.94850000000000001</v>
      </c>
      <c r="R278">
        <v>10377.46170678337</v>
      </c>
      <c r="S278">
        <v>1</v>
      </c>
      <c r="T278">
        <v>0.91400000000000003</v>
      </c>
      <c r="U278">
        <v>0.91400000000000003</v>
      </c>
      <c r="X278" s="16"/>
    </row>
    <row r="279" spans="1:33" hidden="1" x14ac:dyDescent="0.25">
      <c r="A279">
        <v>2024</v>
      </c>
      <c r="B279">
        <v>3</v>
      </c>
      <c r="C279" t="s">
        <v>27</v>
      </c>
      <c r="D279" t="s">
        <v>38</v>
      </c>
      <c r="E279">
        <v>4</v>
      </c>
      <c r="F279">
        <v>2</v>
      </c>
      <c r="G279">
        <v>4</v>
      </c>
      <c r="H279">
        <v>38</v>
      </c>
      <c r="I279" s="12"/>
      <c r="L279" t="s">
        <v>26</v>
      </c>
      <c r="M279">
        <v>37100</v>
      </c>
      <c r="S279">
        <v>1</v>
      </c>
      <c r="T279">
        <v>0.91400000000000003</v>
      </c>
      <c r="U279">
        <v>0.91400000000000003</v>
      </c>
      <c r="X279" s="16"/>
    </row>
    <row r="280" spans="1:33" hidden="1" x14ac:dyDescent="0.25">
      <c r="A280">
        <v>2024</v>
      </c>
      <c r="B280">
        <v>3</v>
      </c>
      <c r="C280" t="s">
        <v>28</v>
      </c>
      <c r="D280" t="s">
        <v>38</v>
      </c>
      <c r="E280">
        <v>4</v>
      </c>
      <c r="F280">
        <v>3</v>
      </c>
      <c r="G280">
        <v>4</v>
      </c>
      <c r="H280">
        <v>39</v>
      </c>
      <c r="I280" s="12"/>
      <c r="L280" t="s">
        <v>26</v>
      </c>
      <c r="M280">
        <v>37100</v>
      </c>
      <c r="S280">
        <v>1</v>
      </c>
      <c r="T280">
        <v>0.91400000000000003</v>
      </c>
      <c r="U280">
        <v>0.91400000000000003</v>
      </c>
      <c r="X280" s="16"/>
    </row>
    <row r="281" spans="1:33" hidden="1" x14ac:dyDescent="0.25">
      <c r="A281">
        <v>2024</v>
      </c>
      <c r="B281">
        <v>3</v>
      </c>
      <c r="C281" t="s">
        <v>29</v>
      </c>
      <c r="D281" t="s">
        <v>38</v>
      </c>
      <c r="E281">
        <v>4</v>
      </c>
      <c r="F281">
        <v>4</v>
      </c>
      <c r="G281">
        <v>4</v>
      </c>
      <c r="H281">
        <v>40</v>
      </c>
      <c r="I281" s="12">
        <v>45538</v>
      </c>
      <c r="J281">
        <v>246</v>
      </c>
      <c r="K281">
        <f>+J281-$AH$6</f>
        <v>104</v>
      </c>
      <c r="L281" t="s">
        <v>26</v>
      </c>
      <c r="M281">
        <v>37100</v>
      </c>
      <c r="P281">
        <v>265.09000000000003</v>
      </c>
      <c r="Q281">
        <v>0.57350000000000001</v>
      </c>
      <c r="R281">
        <v>9797.4835000000003</v>
      </c>
      <c r="S281">
        <v>1</v>
      </c>
      <c r="T281">
        <v>0.91400000000000003</v>
      </c>
      <c r="U281">
        <v>0.91400000000000003</v>
      </c>
      <c r="V281">
        <v>532.87901561527394</v>
      </c>
      <c r="W281">
        <v>3.289376639600464</v>
      </c>
      <c r="X281" s="16">
        <v>1336.4737286696654</v>
      </c>
      <c r="Y281">
        <v>1033.9607237144101</v>
      </c>
      <c r="Z281">
        <v>623.88510264421984</v>
      </c>
      <c r="AF281">
        <v>90.424000000000007</v>
      </c>
      <c r="AG281">
        <v>19.600000000000001</v>
      </c>
    </row>
    <row r="282" spans="1:33" hidden="1" x14ac:dyDescent="0.25">
      <c r="A282">
        <v>2024</v>
      </c>
      <c r="B282">
        <v>3</v>
      </c>
      <c r="C282" t="s">
        <v>30</v>
      </c>
      <c r="D282" t="s">
        <v>38</v>
      </c>
      <c r="E282">
        <v>4</v>
      </c>
      <c r="F282">
        <v>5</v>
      </c>
      <c r="G282">
        <v>4</v>
      </c>
      <c r="H282">
        <v>41</v>
      </c>
      <c r="I282" s="12"/>
      <c r="L282" t="s">
        <v>26</v>
      </c>
      <c r="M282">
        <v>37100</v>
      </c>
      <c r="S282">
        <v>1</v>
      </c>
      <c r="T282">
        <v>0.91400000000000003</v>
      </c>
      <c r="U282">
        <v>0.91400000000000003</v>
      </c>
      <c r="X282" s="16"/>
    </row>
    <row r="283" spans="1:33" hidden="1" x14ac:dyDescent="0.25">
      <c r="A283">
        <v>2024</v>
      </c>
      <c r="B283">
        <v>3</v>
      </c>
      <c r="C283" t="s">
        <v>31</v>
      </c>
      <c r="D283" t="s">
        <v>38</v>
      </c>
      <c r="E283">
        <v>4</v>
      </c>
      <c r="F283">
        <v>6</v>
      </c>
      <c r="G283">
        <v>4</v>
      </c>
      <c r="H283">
        <v>42</v>
      </c>
      <c r="I283" s="12"/>
      <c r="L283" t="s">
        <v>26</v>
      </c>
      <c r="M283">
        <v>37100</v>
      </c>
      <c r="S283">
        <v>1</v>
      </c>
      <c r="T283">
        <v>0.91400000000000003</v>
      </c>
      <c r="U283">
        <v>0.91400000000000003</v>
      </c>
      <c r="X283" s="16"/>
    </row>
    <row r="284" spans="1:33" hidden="1" x14ac:dyDescent="0.25">
      <c r="A284">
        <v>2024</v>
      </c>
      <c r="B284">
        <v>3</v>
      </c>
      <c r="C284" t="s">
        <v>32</v>
      </c>
      <c r="D284" t="s">
        <v>38</v>
      </c>
      <c r="E284">
        <v>4</v>
      </c>
      <c r="F284">
        <v>7</v>
      </c>
      <c r="G284">
        <v>4</v>
      </c>
      <c r="H284">
        <v>43</v>
      </c>
      <c r="I284" s="12"/>
      <c r="L284" t="s">
        <v>26</v>
      </c>
      <c r="M284">
        <v>37100</v>
      </c>
      <c r="S284">
        <v>1</v>
      </c>
      <c r="T284">
        <v>0.91400000000000003</v>
      </c>
      <c r="U284">
        <v>0.91400000000000003</v>
      </c>
      <c r="X284" s="16"/>
    </row>
    <row r="285" spans="1:33" hidden="1" x14ac:dyDescent="0.25">
      <c r="A285">
        <v>2024</v>
      </c>
      <c r="B285">
        <v>3</v>
      </c>
      <c r="C285" t="s">
        <v>33</v>
      </c>
      <c r="D285" t="s">
        <v>38</v>
      </c>
      <c r="E285">
        <v>4</v>
      </c>
      <c r="F285">
        <v>8</v>
      </c>
      <c r="G285">
        <v>4</v>
      </c>
      <c r="H285">
        <v>44</v>
      </c>
      <c r="I285" s="12"/>
      <c r="L285" t="s">
        <v>26</v>
      </c>
      <c r="M285">
        <v>37100</v>
      </c>
      <c r="S285">
        <v>1</v>
      </c>
      <c r="T285">
        <v>0.91400000000000003</v>
      </c>
      <c r="U285">
        <v>0.91400000000000003</v>
      </c>
      <c r="X285" s="16"/>
    </row>
    <row r="286" spans="1:33" hidden="1" x14ac:dyDescent="0.25">
      <c r="A286">
        <v>2024</v>
      </c>
      <c r="B286">
        <v>3</v>
      </c>
      <c r="C286" t="s">
        <v>34</v>
      </c>
      <c r="D286" t="s">
        <v>38</v>
      </c>
      <c r="E286">
        <v>4</v>
      </c>
      <c r="F286">
        <v>9</v>
      </c>
      <c r="G286">
        <v>4</v>
      </c>
      <c r="H286">
        <v>45</v>
      </c>
      <c r="I286" s="12">
        <v>45538</v>
      </c>
      <c r="J286">
        <v>246</v>
      </c>
      <c r="K286">
        <f>+J286-$AH$6</f>
        <v>104</v>
      </c>
      <c r="L286" t="s">
        <v>26</v>
      </c>
      <c r="M286">
        <v>37100</v>
      </c>
      <c r="P286">
        <v>359.09000000000003</v>
      </c>
      <c r="Q286">
        <v>0.14249999999999999</v>
      </c>
      <c r="R286" s="19">
        <v>6218.7089715536094</v>
      </c>
      <c r="S286">
        <v>1</v>
      </c>
      <c r="T286">
        <v>0.91400000000000003</v>
      </c>
      <c r="U286">
        <v>0.91400000000000003</v>
      </c>
      <c r="V286">
        <v>663.28280403424333</v>
      </c>
      <c r="W286">
        <v>14.228839030437571</v>
      </c>
      <c r="X286" s="16">
        <v>940.08844948021704</v>
      </c>
      <c r="Y286">
        <v>2312.7336054857365</v>
      </c>
      <c r="Z286">
        <v>731.14342094863775</v>
      </c>
      <c r="AF286">
        <v>41.147999999999996</v>
      </c>
      <c r="AG286">
        <v>11.2</v>
      </c>
    </row>
    <row r="287" spans="1:33" hidden="1" x14ac:dyDescent="0.25">
      <c r="A287">
        <v>2024</v>
      </c>
      <c r="B287">
        <v>3</v>
      </c>
      <c r="C287" t="s">
        <v>35</v>
      </c>
      <c r="D287" t="s">
        <v>38</v>
      </c>
      <c r="E287">
        <v>4</v>
      </c>
      <c r="F287">
        <v>10</v>
      </c>
      <c r="G287">
        <v>4</v>
      </c>
      <c r="H287">
        <v>46</v>
      </c>
      <c r="I287" s="12">
        <v>45538</v>
      </c>
      <c r="J287">
        <v>246</v>
      </c>
      <c r="L287" t="s">
        <v>26</v>
      </c>
      <c r="M287">
        <v>37100</v>
      </c>
      <c r="Q287">
        <v>0.34649999999999997</v>
      </c>
      <c r="R287">
        <v>3791.0284463894959</v>
      </c>
      <c r="S287">
        <v>1</v>
      </c>
      <c r="T287">
        <v>0.91400000000000003</v>
      </c>
      <c r="U287">
        <v>0.91400000000000003</v>
      </c>
      <c r="X287" s="16"/>
      <c r="AF287">
        <v>92.456000000000003</v>
      </c>
      <c r="AG287">
        <v>17</v>
      </c>
    </row>
    <row r="288" spans="1:33" hidden="1" x14ac:dyDescent="0.25">
      <c r="A288">
        <v>2024</v>
      </c>
      <c r="B288">
        <v>3</v>
      </c>
      <c r="C288" t="s">
        <v>36</v>
      </c>
      <c r="D288" t="s">
        <v>38</v>
      </c>
      <c r="E288">
        <v>4</v>
      </c>
      <c r="F288">
        <v>11</v>
      </c>
      <c r="G288">
        <v>4</v>
      </c>
      <c r="H288">
        <v>47</v>
      </c>
      <c r="I288" s="12"/>
      <c r="L288" t="s">
        <v>26</v>
      </c>
      <c r="M288">
        <v>37100</v>
      </c>
      <c r="S288">
        <v>1</v>
      </c>
      <c r="T288">
        <v>0.91400000000000003</v>
      </c>
      <c r="U288">
        <v>0.91400000000000003</v>
      </c>
      <c r="X288" s="16"/>
    </row>
    <row r="289" spans="1:33" hidden="1" x14ac:dyDescent="0.25">
      <c r="A289">
        <v>2024</v>
      </c>
      <c r="B289">
        <v>3</v>
      </c>
      <c r="C289" t="s">
        <v>37</v>
      </c>
      <c r="D289" t="s">
        <v>38</v>
      </c>
      <c r="E289">
        <v>4</v>
      </c>
      <c r="F289">
        <v>12</v>
      </c>
      <c r="G289">
        <v>4</v>
      </c>
      <c r="H289">
        <v>48</v>
      </c>
      <c r="I289" s="12"/>
      <c r="L289" t="s">
        <v>26</v>
      </c>
      <c r="M289">
        <v>37100</v>
      </c>
      <c r="S289">
        <v>1</v>
      </c>
      <c r="T289">
        <v>0.91400000000000003</v>
      </c>
      <c r="U289">
        <v>0.91400000000000003</v>
      </c>
      <c r="X289" s="16"/>
    </row>
    <row r="290" spans="1:33" hidden="1" x14ac:dyDescent="0.25">
      <c r="A290">
        <v>2024</v>
      </c>
      <c r="B290" s="15">
        <v>3</v>
      </c>
      <c r="C290" s="15" t="s">
        <v>35</v>
      </c>
      <c r="D290" t="s">
        <v>38</v>
      </c>
      <c r="E290">
        <v>5</v>
      </c>
      <c r="F290">
        <v>1</v>
      </c>
      <c r="G290">
        <v>5</v>
      </c>
      <c r="H290" s="15">
        <v>49</v>
      </c>
      <c r="I290" s="14">
        <v>45538</v>
      </c>
      <c r="J290" s="15">
        <v>246</v>
      </c>
      <c r="K290">
        <f>+J290-$AH$6</f>
        <v>104</v>
      </c>
      <c r="L290" s="15" t="s">
        <v>26</v>
      </c>
      <c r="M290" s="15">
        <v>37100</v>
      </c>
      <c r="N290" s="15"/>
      <c r="P290" s="15">
        <v>0.40409</v>
      </c>
      <c r="Q290" s="15">
        <v>0.3155</v>
      </c>
      <c r="R290" s="15">
        <v>7872.9759299781172</v>
      </c>
      <c r="S290">
        <v>1</v>
      </c>
      <c r="T290">
        <v>0.91400000000000003</v>
      </c>
      <c r="U290">
        <v>0.91400000000000003</v>
      </c>
      <c r="V290" s="15">
        <v>1726.2136340816678</v>
      </c>
      <c r="W290" s="15">
        <v>5.8449671582900855</v>
      </c>
      <c r="X290" s="54"/>
      <c r="Y290" s="15">
        <v>2265.8989350304514</v>
      </c>
      <c r="Z290" s="15">
        <v>633.20477548142446</v>
      </c>
      <c r="AA290" s="15"/>
      <c r="AF290">
        <v>113.53800000000001</v>
      </c>
      <c r="AG290">
        <v>21.4</v>
      </c>
    </row>
    <row r="291" spans="1:33" hidden="1" x14ac:dyDescent="0.25">
      <c r="A291">
        <v>2024</v>
      </c>
      <c r="B291">
        <v>3</v>
      </c>
      <c r="C291" t="s">
        <v>33</v>
      </c>
      <c r="D291" t="s">
        <v>38</v>
      </c>
      <c r="E291">
        <v>5</v>
      </c>
      <c r="F291">
        <v>2</v>
      </c>
      <c r="G291">
        <v>5</v>
      </c>
      <c r="H291">
        <v>50</v>
      </c>
      <c r="I291" s="12"/>
      <c r="L291" t="s">
        <v>26</v>
      </c>
      <c r="M291" s="15">
        <v>37100</v>
      </c>
      <c r="S291">
        <v>1</v>
      </c>
      <c r="T291">
        <v>0.91400000000000003</v>
      </c>
      <c r="U291">
        <v>0.91400000000000003</v>
      </c>
      <c r="X291" s="16"/>
    </row>
    <row r="292" spans="1:33" hidden="1" x14ac:dyDescent="0.25">
      <c r="A292">
        <v>2024</v>
      </c>
      <c r="B292" s="15">
        <v>3</v>
      </c>
      <c r="C292" t="s">
        <v>34</v>
      </c>
      <c r="D292" t="s">
        <v>38</v>
      </c>
      <c r="E292">
        <v>5</v>
      </c>
      <c r="F292">
        <v>3</v>
      </c>
      <c r="G292">
        <v>5</v>
      </c>
      <c r="H292">
        <v>51</v>
      </c>
      <c r="I292" s="12">
        <v>45538</v>
      </c>
      <c r="J292">
        <v>246</v>
      </c>
      <c r="K292">
        <f>+J292-$AH$6</f>
        <v>104</v>
      </c>
      <c r="L292" t="s">
        <v>26</v>
      </c>
      <c r="M292" s="15">
        <v>37100</v>
      </c>
      <c r="P292">
        <v>0.23608999999999999</v>
      </c>
      <c r="Q292">
        <v>0.4405</v>
      </c>
      <c r="R292">
        <v>7402.5164113785559</v>
      </c>
      <c r="S292">
        <v>1</v>
      </c>
      <c r="T292">
        <v>0.91400000000000003</v>
      </c>
      <c r="U292">
        <v>0.91400000000000003</v>
      </c>
      <c r="V292">
        <v>1461.1261161855257</v>
      </c>
      <c r="W292">
        <v>103.47030436506942</v>
      </c>
      <c r="X292" s="16"/>
      <c r="Y292">
        <v>3803.3175513584597</v>
      </c>
      <c r="Z292">
        <v>1937.7166090185722</v>
      </c>
      <c r="AF292">
        <v>42.925999999999995</v>
      </c>
      <c r="AG292">
        <v>11.8</v>
      </c>
    </row>
    <row r="293" spans="1:33" hidden="1" x14ac:dyDescent="0.25">
      <c r="A293">
        <v>2024</v>
      </c>
      <c r="B293">
        <v>3</v>
      </c>
      <c r="C293" t="s">
        <v>27</v>
      </c>
      <c r="D293" t="s">
        <v>38</v>
      </c>
      <c r="E293">
        <v>5</v>
      </c>
      <c r="F293">
        <v>4</v>
      </c>
      <c r="G293">
        <v>5</v>
      </c>
      <c r="H293">
        <v>52</v>
      </c>
      <c r="I293" s="12"/>
      <c r="L293" t="s">
        <v>26</v>
      </c>
      <c r="M293" s="15">
        <v>37100</v>
      </c>
      <c r="S293">
        <v>1</v>
      </c>
      <c r="T293">
        <v>0.91400000000000003</v>
      </c>
      <c r="U293">
        <v>0.91400000000000003</v>
      </c>
      <c r="X293" s="16"/>
    </row>
    <row r="294" spans="1:33" hidden="1" x14ac:dyDescent="0.25">
      <c r="A294">
        <v>2024</v>
      </c>
      <c r="B294" s="15">
        <v>3</v>
      </c>
      <c r="C294" t="s">
        <v>32</v>
      </c>
      <c r="D294" t="s">
        <v>38</v>
      </c>
      <c r="E294">
        <v>5</v>
      </c>
      <c r="F294">
        <v>5</v>
      </c>
      <c r="G294">
        <v>5</v>
      </c>
      <c r="H294">
        <v>53</v>
      </c>
      <c r="I294" s="12"/>
      <c r="L294" t="s">
        <v>26</v>
      </c>
      <c r="M294" s="15">
        <v>37100</v>
      </c>
      <c r="S294">
        <v>1</v>
      </c>
      <c r="T294">
        <v>0.91400000000000003</v>
      </c>
      <c r="U294">
        <v>0.91400000000000003</v>
      </c>
      <c r="X294" s="16"/>
    </row>
    <row r="295" spans="1:33" hidden="1" x14ac:dyDescent="0.25">
      <c r="A295">
        <v>2024</v>
      </c>
      <c r="B295">
        <v>3</v>
      </c>
      <c r="C295" t="s">
        <v>29</v>
      </c>
      <c r="D295" t="s">
        <v>38</v>
      </c>
      <c r="E295">
        <v>5</v>
      </c>
      <c r="F295">
        <v>6</v>
      </c>
      <c r="G295">
        <v>5</v>
      </c>
      <c r="H295">
        <v>54</v>
      </c>
      <c r="I295" s="12">
        <v>45538</v>
      </c>
      <c r="J295">
        <v>246</v>
      </c>
      <c r="K295">
        <f>+J295-$AH$6</f>
        <v>104</v>
      </c>
      <c r="L295" t="s">
        <v>26</v>
      </c>
      <c r="M295" s="15">
        <v>37100</v>
      </c>
      <c r="P295">
        <v>0.21709000000000001</v>
      </c>
      <c r="Q295">
        <v>0.64149999999999996</v>
      </c>
      <c r="R295">
        <v>9393.7636761487956</v>
      </c>
      <c r="S295">
        <v>1</v>
      </c>
      <c r="T295">
        <v>0.91400000000000003</v>
      </c>
      <c r="U295">
        <v>0.91400000000000003</v>
      </c>
      <c r="V295">
        <v>1800.085535620203</v>
      </c>
      <c r="W295">
        <v>12.981386074184188</v>
      </c>
      <c r="X295" s="16"/>
      <c r="Y295">
        <v>3474.6843391899592</v>
      </c>
      <c r="Z295">
        <v>2098.6574153264387</v>
      </c>
      <c r="AF295">
        <v>103.37800000000001</v>
      </c>
      <c r="AG295">
        <v>20.8</v>
      </c>
    </row>
    <row r="296" spans="1:33" hidden="1" x14ac:dyDescent="0.25">
      <c r="A296">
        <v>2024</v>
      </c>
      <c r="B296" s="15">
        <v>3</v>
      </c>
      <c r="C296" t="s">
        <v>30</v>
      </c>
      <c r="D296" t="s">
        <v>38</v>
      </c>
      <c r="E296">
        <v>5</v>
      </c>
      <c r="F296">
        <v>7</v>
      </c>
      <c r="G296">
        <v>5</v>
      </c>
      <c r="H296">
        <v>55</v>
      </c>
      <c r="I296" s="12"/>
      <c r="L296" t="s">
        <v>26</v>
      </c>
      <c r="M296" s="15">
        <v>37100</v>
      </c>
      <c r="S296">
        <v>1</v>
      </c>
      <c r="T296">
        <v>0.91400000000000003</v>
      </c>
      <c r="U296">
        <v>0.91400000000000003</v>
      </c>
      <c r="X296" s="16"/>
    </row>
    <row r="297" spans="1:33" hidden="1" x14ac:dyDescent="0.25">
      <c r="A297">
        <v>2024</v>
      </c>
      <c r="B297">
        <v>3</v>
      </c>
      <c r="C297" t="s">
        <v>36</v>
      </c>
      <c r="D297" t="s">
        <v>38</v>
      </c>
      <c r="E297">
        <v>5</v>
      </c>
      <c r="F297">
        <v>8</v>
      </c>
      <c r="G297">
        <v>5</v>
      </c>
      <c r="H297">
        <v>56</v>
      </c>
      <c r="I297" s="12"/>
      <c r="L297" t="s">
        <v>26</v>
      </c>
      <c r="M297" s="15">
        <v>37100</v>
      </c>
      <c r="S297">
        <v>1</v>
      </c>
      <c r="T297">
        <v>0.91400000000000003</v>
      </c>
      <c r="U297">
        <v>0.91400000000000003</v>
      </c>
      <c r="X297" s="16"/>
    </row>
    <row r="298" spans="1:33" hidden="1" x14ac:dyDescent="0.25">
      <c r="A298">
        <v>2024</v>
      </c>
      <c r="B298" s="15">
        <v>3</v>
      </c>
      <c r="C298" t="s">
        <v>24</v>
      </c>
      <c r="D298" t="s">
        <v>38</v>
      </c>
      <c r="E298">
        <v>5</v>
      </c>
      <c r="F298">
        <v>9</v>
      </c>
      <c r="G298">
        <v>5</v>
      </c>
      <c r="H298">
        <v>57</v>
      </c>
      <c r="I298" s="12">
        <v>45538</v>
      </c>
      <c r="J298">
        <v>246</v>
      </c>
      <c r="K298">
        <f>+J298-$AH$6</f>
        <v>104</v>
      </c>
      <c r="L298" t="s">
        <v>26</v>
      </c>
      <c r="M298" s="15">
        <v>37100</v>
      </c>
      <c r="P298">
        <v>0.21778999999999998</v>
      </c>
      <c r="Q298">
        <v>0.76349999999999996</v>
      </c>
      <c r="R298">
        <v>10736.214442013128</v>
      </c>
      <c r="S298">
        <v>1</v>
      </c>
      <c r="T298">
        <v>0.91400000000000003</v>
      </c>
      <c r="U298">
        <v>0.91400000000000003</v>
      </c>
      <c r="V298">
        <v>1557.7592009165478</v>
      </c>
      <c r="W298">
        <v>0</v>
      </c>
      <c r="X298" s="16"/>
      <c r="Y298">
        <v>6226.1071859417707</v>
      </c>
      <c r="Z298">
        <v>3352.1400526052289</v>
      </c>
      <c r="AF298">
        <v>77.977999999999994</v>
      </c>
      <c r="AG298">
        <v>17.600000000000001</v>
      </c>
    </row>
    <row r="299" spans="1:33" hidden="1" x14ac:dyDescent="0.25">
      <c r="A299">
        <v>2024</v>
      </c>
      <c r="B299">
        <v>3</v>
      </c>
      <c r="C299" t="s">
        <v>37</v>
      </c>
      <c r="D299" t="s">
        <v>38</v>
      </c>
      <c r="E299">
        <v>5</v>
      </c>
      <c r="F299">
        <v>10</v>
      </c>
      <c r="G299">
        <v>5</v>
      </c>
      <c r="H299">
        <v>58</v>
      </c>
      <c r="I299" s="12"/>
      <c r="L299" t="s">
        <v>26</v>
      </c>
      <c r="M299" s="15">
        <v>37100</v>
      </c>
      <c r="S299">
        <v>1</v>
      </c>
      <c r="T299">
        <v>0.91400000000000003</v>
      </c>
      <c r="U299">
        <v>0.91400000000000003</v>
      </c>
      <c r="X299" s="16"/>
    </row>
    <row r="300" spans="1:33" hidden="1" x14ac:dyDescent="0.25">
      <c r="A300">
        <v>2024</v>
      </c>
      <c r="B300" s="15">
        <v>3</v>
      </c>
      <c r="C300" t="s">
        <v>31</v>
      </c>
      <c r="D300" t="s">
        <v>38</v>
      </c>
      <c r="E300">
        <v>5</v>
      </c>
      <c r="F300">
        <v>11</v>
      </c>
      <c r="G300">
        <v>5</v>
      </c>
      <c r="H300">
        <v>59</v>
      </c>
      <c r="I300" s="12"/>
      <c r="L300" t="s">
        <v>26</v>
      </c>
      <c r="M300" s="15">
        <v>37100</v>
      </c>
      <c r="S300">
        <v>1</v>
      </c>
      <c r="T300">
        <v>0.91400000000000003</v>
      </c>
      <c r="U300">
        <v>0.91400000000000003</v>
      </c>
      <c r="X300" s="16"/>
    </row>
    <row r="301" spans="1:33" hidden="1" x14ac:dyDescent="0.25">
      <c r="A301">
        <v>2024</v>
      </c>
      <c r="B301">
        <v>3</v>
      </c>
      <c r="C301" t="s">
        <v>28</v>
      </c>
      <c r="D301" t="s">
        <v>38</v>
      </c>
      <c r="E301">
        <v>5</v>
      </c>
      <c r="F301">
        <v>12</v>
      </c>
      <c r="G301">
        <v>5</v>
      </c>
      <c r="H301">
        <v>60</v>
      </c>
      <c r="I301" s="12"/>
      <c r="L301" t="s">
        <v>26</v>
      </c>
      <c r="M301" s="15">
        <v>37100</v>
      </c>
      <c r="S301">
        <v>1</v>
      </c>
      <c r="T301">
        <v>0.91400000000000003</v>
      </c>
      <c r="U301">
        <v>0.91400000000000003</v>
      </c>
      <c r="X301" s="16"/>
    </row>
    <row r="302" spans="1:33" hidden="1" x14ac:dyDescent="0.25">
      <c r="A302">
        <v>2024</v>
      </c>
      <c r="B302" s="15">
        <v>3</v>
      </c>
      <c r="C302" t="s">
        <v>27</v>
      </c>
      <c r="D302" t="s">
        <v>38</v>
      </c>
      <c r="E302">
        <v>6</v>
      </c>
      <c r="F302">
        <v>1</v>
      </c>
      <c r="G302">
        <v>6</v>
      </c>
      <c r="H302">
        <v>61</v>
      </c>
      <c r="I302" s="12"/>
      <c r="L302" t="s">
        <v>26</v>
      </c>
      <c r="M302" s="15">
        <v>37100</v>
      </c>
      <c r="S302">
        <v>1</v>
      </c>
      <c r="T302">
        <v>0.91400000000000003</v>
      </c>
      <c r="U302">
        <v>0.91400000000000003</v>
      </c>
      <c r="X302" s="16"/>
    </row>
    <row r="303" spans="1:33" hidden="1" x14ac:dyDescent="0.25">
      <c r="A303">
        <v>2024</v>
      </c>
      <c r="B303">
        <v>3</v>
      </c>
      <c r="C303" t="s">
        <v>24</v>
      </c>
      <c r="D303" t="s">
        <v>38</v>
      </c>
      <c r="E303">
        <v>6</v>
      </c>
      <c r="F303">
        <v>2</v>
      </c>
      <c r="G303">
        <v>6</v>
      </c>
      <c r="H303">
        <v>62</v>
      </c>
      <c r="I303" s="12">
        <v>45538</v>
      </c>
      <c r="J303">
        <v>246</v>
      </c>
      <c r="K303">
        <f>+J303-$AH$6</f>
        <v>104</v>
      </c>
      <c r="L303" t="s">
        <v>26</v>
      </c>
      <c r="M303" s="15">
        <v>37100</v>
      </c>
      <c r="P303">
        <v>0.22278999999999999</v>
      </c>
      <c r="Q303">
        <v>0.56950000000000001</v>
      </c>
      <c r="R303">
        <v>8668.3807439824941</v>
      </c>
      <c r="S303">
        <v>1</v>
      </c>
      <c r="T303">
        <v>0.91400000000000003</v>
      </c>
      <c r="U303">
        <v>0.91400000000000003</v>
      </c>
      <c r="V303">
        <v>879.32763954398479</v>
      </c>
      <c r="W303">
        <v>0</v>
      </c>
      <c r="X303" s="16">
        <v>2758.2095737731452</v>
      </c>
      <c r="Y303">
        <v>5030.8435306653646</v>
      </c>
      <c r="Z303">
        <v>2754.7078265360233</v>
      </c>
      <c r="AF303">
        <v>81.534000000000006</v>
      </c>
      <c r="AG303">
        <v>18.8</v>
      </c>
    </row>
    <row r="304" spans="1:33" hidden="1" x14ac:dyDescent="0.25">
      <c r="A304">
        <v>2024</v>
      </c>
      <c r="B304" s="15">
        <v>3</v>
      </c>
      <c r="C304" t="s">
        <v>33</v>
      </c>
      <c r="D304" t="s">
        <v>38</v>
      </c>
      <c r="E304">
        <v>6</v>
      </c>
      <c r="F304">
        <v>3</v>
      </c>
      <c r="G304">
        <v>6</v>
      </c>
      <c r="H304">
        <v>63</v>
      </c>
      <c r="I304" s="12"/>
      <c r="L304" t="s">
        <v>26</v>
      </c>
      <c r="M304" s="15">
        <v>37100</v>
      </c>
      <c r="S304">
        <v>1</v>
      </c>
      <c r="T304">
        <v>0.91400000000000003</v>
      </c>
      <c r="U304">
        <v>0.91400000000000003</v>
      </c>
      <c r="X304" s="16"/>
    </row>
    <row r="305" spans="1:33" hidden="1" x14ac:dyDescent="0.25">
      <c r="A305">
        <v>2024</v>
      </c>
      <c r="B305">
        <v>3</v>
      </c>
      <c r="C305" t="s">
        <v>34</v>
      </c>
      <c r="D305" t="s">
        <v>38</v>
      </c>
      <c r="E305">
        <v>6</v>
      </c>
      <c r="F305">
        <v>4</v>
      </c>
      <c r="G305">
        <v>6</v>
      </c>
      <c r="H305">
        <v>64</v>
      </c>
      <c r="I305" s="12">
        <v>45538</v>
      </c>
      <c r="J305">
        <v>246</v>
      </c>
      <c r="K305">
        <f>+J305-$AH$6</f>
        <v>104</v>
      </c>
      <c r="L305" t="s">
        <v>26</v>
      </c>
      <c r="M305" s="15">
        <v>37100</v>
      </c>
      <c r="P305">
        <v>0.29509000000000002</v>
      </c>
      <c r="Q305">
        <v>0.41849999999999998</v>
      </c>
      <c r="R305">
        <v>7807.3304157549228</v>
      </c>
      <c r="S305">
        <v>1</v>
      </c>
      <c r="T305">
        <v>0.91400000000000003</v>
      </c>
      <c r="U305">
        <v>0.91400000000000003</v>
      </c>
      <c r="V305">
        <v>1285.8323162617819</v>
      </c>
      <c r="W305">
        <v>7.9372365201344763</v>
      </c>
      <c r="X305" s="16">
        <v>2537.0053663856438</v>
      </c>
      <c r="Y305">
        <v>3976.5554965873625</v>
      </c>
      <c r="Z305">
        <v>1344.0387174094346</v>
      </c>
      <c r="AF305">
        <v>53.085999999999999</v>
      </c>
      <c r="AG305">
        <v>15.8</v>
      </c>
    </row>
    <row r="306" spans="1:33" hidden="1" x14ac:dyDescent="0.25">
      <c r="A306">
        <v>2024</v>
      </c>
      <c r="B306" s="15">
        <v>3</v>
      </c>
      <c r="C306" t="s">
        <v>37</v>
      </c>
      <c r="D306" t="s">
        <v>38</v>
      </c>
      <c r="E306">
        <v>6</v>
      </c>
      <c r="F306">
        <v>5</v>
      </c>
      <c r="G306">
        <v>6</v>
      </c>
      <c r="H306">
        <v>65</v>
      </c>
      <c r="I306" s="12"/>
      <c r="L306" t="s">
        <v>26</v>
      </c>
      <c r="M306" s="15">
        <v>37100</v>
      </c>
      <c r="S306">
        <v>1</v>
      </c>
      <c r="T306">
        <v>0.91400000000000003</v>
      </c>
      <c r="U306">
        <v>0.91400000000000003</v>
      </c>
      <c r="X306" s="16"/>
    </row>
    <row r="307" spans="1:33" hidden="1" x14ac:dyDescent="0.25">
      <c r="A307">
        <v>2024</v>
      </c>
      <c r="B307">
        <v>3</v>
      </c>
      <c r="C307" t="s">
        <v>36</v>
      </c>
      <c r="D307" t="s">
        <v>38</v>
      </c>
      <c r="E307">
        <v>6</v>
      </c>
      <c r="F307">
        <v>6</v>
      </c>
      <c r="G307">
        <v>6</v>
      </c>
      <c r="H307">
        <v>66</v>
      </c>
      <c r="I307" s="12"/>
      <c r="L307" t="s">
        <v>26</v>
      </c>
      <c r="M307" s="15">
        <v>37100</v>
      </c>
      <c r="S307">
        <v>1</v>
      </c>
      <c r="T307">
        <v>0.91400000000000003</v>
      </c>
      <c r="U307">
        <v>0.91400000000000003</v>
      </c>
      <c r="X307" s="16"/>
    </row>
    <row r="308" spans="1:33" hidden="1" x14ac:dyDescent="0.25">
      <c r="A308">
        <v>2024</v>
      </c>
      <c r="B308" s="15">
        <v>3</v>
      </c>
      <c r="C308" t="s">
        <v>35</v>
      </c>
      <c r="D308" t="s">
        <v>38</v>
      </c>
      <c r="E308">
        <v>6</v>
      </c>
      <c r="F308">
        <v>7</v>
      </c>
      <c r="G308">
        <v>6</v>
      </c>
      <c r="H308">
        <v>67</v>
      </c>
      <c r="I308" s="12">
        <v>45538</v>
      </c>
      <c r="J308">
        <v>246</v>
      </c>
      <c r="K308">
        <f>+J308-$AH$6</f>
        <v>104</v>
      </c>
      <c r="L308" t="s">
        <v>26</v>
      </c>
      <c r="M308" s="15">
        <v>37100</v>
      </c>
      <c r="P308">
        <v>0.19508999999999999</v>
      </c>
      <c r="Q308">
        <v>0.4385</v>
      </c>
      <c r="R308">
        <v>6932.0568927789927</v>
      </c>
      <c r="S308">
        <v>1</v>
      </c>
      <c r="T308">
        <v>0.91400000000000003</v>
      </c>
      <c r="U308">
        <v>0.91400000000000003</v>
      </c>
      <c r="V308">
        <v>838.56959695312048</v>
      </c>
      <c r="W308">
        <v>223.85544325443468</v>
      </c>
      <c r="X308" s="16">
        <v>2909.7654362072467</v>
      </c>
      <c r="Y308">
        <v>2959.8664163641915</v>
      </c>
      <c r="Z308">
        <v>1790.8435460354772</v>
      </c>
      <c r="AF308">
        <v>76.2</v>
      </c>
      <c r="AG308">
        <v>14</v>
      </c>
    </row>
    <row r="309" spans="1:33" hidden="1" x14ac:dyDescent="0.25">
      <c r="A309">
        <v>2024</v>
      </c>
      <c r="B309">
        <v>3</v>
      </c>
      <c r="C309" t="s">
        <v>28</v>
      </c>
      <c r="D309" t="s">
        <v>38</v>
      </c>
      <c r="E309">
        <v>6</v>
      </c>
      <c r="F309">
        <v>8</v>
      </c>
      <c r="G309">
        <v>6</v>
      </c>
      <c r="H309">
        <v>68</v>
      </c>
      <c r="I309" s="12"/>
      <c r="L309" t="s">
        <v>26</v>
      </c>
      <c r="M309" s="15">
        <v>37100</v>
      </c>
      <c r="S309">
        <v>1</v>
      </c>
      <c r="T309">
        <v>0.91400000000000003</v>
      </c>
      <c r="U309">
        <v>0.91400000000000003</v>
      </c>
      <c r="X309" s="16"/>
    </row>
    <row r="310" spans="1:33" hidden="1" x14ac:dyDescent="0.25">
      <c r="A310">
        <v>2024</v>
      </c>
      <c r="B310" s="15">
        <v>3</v>
      </c>
      <c r="C310" t="s">
        <v>29</v>
      </c>
      <c r="D310" t="s">
        <v>38</v>
      </c>
      <c r="E310">
        <v>6</v>
      </c>
      <c r="F310">
        <v>9</v>
      </c>
      <c r="G310">
        <v>6</v>
      </c>
      <c r="H310">
        <v>69</v>
      </c>
      <c r="I310" s="12">
        <v>45538</v>
      </c>
      <c r="J310">
        <v>246</v>
      </c>
      <c r="K310">
        <f>+J310-$AH$6</f>
        <v>104</v>
      </c>
      <c r="L310" t="s">
        <v>26</v>
      </c>
      <c r="M310" s="15">
        <v>37100</v>
      </c>
      <c r="P310">
        <v>0.16979</v>
      </c>
      <c r="Q310">
        <v>0.76549999999999996</v>
      </c>
      <c r="R310">
        <v>10232.932166301969</v>
      </c>
      <c r="S310">
        <v>1</v>
      </c>
      <c r="T310">
        <v>0.91400000000000003</v>
      </c>
      <c r="U310">
        <v>0.91400000000000003</v>
      </c>
      <c r="V310">
        <v>1904.4740942054436</v>
      </c>
      <c r="W310">
        <v>0</v>
      </c>
      <c r="X310" s="16">
        <v>4694.2875695462653</v>
      </c>
      <c r="Y310">
        <v>3634.1705025502606</v>
      </c>
      <c r="Z310">
        <v>1994.8763455126636</v>
      </c>
      <c r="AF310">
        <v>103.37800000000001</v>
      </c>
      <c r="AG310">
        <v>18.600000000000001</v>
      </c>
    </row>
    <row r="311" spans="1:33" hidden="1" x14ac:dyDescent="0.25">
      <c r="A311">
        <v>2024</v>
      </c>
      <c r="B311">
        <v>3</v>
      </c>
      <c r="C311" t="s">
        <v>31</v>
      </c>
      <c r="D311" t="s">
        <v>38</v>
      </c>
      <c r="E311">
        <v>6</v>
      </c>
      <c r="F311">
        <v>10</v>
      </c>
      <c r="G311">
        <v>6</v>
      </c>
      <c r="H311">
        <v>70</v>
      </c>
      <c r="I311" s="12"/>
      <c r="L311" t="s">
        <v>26</v>
      </c>
      <c r="M311" s="15">
        <v>37100</v>
      </c>
      <c r="S311">
        <v>1</v>
      </c>
      <c r="T311">
        <v>0.91400000000000003</v>
      </c>
      <c r="U311">
        <v>0.91400000000000003</v>
      </c>
      <c r="X311" s="16"/>
    </row>
    <row r="312" spans="1:33" hidden="1" x14ac:dyDescent="0.25">
      <c r="A312">
        <v>2024</v>
      </c>
      <c r="B312" s="15">
        <v>3</v>
      </c>
      <c r="C312" t="s">
        <v>30</v>
      </c>
      <c r="D312" t="s">
        <v>38</v>
      </c>
      <c r="E312">
        <v>6</v>
      </c>
      <c r="F312">
        <v>11</v>
      </c>
      <c r="G312">
        <v>6</v>
      </c>
      <c r="H312">
        <v>71</v>
      </c>
      <c r="I312" s="12"/>
      <c r="L312" t="s">
        <v>26</v>
      </c>
      <c r="M312" s="15">
        <v>37100</v>
      </c>
      <c r="S312">
        <v>1</v>
      </c>
      <c r="T312">
        <v>0.91400000000000003</v>
      </c>
      <c r="U312">
        <v>0.91400000000000003</v>
      </c>
      <c r="X312" s="16"/>
    </row>
    <row r="313" spans="1:33" hidden="1" x14ac:dyDescent="0.25">
      <c r="A313">
        <v>2024</v>
      </c>
      <c r="B313">
        <v>3</v>
      </c>
      <c r="C313" t="s">
        <v>32</v>
      </c>
      <c r="D313" t="s">
        <v>38</v>
      </c>
      <c r="E313">
        <v>6</v>
      </c>
      <c r="F313">
        <v>12</v>
      </c>
      <c r="G313">
        <v>6</v>
      </c>
      <c r="H313">
        <v>72</v>
      </c>
      <c r="I313" s="13"/>
      <c r="L313" t="s">
        <v>26</v>
      </c>
      <c r="M313" s="15">
        <v>37100</v>
      </c>
      <c r="S313" s="49">
        <v>1</v>
      </c>
      <c r="T313" s="49">
        <v>0.91400000000000003</v>
      </c>
      <c r="U313" s="49">
        <v>0.91400000000000003</v>
      </c>
      <c r="X313" s="16"/>
    </row>
    <row r="314" spans="1:33" x14ac:dyDescent="0.25">
      <c r="A314">
        <v>2024</v>
      </c>
      <c r="B314" t="s">
        <v>103</v>
      </c>
      <c r="C314" t="s">
        <v>24</v>
      </c>
      <c r="D314" s="70" t="s">
        <v>25</v>
      </c>
      <c r="E314">
        <v>1</v>
      </c>
      <c r="F314">
        <v>1</v>
      </c>
      <c r="G314">
        <v>1</v>
      </c>
      <c r="H314">
        <v>1</v>
      </c>
      <c r="I314" s="12">
        <v>45572</v>
      </c>
      <c r="J314">
        <v>280</v>
      </c>
      <c r="K314">
        <f>+J314-$AH$6</f>
        <v>138</v>
      </c>
      <c r="L314" t="s">
        <v>26</v>
      </c>
      <c r="M314" s="15">
        <v>37100</v>
      </c>
      <c r="N314">
        <v>241.5</v>
      </c>
      <c r="O314">
        <f>+N314/1000</f>
        <v>0.24149999999999999</v>
      </c>
      <c r="P314">
        <v>7.5789999999999996E-2</v>
      </c>
      <c r="Q314">
        <v>0.60950000000000004</v>
      </c>
      <c r="R314">
        <v>3748.8512035010945</v>
      </c>
      <c r="S314">
        <v>2</v>
      </c>
      <c r="T314">
        <v>0.91400000000000003</v>
      </c>
      <c r="U314">
        <v>1.8280000000000001</v>
      </c>
      <c r="V314">
        <v>0</v>
      </c>
      <c r="W314" s="17">
        <v>79.141864699851652</v>
      </c>
      <c r="X314" s="17">
        <v>983.83230555003001</v>
      </c>
      <c r="Y314" s="17">
        <v>2685.8770332512127</v>
      </c>
      <c r="Z314" s="17">
        <v>1770.7992226591791</v>
      </c>
      <c r="AA314" s="17">
        <v>1485.3938730853392</v>
      </c>
      <c r="AB314">
        <v>1516.9584245076585</v>
      </c>
      <c r="AD314">
        <v>0.40464620817464131</v>
      </c>
      <c r="AE314">
        <v>25.980092557659898</v>
      </c>
      <c r="AF314">
        <v>48.006</v>
      </c>
      <c r="AG314">
        <v>13</v>
      </c>
    </row>
    <row r="315" spans="1:33" x14ac:dyDescent="0.25">
      <c r="A315">
        <v>2024</v>
      </c>
      <c r="B315" t="s">
        <v>103</v>
      </c>
      <c r="C315" t="s">
        <v>27</v>
      </c>
      <c r="D315" s="70" t="s">
        <v>25</v>
      </c>
      <c r="E315">
        <v>1</v>
      </c>
      <c r="F315">
        <v>2</v>
      </c>
      <c r="G315">
        <v>1</v>
      </c>
      <c r="H315">
        <v>2</v>
      </c>
      <c r="I315" s="12">
        <v>45566</v>
      </c>
      <c r="J315">
        <v>274</v>
      </c>
      <c r="K315">
        <f>+J315-$AH$6</f>
        <v>132</v>
      </c>
      <c r="L315" t="s">
        <v>26</v>
      </c>
      <c r="M315" s="15">
        <v>37100</v>
      </c>
      <c r="N315">
        <v>213.10000000000002</v>
      </c>
      <c r="O315">
        <f>+N315/1000</f>
        <v>0.21310000000000001</v>
      </c>
      <c r="P315">
        <v>9.978999999999999E-2</v>
      </c>
      <c r="Q315">
        <v>0.47549999999999998</v>
      </c>
      <c r="R315">
        <v>3147.1006564551417</v>
      </c>
      <c r="S315">
        <v>2</v>
      </c>
      <c r="T315">
        <v>0.91400000000000003</v>
      </c>
      <c r="U315">
        <v>1.8280000000000001</v>
      </c>
      <c r="V315">
        <v>0</v>
      </c>
      <c r="W315">
        <v>18.922340854525402</v>
      </c>
      <c r="X315" s="16">
        <v>721.88730360014233</v>
      </c>
      <c r="Y315">
        <v>2406.291012000474</v>
      </c>
      <c r="Z315">
        <v>1636.782483916443</v>
      </c>
      <c r="AA315">
        <v>1410.4041007162791</v>
      </c>
      <c r="AB315">
        <v>1449.671772428884</v>
      </c>
      <c r="AD315">
        <v>0.4606372438248536</v>
      </c>
      <c r="AE315">
        <v>24.827711964586634</v>
      </c>
      <c r="AF315">
        <v>54.940200000000004</v>
      </c>
      <c r="AG315">
        <v>15.2</v>
      </c>
    </row>
    <row r="316" spans="1:33" x14ac:dyDescent="0.25">
      <c r="A316">
        <v>2024</v>
      </c>
      <c r="B316" t="s">
        <v>103</v>
      </c>
      <c r="C316" t="s">
        <v>28</v>
      </c>
      <c r="D316" s="70" t="s">
        <v>25</v>
      </c>
      <c r="E316">
        <v>1</v>
      </c>
      <c r="F316">
        <v>3</v>
      </c>
      <c r="G316">
        <v>1</v>
      </c>
      <c r="H316">
        <v>3</v>
      </c>
      <c r="I316" s="12">
        <v>45572</v>
      </c>
      <c r="J316">
        <v>280</v>
      </c>
      <c r="K316">
        <f>+J316-$AH$6</f>
        <v>138</v>
      </c>
      <c r="L316" t="s">
        <v>26</v>
      </c>
      <c r="M316" s="15">
        <v>37100</v>
      </c>
      <c r="N316">
        <v>199</v>
      </c>
      <c r="O316">
        <f>+N316/1000</f>
        <v>0.19900000000000001</v>
      </c>
      <c r="P316">
        <v>9.0789999999999996E-2</v>
      </c>
      <c r="Q316">
        <v>0.47249999999999998</v>
      </c>
      <c r="R316">
        <v>3081.4551422319473</v>
      </c>
      <c r="S316">
        <v>2</v>
      </c>
      <c r="T316">
        <v>0.91400000000000003</v>
      </c>
      <c r="U316">
        <v>1.8280000000000001</v>
      </c>
      <c r="V316">
        <v>0</v>
      </c>
      <c r="W316">
        <v>54.304749725422624</v>
      </c>
      <c r="X316" s="16">
        <v>878.71873149449414</v>
      </c>
      <c r="Y316">
        <v>2148.4316610120304</v>
      </c>
      <c r="Z316">
        <v>1442.4699145815373</v>
      </c>
      <c r="AA316">
        <v>1297.7980387389578</v>
      </c>
      <c r="AB316">
        <v>1321.1159737417943</v>
      </c>
      <c r="AD316">
        <v>0.42873120417546912</v>
      </c>
      <c r="AE316">
        <v>22.626009205462914</v>
      </c>
      <c r="AF316">
        <v>51.308</v>
      </c>
      <c r="AG316">
        <v>12</v>
      </c>
    </row>
    <row r="317" spans="1:33" x14ac:dyDescent="0.25">
      <c r="A317">
        <v>2024</v>
      </c>
      <c r="B317" t="s">
        <v>103</v>
      </c>
      <c r="C317" t="s">
        <v>29</v>
      </c>
      <c r="D317" s="70" t="s">
        <v>25</v>
      </c>
      <c r="E317">
        <v>1</v>
      </c>
      <c r="F317">
        <v>4</v>
      </c>
      <c r="G317">
        <v>1</v>
      </c>
      <c r="H317">
        <v>4</v>
      </c>
      <c r="I317" s="12">
        <v>45566</v>
      </c>
      <c r="J317">
        <v>274</v>
      </c>
      <c r="K317">
        <f>+J317-$AH$6</f>
        <v>132</v>
      </c>
      <c r="L317" t="s">
        <v>26</v>
      </c>
      <c r="M317" s="15">
        <v>37100</v>
      </c>
      <c r="N317">
        <v>199.10000000000002</v>
      </c>
      <c r="O317">
        <f>+N317/1000</f>
        <v>0.19910000000000003</v>
      </c>
      <c r="P317">
        <v>0.13719000000000001</v>
      </c>
      <c r="Q317">
        <v>0.48049999999999998</v>
      </c>
      <c r="R317">
        <v>3379.0481400437634</v>
      </c>
      <c r="S317">
        <v>2</v>
      </c>
      <c r="T317">
        <v>0.91400000000000003</v>
      </c>
      <c r="U317">
        <v>1.8280000000000001</v>
      </c>
      <c r="V317">
        <v>0</v>
      </c>
      <c r="W317">
        <v>0</v>
      </c>
      <c r="X317" s="16">
        <v>883.98598838232124</v>
      </c>
      <c r="Y317">
        <v>2495.0621516614419</v>
      </c>
      <c r="Z317">
        <v>1625.6081146066651</v>
      </c>
      <c r="AA317">
        <v>1400.1425279556991</v>
      </c>
      <c r="AB317">
        <v>1450.2188183807439</v>
      </c>
      <c r="AD317">
        <v>0.42917968560281045</v>
      </c>
      <c r="AE317">
        <v>24.8370809124978</v>
      </c>
      <c r="AF317">
        <v>58.674000000000007</v>
      </c>
      <c r="AG317">
        <v>19.2</v>
      </c>
    </row>
    <row r="318" spans="1:33" x14ac:dyDescent="0.25">
      <c r="A318">
        <v>2024</v>
      </c>
      <c r="B318" t="s">
        <v>103</v>
      </c>
      <c r="C318" t="s">
        <v>30</v>
      </c>
      <c r="D318" s="70" t="s">
        <v>25</v>
      </c>
      <c r="E318">
        <v>1</v>
      </c>
      <c r="F318">
        <v>5</v>
      </c>
      <c r="G318">
        <v>1</v>
      </c>
      <c r="H318">
        <v>5</v>
      </c>
      <c r="I318" s="12">
        <v>45566</v>
      </c>
      <c r="J318">
        <v>274</v>
      </c>
      <c r="K318">
        <f>+J318-$AH$6</f>
        <v>132</v>
      </c>
      <c r="L318" t="s">
        <v>26</v>
      </c>
      <c r="M318" s="15">
        <v>37100</v>
      </c>
      <c r="P318">
        <v>9.7189999999999999E-2</v>
      </c>
      <c r="Q318">
        <v>0</v>
      </c>
      <c r="R318">
        <v>531.67396061269142</v>
      </c>
      <c r="S318">
        <v>2</v>
      </c>
      <c r="T318">
        <v>0.91400000000000003</v>
      </c>
      <c r="U318">
        <v>1.8280000000000001</v>
      </c>
      <c r="V318">
        <v>0</v>
      </c>
      <c r="W318">
        <v>0</v>
      </c>
      <c r="X318" s="16">
        <v>125.21881838074397</v>
      </c>
      <c r="Y318">
        <v>406.45514223194738</v>
      </c>
      <c r="Z318">
        <v>271.33479212253826</v>
      </c>
      <c r="AF318">
        <v>64.262</v>
      </c>
      <c r="AG318">
        <v>19</v>
      </c>
    </row>
    <row r="319" spans="1:33" x14ac:dyDescent="0.25">
      <c r="A319">
        <v>2024</v>
      </c>
      <c r="B319" t="s">
        <v>103</v>
      </c>
      <c r="C319" t="s">
        <v>31</v>
      </c>
      <c r="D319" s="70" t="s">
        <v>25</v>
      </c>
      <c r="E319">
        <v>1</v>
      </c>
      <c r="F319">
        <v>6</v>
      </c>
      <c r="G319">
        <v>1</v>
      </c>
      <c r="H319">
        <v>6</v>
      </c>
      <c r="I319" s="12">
        <v>45576</v>
      </c>
      <c r="J319">
        <v>284</v>
      </c>
      <c r="L319" t="s">
        <v>26</v>
      </c>
      <c r="M319" s="15">
        <v>37100</v>
      </c>
      <c r="N319">
        <v>472.90000000000003</v>
      </c>
      <c r="O319">
        <f t="shared" ref="O319:O350" si="5">+N319/1000</f>
        <v>0.47290000000000004</v>
      </c>
      <c r="Q319">
        <v>0.97550000000000003</v>
      </c>
      <c r="R319">
        <v>5336.4332603938728</v>
      </c>
      <c r="S319">
        <v>2</v>
      </c>
      <c r="T319">
        <v>0.91400000000000003</v>
      </c>
      <c r="U319">
        <v>1.8280000000000001</v>
      </c>
      <c r="X319" s="16"/>
      <c r="AA319">
        <v>2586.980306345733</v>
      </c>
      <c r="AB319">
        <v>2586.980306345733</v>
      </c>
      <c r="AD319">
        <v>0.48477703741670941</v>
      </c>
      <c r="AE319">
        <v>44.305754671898185</v>
      </c>
    </row>
    <row r="320" spans="1:33" x14ac:dyDescent="0.25">
      <c r="A320">
        <v>2024</v>
      </c>
      <c r="B320" t="s">
        <v>103</v>
      </c>
      <c r="C320" t="s">
        <v>32</v>
      </c>
      <c r="D320" s="70" t="s">
        <v>25</v>
      </c>
      <c r="E320">
        <v>1</v>
      </c>
      <c r="F320">
        <v>7</v>
      </c>
      <c r="G320">
        <v>1</v>
      </c>
      <c r="H320">
        <v>7</v>
      </c>
      <c r="I320" s="12">
        <v>45576</v>
      </c>
      <c r="J320">
        <v>284</v>
      </c>
      <c r="L320" t="s">
        <v>26</v>
      </c>
      <c r="M320" s="15">
        <v>37100</v>
      </c>
      <c r="N320">
        <v>323.90000000000003</v>
      </c>
      <c r="O320">
        <f t="shared" si="5"/>
        <v>0.32390000000000002</v>
      </c>
      <c r="Q320">
        <v>0.76249999999999996</v>
      </c>
      <c r="R320">
        <v>4171.2253829321662</v>
      </c>
      <c r="S320">
        <v>2</v>
      </c>
      <c r="T320">
        <v>0.91400000000000003</v>
      </c>
      <c r="U320">
        <v>1.8280000000000001</v>
      </c>
      <c r="X320" s="16"/>
      <c r="AA320">
        <v>1771.8818380743985</v>
      </c>
      <c r="AB320">
        <v>1771.8818380743983</v>
      </c>
      <c r="AD320">
        <v>0.42478688524590164</v>
      </c>
      <c r="AE320">
        <v>30.346022284262681</v>
      </c>
    </row>
    <row r="321" spans="1:33" x14ac:dyDescent="0.25">
      <c r="A321">
        <v>2024</v>
      </c>
      <c r="B321" t="s">
        <v>103</v>
      </c>
      <c r="C321" t="s">
        <v>33</v>
      </c>
      <c r="D321" s="70" t="s">
        <v>25</v>
      </c>
      <c r="E321">
        <v>1</v>
      </c>
      <c r="F321">
        <v>8</v>
      </c>
      <c r="G321">
        <v>1</v>
      </c>
      <c r="H321">
        <v>8</v>
      </c>
      <c r="I321" s="12">
        <v>45572</v>
      </c>
      <c r="J321">
        <v>280</v>
      </c>
      <c r="L321" t="s">
        <v>26</v>
      </c>
      <c r="M321" s="15">
        <v>37100</v>
      </c>
      <c r="N321">
        <v>226.3</v>
      </c>
      <c r="O321">
        <f t="shared" si="5"/>
        <v>0.2263</v>
      </c>
      <c r="Q321">
        <v>0.63949999999999996</v>
      </c>
      <c r="R321">
        <v>3498.3588621444201</v>
      </c>
      <c r="S321">
        <v>2</v>
      </c>
      <c r="T321">
        <v>0.91400000000000003</v>
      </c>
      <c r="U321">
        <v>1.8280000000000001</v>
      </c>
      <c r="X321" s="16"/>
      <c r="AA321">
        <v>1237.9649890590811</v>
      </c>
      <c r="AB321">
        <v>1237.9649890590808</v>
      </c>
      <c r="AD321">
        <v>0.35387021110242373</v>
      </c>
      <c r="AE321">
        <v>21.201929122965868</v>
      </c>
    </row>
    <row r="322" spans="1:33" x14ac:dyDescent="0.25">
      <c r="A322">
        <v>2024</v>
      </c>
      <c r="B322" t="s">
        <v>103</v>
      </c>
      <c r="C322" t="s">
        <v>34</v>
      </c>
      <c r="D322" s="70" t="s">
        <v>25</v>
      </c>
      <c r="E322">
        <v>1</v>
      </c>
      <c r="F322">
        <v>9</v>
      </c>
      <c r="G322">
        <v>1</v>
      </c>
      <c r="H322">
        <v>9</v>
      </c>
      <c r="I322" s="12">
        <v>45562</v>
      </c>
      <c r="J322">
        <v>270</v>
      </c>
      <c r="K322">
        <f>+J322-$AH$6</f>
        <v>128</v>
      </c>
      <c r="L322" t="s">
        <v>26</v>
      </c>
      <c r="M322" s="15">
        <v>37100</v>
      </c>
      <c r="N322">
        <v>130.10000000000002</v>
      </c>
      <c r="O322">
        <f t="shared" si="5"/>
        <v>0.13010000000000002</v>
      </c>
      <c r="P322">
        <v>0.11219000000000001</v>
      </c>
      <c r="Q322">
        <v>0.27550000000000002</v>
      </c>
      <c r="R322">
        <v>2120.8424507658647</v>
      </c>
      <c r="S322">
        <v>2</v>
      </c>
      <c r="T322">
        <v>0.91400000000000003</v>
      </c>
      <c r="U322">
        <v>1.8280000000000001</v>
      </c>
      <c r="V322">
        <v>0</v>
      </c>
      <c r="W322">
        <v>0</v>
      </c>
      <c r="X322" s="16">
        <v>451.61713297795262</v>
      </c>
      <c r="Y322">
        <v>1669.2253177879118</v>
      </c>
      <c r="Z322">
        <v>833.6674576947554</v>
      </c>
      <c r="AA322">
        <v>1001.530318855314</v>
      </c>
      <c r="AB322">
        <v>952.95404814004382</v>
      </c>
      <c r="AD322">
        <v>0.44932807139725034</v>
      </c>
      <c r="AE322">
        <v>16.320707261249026</v>
      </c>
      <c r="AF322">
        <v>31.75</v>
      </c>
      <c r="AG322">
        <v>12.8</v>
      </c>
    </row>
    <row r="323" spans="1:33" x14ac:dyDescent="0.25">
      <c r="A323">
        <v>2024</v>
      </c>
      <c r="B323" t="s">
        <v>103</v>
      </c>
      <c r="C323" t="s">
        <v>35</v>
      </c>
      <c r="D323" s="70" t="s">
        <v>25</v>
      </c>
      <c r="E323">
        <v>1</v>
      </c>
      <c r="F323">
        <v>10</v>
      </c>
      <c r="G323">
        <v>1</v>
      </c>
      <c r="H323">
        <v>10</v>
      </c>
      <c r="I323" s="12">
        <v>45562</v>
      </c>
      <c r="J323">
        <v>270</v>
      </c>
      <c r="K323">
        <f>+J323-$AH$6</f>
        <v>128</v>
      </c>
      <c r="L323" t="s">
        <v>26</v>
      </c>
      <c r="M323" s="15">
        <v>37100</v>
      </c>
      <c r="N323">
        <v>106.1</v>
      </c>
      <c r="O323">
        <f t="shared" si="5"/>
        <v>0.1061</v>
      </c>
      <c r="P323">
        <v>0.11918999999999999</v>
      </c>
      <c r="Q323">
        <v>0.30149999999999999</v>
      </c>
      <c r="R323">
        <v>2301.3676148796494</v>
      </c>
      <c r="S323">
        <v>2</v>
      </c>
      <c r="T323">
        <v>0.91400000000000003</v>
      </c>
      <c r="U323">
        <v>1.8280000000000001</v>
      </c>
      <c r="V323">
        <v>0</v>
      </c>
      <c r="W323">
        <v>0</v>
      </c>
      <c r="X323" s="16">
        <v>577.12793026892132</v>
      </c>
      <c r="Y323">
        <v>1724.2396846107281</v>
      </c>
      <c r="Z323">
        <v>973.14311427078053</v>
      </c>
      <c r="AA323">
        <v>809.86767475532611</v>
      </c>
      <c r="AB323">
        <v>856.12691466083152</v>
      </c>
      <c r="AD323">
        <v>0.3720078917968101</v>
      </c>
      <c r="AE323">
        <v>14.662403480972861</v>
      </c>
      <c r="AF323">
        <v>48.768000000000001</v>
      </c>
      <c r="AG323">
        <v>14.6</v>
      </c>
    </row>
    <row r="324" spans="1:33" x14ac:dyDescent="0.25">
      <c r="A324">
        <v>2024</v>
      </c>
      <c r="B324" t="s">
        <v>103</v>
      </c>
      <c r="C324" t="s">
        <v>36</v>
      </c>
      <c r="D324" s="70" t="s">
        <v>25</v>
      </c>
      <c r="E324">
        <v>1</v>
      </c>
      <c r="F324">
        <v>11</v>
      </c>
      <c r="G324">
        <v>1</v>
      </c>
      <c r="H324">
        <v>11</v>
      </c>
      <c r="I324" s="12">
        <v>45562</v>
      </c>
      <c r="J324">
        <v>270</v>
      </c>
      <c r="K324">
        <f>+J324-$AH$6</f>
        <v>128</v>
      </c>
      <c r="L324" t="s">
        <v>26</v>
      </c>
      <c r="M324" s="15">
        <v>37100</v>
      </c>
      <c r="N324">
        <v>107.5</v>
      </c>
      <c r="O324">
        <f t="shared" si="5"/>
        <v>0.1075</v>
      </c>
      <c r="P324">
        <v>0.18679000000000001</v>
      </c>
      <c r="Q324">
        <v>0.30049999999999999</v>
      </c>
      <c r="R324">
        <v>2665.7002188183806</v>
      </c>
      <c r="S324">
        <v>2</v>
      </c>
      <c r="T324">
        <v>0.91400000000000003</v>
      </c>
      <c r="U324">
        <v>1.8280000000000001</v>
      </c>
      <c r="V324">
        <v>0</v>
      </c>
      <c r="W324">
        <v>393.88257422446225</v>
      </c>
      <c r="X324" s="16">
        <v>769.06999728102426</v>
      </c>
      <c r="Y324">
        <v>1502.7476473128938</v>
      </c>
      <c r="Z324">
        <v>841.99535794359679</v>
      </c>
      <c r="AA324">
        <v>953.6198786122327</v>
      </c>
      <c r="AB324">
        <v>910.83150984682698</v>
      </c>
      <c r="AD324">
        <v>0.34168564920273342</v>
      </c>
      <c r="AE324">
        <v>15.599298272089335</v>
      </c>
      <c r="AF324">
        <v>44.45</v>
      </c>
      <c r="AG324">
        <v>14.2</v>
      </c>
    </row>
    <row r="325" spans="1:33" x14ac:dyDescent="0.25">
      <c r="A325">
        <v>2024</v>
      </c>
      <c r="B325" t="s">
        <v>103</v>
      </c>
      <c r="C325" t="s">
        <v>37</v>
      </c>
      <c r="D325" s="70" t="s">
        <v>25</v>
      </c>
      <c r="E325">
        <v>1</v>
      </c>
      <c r="F325">
        <v>12</v>
      </c>
      <c r="G325">
        <v>1</v>
      </c>
      <c r="H325">
        <v>12</v>
      </c>
      <c r="I325" s="12">
        <v>45562</v>
      </c>
      <c r="J325">
        <v>270</v>
      </c>
      <c r="L325" t="s">
        <v>26</v>
      </c>
      <c r="M325" s="15">
        <v>37100</v>
      </c>
      <c r="N325">
        <v>274</v>
      </c>
      <c r="O325">
        <f t="shared" si="5"/>
        <v>0.27400000000000002</v>
      </c>
      <c r="Q325">
        <v>0.61250000000000004</v>
      </c>
      <c r="R325">
        <v>3350.6564551422316</v>
      </c>
      <c r="S325">
        <v>2</v>
      </c>
      <c r="T325">
        <v>0.91400000000000003</v>
      </c>
      <c r="U325">
        <v>1.8280000000000001</v>
      </c>
      <c r="X325" s="16"/>
      <c r="AA325">
        <v>1498.90590809628</v>
      </c>
      <c r="AB325">
        <v>1498.90590809628</v>
      </c>
      <c r="AD325">
        <v>0.44734693877551024</v>
      </c>
      <c r="AE325">
        <v>25.670917276591464</v>
      </c>
    </row>
    <row r="326" spans="1:33" x14ac:dyDescent="0.25">
      <c r="A326">
        <v>2024</v>
      </c>
      <c r="B326" t="s">
        <v>103</v>
      </c>
      <c r="C326" t="s">
        <v>35</v>
      </c>
      <c r="D326" s="70" t="s">
        <v>25</v>
      </c>
      <c r="E326">
        <v>2</v>
      </c>
      <c r="F326">
        <v>1</v>
      </c>
      <c r="G326">
        <v>2</v>
      </c>
      <c r="H326">
        <v>13</v>
      </c>
      <c r="I326" s="12">
        <v>45562</v>
      </c>
      <c r="J326">
        <v>270</v>
      </c>
      <c r="K326">
        <f>+J326-$AH$6</f>
        <v>128</v>
      </c>
      <c r="L326" t="s">
        <v>26</v>
      </c>
      <c r="M326" s="15">
        <v>37100</v>
      </c>
      <c r="N326">
        <v>76.2</v>
      </c>
      <c r="O326">
        <f t="shared" si="5"/>
        <v>7.6200000000000004E-2</v>
      </c>
      <c r="P326">
        <v>9.0189999999999992E-2</v>
      </c>
      <c r="Q326">
        <v>0.3095</v>
      </c>
      <c r="R326">
        <v>2186.487964989059</v>
      </c>
      <c r="S326">
        <v>2</v>
      </c>
      <c r="T326">
        <v>0.91400000000000003</v>
      </c>
      <c r="U326">
        <v>1.8280000000000001</v>
      </c>
      <c r="V326">
        <v>0</v>
      </c>
      <c r="W326">
        <v>0</v>
      </c>
      <c r="X326" s="16">
        <v>554.92526353919015</v>
      </c>
      <c r="Y326">
        <v>1631.5627014498691</v>
      </c>
      <c r="Z326">
        <v>751.53705415967227</v>
      </c>
      <c r="AA326">
        <v>538.32110801992349</v>
      </c>
      <c r="AB326">
        <v>586.43326039387307</v>
      </c>
      <c r="AD326">
        <v>0.26820786109234657</v>
      </c>
      <c r="AE326">
        <v>10.043512160768632</v>
      </c>
      <c r="AF326">
        <v>56.895999999999994</v>
      </c>
      <c r="AG326">
        <v>15.8</v>
      </c>
    </row>
    <row r="327" spans="1:33" x14ac:dyDescent="0.25">
      <c r="A327">
        <v>2024</v>
      </c>
      <c r="B327" t="s">
        <v>103</v>
      </c>
      <c r="C327" t="s">
        <v>33</v>
      </c>
      <c r="D327" s="70" t="s">
        <v>25</v>
      </c>
      <c r="E327">
        <v>2</v>
      </c>
      <c r="F327">
        <v>2</v>
      </c>
      <c r="G327">
        <v>2</v>
      </c>
      <c r="H327">
        <v>14</v>
      </c>
      <c r="I327" s="12">
        <v>45576</v>
      </c>
      <c r="J327">
        <v>284</v>
      </c>
      <c r="L327" t="s">
        <v>26</v>
      </c>
      <c r="M327" s="15">
        <v>37100</v>
      </c>
      <c r="N327">
        <v>301.10000000000002</v>
      </c>
      <c r="O327">
        <f t="shared" si="5"/>
        <v>0.30110000000000003</v>
      </c>
      <c r="Q327">
        <v>0.72350000000000003</v>
      </c>
      <c r="R327">
        <v>3957.8774617067834</v>
      </c>
      <c r="S327">
        <v>2</v>
      </c>
      <c r="T327">
        <v>0.91400000000000003</v>
      </c>
      <c r="U327">
        <v>1.8280000000000001</v>
      </c>
      <c r="X327" s="16"/>
      <c r="AA327">
        <v>1647.1553610503283</v>
      </c>
      <c r="AB327">
        <v>1647.1553610503283</v>
      </c>
      <c r="AD327">
        <v>0.41617138908085699</v>
      </c>
      <c r="AE327">
        <v>28.209902160517117</v>
      </c>
    </row>
    <row r="328" spans="1:33" x14ac:dyDescent="0.25">
      <c r="A328">
        <v>2024</v>
      </c>
      <c r="B328" t="s">
        <v>103</v>
      </c>
      <c r="C328" t="s">
        <v>34</v>
      </c>
      <c r="D328" s="70" t="s">
        <v>25</v>
      </c>
      <c r="E328">
        <v>2</v>
      </c>
      <c r="F328">
        <v>3</v>
      </c>
      <c r="G328">
        <v>2</v>
      </c>
      <c r="H328">
        <v>15</v>
      </c>
      <c r="I328" s="12">
        <v>45562</v>
      </c>
      <c r="J328">
        <v>270</v>
      </c>
      <c r="K328">
        <f>+J328-$AH$6</f>
        <v>128</v>
      </c>
      <c r="L328" t="s">
        <v>26</v>
      </c>
      <c r="M328" s="15">
        <v>37100</v>
      </c>
      <c r="N328">
        <v>143.20000000000002</v>
      </c>
      <c r="O328">
        <f t="shared" si="5"/>
        <v>0.14320000000000002</v>
      </c>
      <c r="P328">
        <v>0.20979</v>
      </c>
      <c r="Q328">
        <v>0.29549999999999998</v>
      </c>
      <c r="R328">
        <v>2764.168490153173</v>
      </c>
      <c r="S328">
        <v>2</v>
      </c>
      <c r="T328">
        <v>0.91400000000000003</v>
      </c>
      <c r="U328">
        <v>1.8280000000000001</v>
      </c>
      <c r="V328">
        <v>0</v>
      </c>
      <c r="W328">
        <v>21.081412766314315</v>
      </c>
      <c r="X328" s="16">
        <v>525.58597203017337</v>
      </c>
      <c r="Y328">
        <v>2217.5011053566855</v>
      </c>
      <c r="Z328">
        <v>1390.0556542788488</v>
      </c>
      <c r="AA328">
        <v>1339.5225982738898</v>
      </c>
      <c r="AB328">
        <v>1360.5032822757114</v>
      </c>
      <c r="AD328">
        <v>0.4921926022680046</v>
      </c>
      <c r="AE328">
        <v>23.300573455066782</v>
      </c>
      <c r="AF328">
        <v>38.607999999999997</v>
      </c>
      <c r="AG328">
        <v>14.6</v>
      </c>
    </row>
    <row r="329" spans="1:33" x14ac:dyDescent="0.25">
      <c r="A329">
        <v>2024</v>
      </c>
      <c r="B329" t="s">
        <v>103</v>
      </c>
      <c r="C329" t="s">
        <v>27</v>
      </c>
      <c r="D329" s="70" t="s">
        <v>25</v>
      </c>
      <c r="E329">
        <v>2</v>
      </c>
      <c r="F329">
        <v>4</v>
      </c>
      <c r="G329">
        <v>2</v>
      </c>
      <c r="H329">
        <v>16</v>
      </c>
      <c r="I329" s="12">
        <v>45566</v>
      </c>
      <c r="J329">
        <v>274</v>
      </c>
      <c r="K329">
        <f>+J329-$AH$6</f>
        <v>132</v>
      </c>
      <c r="L329" t="s">
        <v>26</v>
      </c>
      <c r="M329" s="15">
        <v>37100</v>
      </c>
      <c r="N329">
        <v>255.9</v>
      </c>
      <c r="O329">
        <f t="shared" si="5"/>
        <v>0.25590000000000002</v>
      </c>
      <c r="P329">
        <v>9.579E-2</v>
      </c>
      <c r="Q329">
        <v>0.66249999999999998</v>
      </c>
      <c r="R329">
        <v>4148.1947483588619</v>
      </c>
      <c r="S329">
        <v>2</v>
      </c>
      <c r="T329">
        <v>0.91400000000000003</v>
      </c>
      <c r="U329">
        <v>1.8280000000000001</v>
      </c>
      <c r="V329">
        <v>0</v>
      </c>
      <c r="W329">
        <v>155.89833066178005</v>
      </c>
      <c r="X329" s="16">
        <v>1164.4739198597954</v>
      </c>
      <c r="Y329">
        <v>2827.8224978372868</v>
      </c>
      <c r="Z329">
        <v>1870.7799679413597</v>
      </c>
      <c r="AA329">
        <v>1602.2989224226912</v>
      </c>
      <c r="AB329">
        <v>1636.2144420131292</v>
      </c>
      <c r="AD329">
        <v>0.39444012185311694</v>
      </c>
      <c r="AE329">
        <v>28.022523202293822</v>
      </c>
      <c r="AF329">
        <v>57.404000000000003</v>
      </c>
      <c r="AG329">
        <v>14.2</v>
      </c>
    </row>
    <row r="330" spans="1:33" x14ac:dyDescent="0.25">
      <c r="A330">
        <v>2024</v>
      </c>
      <c r="B330" t="s">
        <v>103</v>
      </c>
      <c r="C330" t="s">
        <v>32</v>
      </c>
      <c r="D330" s="70" t="s">
        <v>25</v>
      </c>
      <c r="E330">
        <v>2</v>
      </c>
      <c r="F330">
        <v>5</v>
      </c>
      <c r="G330">
        <v>2</v>
      </c>
      <c r="H330">
        <v>17</v>
      </c>
      <c r="I330" s="12">
        <v>45576</v>
      </c>
      <c r="J330">
        <v>284</v>
      </c>
      <c r="L330" t="s">
        <v>26</v>
      </c>
      <c r="M330" s="15">
        <v>37100</v>
      </c>
      <c r="N330">
        <v>262.90000000000003</v>
      </c>
      <c r="O330">
        <f t="shared" si="5"/>
        <v>0.26290000000000002</v>
      </c>
      <c r="Q330">
        <v>0.66349999999999998</v>
      </c>
      <c r="R330">
        <v>3629.6498905908093</v>
      </c>
      <c r="S330">
        <v>2</v>
      </c>
      <c r="T330">
        <v>0.91400000000000003</v>
      </c>
      <c r="U330">
        <v>1.8280000000000001</v>
      </c>
      <c r="X330" s="16"/>
      <c r="AA330">
        <v>1438.1838074398249</v>
      </c>
      <c r="AB330">
        <v>1438.1838074398249</v>
      </c>
      <c r="AD330">
        <v>0.3962321024868124</v>
      </c>
      <c r="AE330">
        <v>24.630964058452175</v>
      </c>
    </row>
    <row r="331" spans="1:33" x14ac:dyDescent="0.25">
      <c r="A331">
        <v>2024</v>
      </c>
      <c r="B331" t="s">
        <v>103</v>
      </c>
      <c r="C331" t="s">
        <v>29</v>
      </c>
      <c r="D331" s="70" t="s">
        <v>25</v>
      </c>
      <c r="E331">
        <v>2</v>
      </c>
      <c r="F331">
        <v>6</v>
      </c>
      <c r="G331">
        <v>2</v>
      </c>
      <c r="H331">
        <v>18</v>
      </c>
      <c r="I331" s="12">
        <v>45566</v>
      </c>
      <c r="J331">
        <v>274</v>
      </c>
      <c r="K331">
        <f>+J331-$AH$6</f>
        <v>132</v>
      </c>
      <c r="L331" t="s">
        <v>26</v>
      </c>
      <c r="M331" s="15">
        <v>37100</v>
      </c>
      <c r="N331">
        <v>260.40000000000003</v>
      </c>
      <c r="O331">
        <f t="shared" si="5"/>
        <v>0.26040000000000002</v>
      </c>
      <c r="P331">
        <v>9.7189999999999999E-2</v>
      </c>
      <c r="Q331">
        <v>0.63749999999999996</v>
      </c>
      <c r="R331">
        <v>4019.0919037199119</v>
      </c>
      <c r="S331">
        <v>2</v>
      </c>
      <c r="T331">
        <v>0.91400000000000003</v>
      </c>
      <c r="U331">
        <v>1.8280000000000001</v>
      </c>
      <c r="V331">
        <v>0</v>
      </c>
      <c r="W331">
        <v>0</v>
      </c>
      <c r="X331" s="16">
        <v>1194.6863370559549</v>
      </c>
      <c r="Y331">
        <v>2824.4055666639574</v>
      </c>
      <c r="Z331">
        <v>1968.3997799883507</v>
      </c>
      <c r="AA331">
        <v>1641.6808340841808</v>
      </c>
      <c r="AB331">
        <v>1684.9015317286651</v>
      </c>
      <c r="AD331">
        <v>0.4192244347956281</v>
      </c>
      <c r="AE331">
        <v>28.856359566387482</v>
      </c>
      <c r="AF331">
        <v>66.294000000000011</v>
      </c>
      <c r="AG331">
        <v>17.2</v>
      </c>
    </row>
    <row r="332" spans="1:33" x14ac:dyDescent="0.25">
      <c r="A332">
        <v>2024</v>
      </c>
      <c r="B332" t="s">
        <v>103</v>
      </c>
      <c r="C332" t="s">
        <v>30</v>
      </c>
      <c r="D332" s="70" t="s">
        <v>25</v>
      </c>
      <c r="E332">
        <v>2</v>
      </c>
      <c r="F332">
        <v>7</v>
      </c>
      <c r="G332">
        <v>2</v>
      </c>
      <c r="H332">
        <v>19</v>
      </c>
      <c r="I332" s="12">
        <v>45566</v>
      </c>
      <c r="J332">
        <v>274</v>
      </c>
      <c r="K332">
        <f>+J332-$AH$6</f>
        <v>132</v>
      </c>
      <c r="L332" t="s">
        <v>26</v>
      </c>
      <c r="M332" s="15">
        <v>37100</v>
      </c>
      <c r="N332">
        <v>265.5</v>
      </c>
      <c r="O332">
        <f t="shared" si="5"/>
        <v>0.26550000000000001</v>
      </c>
      <c r="P332">
        <v>8.9189999999999992E-2</v>
      </c>
      <c r="Q332">
        <v>0.57250000000000001</v>
      </c>
      <c r="R332">
        <v>3619.748358862144</v>
      </c>
      <c r="S332">
        <v>2</v>
      </c>
      <c r="T332">
        <v>0.91400000000000003</v>
      </c>
      <c r="U332">
        <v>1.8280000000000001</v>
      </c>
      <c r="V332">
        <v>0</v>
      </c>
      <c r="W332">
        <v>0</v>
      </c>
      <c r="X332" s="16">
        <v>847.8141407851798</v>
      </c>
      <c r="Y332">
        <v>2771.9342180769645</v>
      </c>
      <c r="Z332">
        <v>1927.7726992482549</v>
      </c>
      <c r="AA332">
        <v>1678.67805987406</v>
      </c>
      <c r="AB332">
        <v>1712.253829321663</v>
      </c>
      <c r="AD332">
        <v>0.47303117774184295</v>
      </c>
      <c r="AE332">
        <v>29.324806961945722</v>
      </c>
      <c r="AF332">
        <v>61.722000000000001</v>
      </c>
      <c r="AG332">
        <v>16.399999999999999</v>
      </c>
    </row>
    <row r="333" spans="1:33" x14ac:dyDescent="0.25">
      <c r="A333">
        <v>2024</v>
      </c>
      <c r="B333" t="s">
        <v>103</v>
      </c>
      <c r="C333" t="s">
        <v>36</v>
      </c>
      <c r="D333" s="70" t="s">
        <v>25</v>
      </c>
      <c r="E333">
        <v>2</v>
      </c>
      <c r="F333">
        <v>8</v>
      </c>
      <c r="G333">
        <v>2</v>
      </c>
      <c r="H333">
        <v>20</v>
      </c>
      <c r="I333" s="12">
        <v>45562</v>
      </c>
      <c r="J333">
        <v>270</v>
      </c>
      <c r="K333">
        <f>+J333-$AH$6</f>
        <v>128</v>
      </c>
      <c r="L333" t="s">
        <v>26</v>
      </c>
      <c r="M333" s="15">
        <v>37100</v>
      </c>
      <c r="N333">
        <v>132.20000000000002</v>
      </c>
      <c r="O333">
        <f t="shared" si="5"/>
        <v>0.13220000000000001</v>
      </c>
      <c r="P333">
        <v>8.3790000000000003E-2</v>
      </c>
      <c r="Q333">
        <v>0.33050000000000002</v>
      </c>
      <c r="R333">
        <v>2266.3566739606131</v>
      </c>
      <c r="S333">
        <v>2</v>
      </c>
      <c r="T333">
        <v>0.91400000000000003</v>
      </c>
      <c r="U333">
        <v>1.8280000000000001</v>
      </c>
      <c r="V333">
        <v>0</v>
      </c>
      <c r="W333">
        <v>16.228834041966479</v>
      </c>
      <c r="X333" s="16">
        <v>754.37030238407328</v>
      </c>
      <c r="Y333">
        <v>1495.7575375345732</v>
      </c>
      <c r="Z333">
        <v>849.30898152957695</v>
      </c>
      <c r="AA333">
        <v>906.54266958424523</v>
      </c>
      <c r="AB333">
        <v>894.96717724288851</v>
      </c>
      <c r="AD333">
        <v>0.39489246662965555</v>
      </c>
      <c r="AE333">
        <v>15.327598782665563</v>
      </c>
      <c r="AF333">
        <v>40.386000000000003</v>
      </c>
      <c r="AG333">
        <v>15.2</v>
      </c>
    </row>
    <row r="334" spans="1:33" x14ac:dyDescent="0.25">
      <c r="A334">
        <v>2024</v>
      </c>
      <c r="B334" t="s">
        <v>103</v>
      </c>
      <c r="C334" t="s">
        <v>24</v>
      </c>
      <c r="D334" s="70" t="s">
        <v>25</v>
      </c>
      <c r="E334">
        <v>2</v>
      </c>
      <c r="F334">
        <v>9</v>
      </c>
      <c r="G334">
        <v>2</v>
      </c>
      <c r="H334">
        <v>21</v>
      </c>
      <c r="I334" s="12">
        <v>45576</v>
      </c>
      <c r="J334">
        <v>284</v>
      </c>
      <c r="K334">
        <f>+J334-$AH$6</f>
        <v>142</v>
      </c>
      <c r="L334" t="s">
        <v>26</v>
      </c>
      <c r="M334" s="15">
        <v>37100</v>
      </c>
      <c r="N334">
        <v>195.8</v>
      </c>
      <c r="O334">
        <f t="shared" si="5"/>
        <v>0.1958</v>
      </c>
      <c r="P334">
        <v>0.11019</v>
      </c>
      <c r="Q334">
        <v>0.42949999999999999</v>
      </c>
      <c r="R334">
        <v>2952.3522975929973</v>
      </c>
      <c r="S334">
        <v>2</v>
      </c>
      <c r="T334">
        <v>0.91400000000000003</v>
      </c>
      <c r="U334">
        <v>1.8280000000000001</v>
      </c>
      <c r="V334">
        <v>0</v>
      </c>
      <c r="W334">
        <v>0</v>
      </c>
      <c r="X334" s="16">
        <v>479.3319049272958</v>
      </c>
      <c r="Y334">
        <v>2473.0203926657014</v>
      </c>
      <c r="Z334">
        <v>1760.3189577262906</v>
      </c>
      <c r="AA334">
        <v>1345.9152034195781</v>
      </c>
      <c r="AB334">
        <v>1430.5251641137854</v>
      </c>
      <c r="AD334">
        <v>0.48453741962978752</v>
      </c>
      <c r="AE334">
        <v>24.499798787695866</v>
      </c>
      <c r="AF334">
        <v>42.417999999999999</v>
      </c>
      <c r="AG334">
        <v>15</v>
      </c>
    </row>
    <row r="335" spans="1:33" x14ac:dyDescent="0.25">
      <c r="A335">
        <v>2024</v>
      </c>
      <c r="B335" t="s">
        <v>103</v>
      </c>
      <c r="C335" t="s">
        <v>37</v>
      </c>
      <c r="D335" s="70" t="s">
        <v>25</v>
      </c>
      <c r="E335">
        <v>2</v>
      </c>
      <c r="F335">
        <v>10</v>
      </c>
      <c r="G335">
        <v>2</v>
      </c>
      <c r="H335">
        <v>22</v>
      </c>
      <c r="I335" s="12">
        <v>45562</v>
      </c>
      <c r="J335">
        <v>270</v>
      </c>
      <c r="L335" t="s">
        <v>26</v>
      </c>
      <c r="M335" s="15">
        <v>37100</v>
      </c>
      <c r="N335">
        <v>331.3</v>
      </c>
      <c r="O335">
        <f t="shared" si="5"/>
        <v>0.33130000000000004</v>
      </c>
      <c r="Q335">
        <v>0.67949999999999999</v>
      </c>
      <c r="R335">
        <v>3717.1772428884024</v>
      </c>
      <c r="S335">
        <v>2</v>
      </c>
      <c r="T335">
        <v>0.91400000000000003</v>
      </c>
      <c r="U335">
        <v>1.8280000000000001</v>
      </c>
      <c r="X335" s="16"/>
      <c r="AA335">
        <v>1812.363238512035</v>
      </c>
      <c r="AB335">
        <v>1812.3632385120352</v>
      </c>
      <c r="AD335">
        <v>0.48756438557763071</v>
      </c>
      <c r="AE335">
        <v>31.039324429688875</v>
      </c>
    </row>
    <row r="336" spans="1:33" x14ac:dyDescent="0.25">
      <c r="A336">
        <v>2024</v>
      </c>
      <c r="B336" t="s">
        <v>103</v>
      </c>
      <c r="C336" t="s">
        <v>31</v>
      </c>
      <c r="D336" s="70" t="s">
        <v>25</v>
      </c>
      <c r="E336">
        <v>2</v>
      </c>
      <c r="F336">
        <v>11</v>
      </c>
      <c r="G336">
        <v>2</v>
      </c>
      <c r="H336">
        <v>23</v>
      </c>
      <c r="I336" s="12">
        <v>45576</v>
      </c>
      <c r="J336">
        <v>284</v>
      </c>
      <c r="L336" t="s">
        <v>26</v>
      </c>
      <c r="M336" s="15">
        <v>37100</v>
      </c>
      <c r="N336">
        <v>329.5</v>
      </c>
      <c r="O336">
        <f t="shared" si="5"/>
        <v>0.32950000000000002</v>
      </c>
      <c r="Q336">
        <v>0.69650000000000001</v>
      </c>
      <c r="R336">
        <v>3810.1750547045949</v>
      </c>
      <c r="S336">
        <v>2</v>
      </c>
      <c r="T336">
        <v>0.91400000000000003</v>
      </c>
      <c r="U336">
        <v>1.8280000000000001</v>
      </c>
      <c r="X336" s="16"/>
      <c r="AA336">
        <v>1802.5164113785559</v>
      </c>
      <c r="AB336">
        <v>1802.5164113785556</v>
      </c>
      <c r="AD336">
        <v>0.47307968413496049</v>
      </c>
      <c r="AE336">
        <v>30.870683367287906</v>
      </c>
    </row>
    <row r="337" spans="1:33" x14ac:dyDescent="0.25">
      <c r="A337">
        <v>2024</v>
      </c>
      <c r="B337" t="s">
        <v>103</v>
      </c>
      <c r="C337" t="s">
        <v>28</v>
      </c>
      <c r="D337" s="70" t="s">
        <v>25</v>
      </c>
      <c r="E337">
        <v>2</v>
      </c>
      <c r="F337">
        <v>12</v>
      </c>
      <c r="G337">
        <v>2</v>
      </c>
      <c r="H337">
        <v>24</v>
      </c>
      <c r="I337" s="12">
        <v>45576</v>
      </c>
      <c r="J337">
        <v>284</v>
      </c>
      <c r="K337">
        <f>+J337-$AH$6</f>
        <v>142</v>
      </c>
      <c r="L337" t="s">
        <v>26</v>
      </c>
      <c r="M337" s="15">
        <v>37100</v>
      </c>
      <c r="N337">
        <v>229</v>
      </c>
      <c r="O337">
        <f t="shared" si="5"/>
        <v>0.22900000000000001</v>
      </c>
      <c r="P337">
        <v>0.13479000000000002</v>
      </c>
      <c r="Q337">
        <v>0.49049999999999999</v>
      </c>
      <c r="R337">
        <v>3420.6236323851203</v>
      </c>
      <c r="S337">
        <v>2</v>
      </c>
      <c r="T337">
        <v>0.91400000000000003</v>
      </c>
      <c r="U337">
        <v>1.8280000000000001</v>
      </c>
      <c r="V337">
        <v>0</v>
      </c>
      <c r="W337">
        <v>65.981314965511672</v>
      </c>
      <c r="X337" s="16">
        <v>860.04106314661112</v>
      </c>
      <c r="Y337">
        <v>2494.6012542729968</v>
      </c>
      <c r="Z337">
        <v>1674.9103029706796</v>
      </c>
      <c r="AA337">
        <v>1596.9884032949901</v>
      </c>
      <c r="AB337">
        <v>1613.785557986871</v>
      </c>
      <c r="AD337">
        <v>0.47178109357258236</v>
      </c>
      <c r="AE337">
        <v>27.638396337936069</v>
      </c>
      <c r="AF337">
        <v>51.815999999999995</v>
      </c>
      <c r="AG337">
        <v>13.4</v>
      </c>
    </row>
    <row r="338" spans="1:33" s="29" customFormat="1" x14ac:dyDescent="0.25">
      <c r="A338">
        <v>2024</v>
      </c>
      <c r="B338" t="s">
        <v>103</v>
      </c>
      <c r="C338" t="s">
        <v>27</v>
      </c>
      <c r="D338" s="70" t="s">
        <v>25</v>
      </c>
      <c r="E338">
        <v>3</v>
      </c>
      <c r="F338">
        <v>1</v>
      </c>
      <c r="G338">
        <v>3</v>
      </c>
      <c r="H338">
        <v>25</v>
      </c>
      <c r="I338" s="14">
        <v>45566</v>
      </c>
      <c r="J338">
        <v>274</v>
      </c>
      <c r="K338">
        <f>+J338-$AH$6</f>
        <v>132</v>
      </c>
      <c r="L338" t="s">
        <v>26</v>
      </c>
      <c r="M338" s="15">
        <v>37100</v>
      </c>
      <c r="N338">
        <v>264.8</v>
      </c>
      <c r="O338">
        <f t="shared" si="5"/>
        <v>0.26480000000000004</v>
      </c>
      <c r="P338">
        <v>0.12018999999999999</v>
      </c>
      <c r="Q338">
        <v>0.5575</v>
      </c>
      <c r="R338">
        <v>3707.2757111597375</v>
      </c>
      <c r="S338">
        <v>2</v>
      </c>
      <c r="T338">
        <v>0.91400000000000003</v>
      </c>
      <c r="U338">
        <v>1.8280000000000001</v>
      </c>
      <c r="V338">
        <v>0</v>
      </c>
      <c r="W338">
        <v>0</v>
      </c>
      <c r="X338" s="16">
        <v>736.89006356274353</v>
      </c>
      <c r="Y338">
        <v>2970.3856475969942</v>
      </c>
      <c r="Z338">
        <v>1961.7500227120331</v>
      </c>
      <c r="AA338">
        <v>1760.8728400270827</v>
      </c>
      <c r="AB338">
        <v>1796.4989059080965</v>
      </c>
      <c r="AC338"/>
      <c r="AD338">
        <v>0.4845873481975535</v>
      </c>
      <c r="AE338">
        <v>30.767624940265101</v>
      </c>
      <c r="AF338">
        <v>50.8</v>
      </c>
      <c r="AG338">
        <v>16.600000000000001</v>
      </c>
    </row>
    <row r="339" spans="1:33" x14ac:dyDescent="0.25">
      <c r="A339">
        <v>2024</v>
      </c>
      <c r="B339" t="s">
        <v>103</v>
      </c>
      <c r="C339" t="s">
        <v>24</v>
      </c>
      <c r="D339" s="70" t="s">
        <v>25</v>
      </c>
      <c r="E339">
        <v>3</v>
      </c>
      <c r="F339">
        <v>2</v>
      </c>
      <c r="G339">
        <v>3</v>
      </c>
      <c r="H339">
        <v>26</v>
      </c>
      <c r="I339" s="12">
        <v>45576</v>
      </c>
      <c r="J339">
        <v>284</v>
      </c>
      <c r="K339">
        <f>+J339-$AH$6</f>
        <v>142</v>
      </c>
      <c r="L339" t="s">
        <v>26</v>
      </c>
      <c r="M339" s="15">
        <v>37100</v>
      </c>
      <c r="N339">
        <v>256.8</v>
      </c>
      <c r="O339">
        <f t="shared" si="5"/>
        <v>0.25680000000000003</v>
      </c>
      <c r="P339">
        <v>8.2189999999999999E-2</v>
      </c>
      <c r="Q339">
        <v>0.57350000000000001</v>
      </c>
      <c r="R339">
        <v>3586.9256017505468</v>
      </c>
      <c r="S339">
        <v>2</v>
      </c>
      <c r="T339">
        <v>0.91400000000000003</v>
      </c>
      <c r="U339">
        <v>1.8280000000000001</v>
      </c>
      <c r="V339">
        <v>0</v>
      </c>
      <c r="W339">
        <v>0</v>
      </c>
      <c r="X339" s="16">
        <v>693.46937354685713</v>
      </c>
      <c r="Y339">
        <v>2893.4562282036895</v>
      </c>
      <c r="Z339">
        <v>1850.4154460910477</v>
      </c>
      <c r="AA339">
        <v>1606.1421003130611</v>
      </c>
      <c r="AB339">
        <v>1636.7614879649891</v>
      </c>
      <c r="AD339">
        <v>0.45631319678506616</v>
      </c>
      <c r="AE339">
        <v>28.031892150204985</v>
      </c>
      <c r="AF339">
        <v>51.562000000000005</v>
      </c>
      <c r="AG339">
        <v>14</v>
      </c>
    </row>
    <row r="340" spans="1:33" x14ac:dyDescent="0.25">
      <c r="A340">
        <v>2024</v>
      </c>
      <c r="B340" t="s">
        <v>103</v>
      </c>
      <c r="C340" t="s">
        <v>33</v>
      </c>
      <c r="D340" s="70" t="s">
        <v>25</v>
      </c>
      <c r="E340">
        <v>3</v>
      </c>
      <c r="F340">
        <v>3</v>
      </c>
      <c r="G340">
        <v>3</v>
      </c>
      <c r="H340">
        <v>27</v>
      </c>
      <c r="I340" s="12">
        <v>45576</v>
      </c>
      <c r="J340">
        <v>284</v>
      </c>
      <c r="L340" t="s">
        <v>26</v>
      </c>
      <c r="M340" s="15">
        <v>37100</v>
      </c>
      <c r="N340">
        <v>263.7</v>
      </c>
      <c r="O340">
        <f t="shared" si="5"/>
        <v>0.26369999999999999</v>
      </c>
      <c r="Q340">
        <v>0.57650000000000001</v>
      </c>
      <c r="R340">
        <v>3153.7199124726476</v>
      </c>
      <c r="S340">
        <v>2</v>
      </c>
      <c r="T340">
        <v>0.91400000000000003</v>
      </c>
      <c r="U340">
        <v>1.8280000000000001</v>
      </c>
      <c r="X340" s="16"/>
      <c r="AA340">
        <v>1442.5601750547044</v>
      </c>
      <c r="AB340">
        <v>1442.5601750547046</v>
      </c>
      <c r="AD340">
        <v>0.45741543798785778</v>
      </c>
      <c r="AE340">
        <v>24.705915641741491</v>
      </c>
    </row>
    <row r="341" spans="1:33" x14ac:dyDescent="0.25">
      <c r="A341">
        <v>2024</v>
      </c>
      <c r="B341" t="s">
        <v>103</v>
      </c>
      <c r="C341" t="s">
        <v>34</v>
      </c>
      <c r="D341" s="70" t="s">
        <v>25</v>
      </c>
      <c r="E341">
        <v>3</v>
      </c>
      <c r="F341">
        <v>4</v>
      </c>
      <c r="G341">
        <v>3</v>
      </c>
      <c r="H341">
        <v>28</v>
      </c>
      <c r="I341" s="12">
        <v>45562</v>
      </c>
      <c r="J341">
        <v>270</v>
      </c>
      <c r="K341">
        <f>+J341-$AH$6</f>
        <v>128</v>
      </c>
      <c r="L341" t="s">
        <v>26</v>
      </c>
      <c r="M341" s="15">
        <v>37100</v>
      </c>
      <c r="N341">
        <v>198.60000000000002</v>
      </c>
      <c r="O341">
        <f t="shared" si="5"/>
        <v>0.19860000000000003</v>
      </c>
      <c r="P341">
        <v>0.25779000000000002</v>
      </c>
      <c r="Q341">
        <v>0.52649999999999997</v>
      </c>
      <c r="R341">
        <v>4290.4266958424505</v>
      </c>
      <c r="S341">
        <v>2</v>
      </c>
      <c r="T341">
        <v>0.91400000000000003</v>
      </c>
      <c r="U341">
        <v>1.8280000000000001</v>
      </c>
      <c r="V341">
        <v>0</v>
      </c>
      <c r="W341">
        <v>43.272079635324786</v>
      </c>
      <c r="X341" s="16">
        <v>913.54017353191387</v>
      </c>
      <c r="Y341">
        <v>3333.6144426752116</v>
      </c>
      <c r="Z341">
        <v>1978.8654879385053</v>
      </c>
      <c r="AA341">
        <v>1618.3831752978363</v>
      </c>
      <c r="AB341">
        <v>1736.870897155361</v>
      </c>
      <c r="AD341">
        <v>0.40482474594856499</v>
      </c>
      <c r="AE341">
        <v>29.746409617948135</v>
      </c>
      <c r="AF341">
        <v>38.353999999999999</v>
      </c>
      <c r="AG341">
        <v>13.8</v>
      </c>
    </row>
    <row r="342" spans="1:33" x14ac:dyDescent="0.25">
      <c r="A342">
        <v>2024</v>
      </c>
      <c r="B342" t="s">
        <v>103</v>
      </c>
      <c r="C342" t="s">
        <v>37</v>
      </c>
      <c r="D342" s="70" t="s">
        <v>25</v>
      </c>
      <c r="E342">
        <v>3</v>
      </c>
      <c r="F342">
        <v>5</v>
      </c>
      <c r="G342">
        <v>3</v>
      </c>
      <c r="H342">
        <v>29</v>
      </c>
      <c r="I342" s="12">
        <v>45562</v>
      </c>
      <c r="J342">
        <v>270</v>
      </c>
      <c r="L342" t="s">
        <v>26</v>
      </c>
      <c r="M342" s="15">
        <v>37100</v>
      </c>
      <c r="N342">
        <v>307.3</v>
      </c>
      <c r="O342">
        <f t="shared" si="5"/>
        <v>0.30730000000000002</v>
      </c>
      <c r="Q342">
        <v>0.67049999999999998</v>
      </c>
      <c r="R342">
        <v>3667.9431072210064</v>
      </c>
      <c r="S342">
        <v>2</v>
      </c>
      <c r="T342">
        <v>0.91400000000000003</v>
      </c>
      <c r="U342">
        <v>1.8280000000000001</v>
      </c>
      <c r="X342" s="16"/>
      <c r="AA342">
        <v>1681.0722100656455</v>
      </c>
      <c r="AB342">
        <v>1681.0722100656455</v>
      </c>
      <c r="AD342">
        <v>0.45831469052945567</v>
      </c>
      <c r="AE342">
        <v>28.790776931009333</v>
      </c>
    </row>
    <row r="343" spans="1:33" x14ac:dyDescent="0.25">
      <c r="A343">
        <v>2024</v>
      </c>
      <c r="B343" t="s">
        <v>103</v>
      </c>
      <c r="C343" t="s">
        <v>36</v>
      </c>
      <c r="D343" s="70" t="s">
        <v>25</v>
      </c>
      <c r="E343">
        <v>3</v>
      </c>
      <c r="F343">
        <v>6</v>
      </c>
      <c r="G343">
        <v>3</v>
      </c>
      <c r="H343">
        <v>30</v>
      </c>
      <c r="I343" s="12">
        <v>45562</v>
      </c>
      <c r="J343">
        <v>270</v>
      </c>
      <c r="K343">
        <f>+J343-$AH$6</f>
        <v>128</v>
      </c>
      <c r="L343" t="s">
        <v>26</v>
      </c>
      <c r="M343" s="15">
        <v>37100</v>
      </c>
      <c r="N343">
        <v>151.9</v>
      </c>
      <c r="O343">
        <f t="shared" si="5"/>
        <v>0.15190000000000001</v>
      </c>
      <c r="P343">
        <v>0.13979</v>
      </c>
      <c r="Q343">
        <v>0.40649999999999997</v>
      </c>
      <c r="R343">
        <v>2988.4573304157548</v>
      </c>
      <c r="S343">
        <v>2</v>
      </c>
      <c r="T343">
        <v>0.91400000000000003</v>
      </c>
      <c r="U343">
        <v>1.8280000000000001</v>
      </c>
      <c r="V343">
        <v>0</v>
      </c>
      <c r="W343">
        <v>205.23063432285034</v>
      </c>
      <c r="X343" s="16">
        <v>724.50689554181236</v>
      </c>
      <c r="Y343">
        <v>2058.7198005510922</v>
      </c>
      <c r="Z343">
        <v>1269.8645498726364</v>
      </c>
      <c r="AA343">
        <v>1116.7199716854936</v>
      </c>
      <c r="AB343">
        <v>1155.9080962800874</v>
      </c>
      <c r="AD343">
        <v>0.38679089860696697</v>
      </c>
      <c r="AE343">
        <v>19.796586936291153</v>
      </c>
      <c r="AF343">
        <v>39.116</v>
      </c>
      <c r="AG343">
        <v>12.6</v>
      </c>
    </row>
    <row r="344" spans="1:33" x14ac:dyDescent="0.25">
      <c r="A344">
        <v>2024</v>
      </c>
      <c r="B344" t="s">
        <v>103</v>
      </c>
      <c r="C344" t="s">
        <v>35</v>
      </c>
      <c r="D344" s="70" t="s">
        <v>25</v>
      </c>
      <c r="E344">
        <v>3</v>
      </c>
      <c r="F344">
        <v>7</v>
      </c>
      <c r="G344">
        <v>3</v>
      </c>
      <c r="H344">
        <v>31</v>
      </c>
      <c r="I344" s="12">
        <v>45562</v>
      </c>
      <c r="J344">
        <v>270</v>
      </c>
      <c r="K344">
        <f>+J344-$AH$6</f>
        <v>128</v>
      </c>
      <c r="L344" t="s">
        <v>26</v>
      </c>
      <c r="M344" s="15">
        <v>37100</v>
      </c>
      <c r="N344">
        <v>89.7</v>
      </c>
      <c r="O344">
        <f t="shared" si="5"/>
        <v>8.9700000000000002E-2</v>
      </c>
      <c r="P344">
        <v>0.10779</v>
      </c>
      <c r="Q344">
        <v>0.30349999999999999</v>
      </c>
      <c r="R344">
        <v>2249.9452954048138</v>
      </c>
      <c r="S344">
        <v>2</v>
      </c>
      <c r="T344">
        <v>0.91400000000000003</v>
      </c>
      <c r="U344">
        <v>1.8280000000000001</v>
      </c>
      <c r="V344">
        <v>0</v>
      </c>
      <c r="W344">
        <v>12.524048401919396</v>
      </c>
      <c r="X344" s="16">
        <v>728.27341457161106</v>
      </c>
      <c r="Y344">
        <v>1509.1478324312836</v>
      </c>
      <c r="Z344">
        <v>766.0542939174012</v>
      </c>
      <c r="AA344">
        <v>664.97559472096145</v>
      </c>
      <c r="AB344">
        <v>691.46608315098479</v>
      </c>
      <c r="AD344">
        <v>0.30732573123586771</v>
      </c>
      <c r="AE344">
        <v>11.84235015971227</v>
      </c>
      <c r="AF344">
        <v>59.436</v>
      </c>
      <c r="AG344">
        <v>16.2</v>
      </c>
    </row>
    <row r="345" spans="1:33" x14ac:dyDescent="0.25">
      <c r="A345">
        <v>2024</v>
      </c>
      <c r="B345" t="s">
        <v>103</v>
      </c>
      <c r="C345" t="s">
        <v>28</v>
      </c>
      <c r="D345" s="70" t="s">
        <v>25</v>
      </c>
      <c r="E345">
        <v>3</v>
      </c>
      <c r="F345">
        <v>8</v>
      </c>
      <c r="G345">
        <v>3</v>
      </c>
      <c r="H345">
        <v>32</v>
      </c>
      <c r="I345" s="12">
        <v>45576</v>
      </c>
      <c r="J345">
        <v>284</v>
      </c>
      <c r="K345">
        <f>+J345-$AH$6</f>
        <v>142</v>
      </c>
      <c r="L345" t="s">
        <v>26</v>
      </c>
      <c r="M345" s="15">
        <v>37100</v>
      </c>
      <c r="N345">
        <v>220.4</v>
      </c>
      <c r="O345">
        <f t="shared" si="5"/>
        <v>0.22040000000000001</v>
      </c>
      <c r="P345">
        <v>0.12719</v>
      </c>
      <c r="Q345">
        <v>0.47749999999999998</v>
      </c>
      <c r="R345">
        <v>3307.9321663019691</v>
      </c>
      <c r="S345">
        <v>2</v>
      </c>
      <c r="T345">
        <v>0.91400000000000003</v>
      </c>
      <c r="U345">
        <v>1.8280000000000001</v>
      </c>
      <c r="V345">
        <v>0</v>
      </c>
      <c r="W345">
        <v>0</v>
      </c>
      <c r="X345" s="16">
        <v>803.38096247399812</v>
      </c>
      <c r="Y345">
        <v>2504.5512038279708</v>
      </c>
      <c r="Z345">
        <v>1628.088321491495</v>
      </c>
      <c r="AA345">
        <v>1526.8445014721551</v>
      </c>
      <c r="AB345">
        <v>1548.1400437636764</v>
      </c>
      <c r="AD345">
        <v>0.46800840099885904</v>
      </c>
      <c r="AE345">
        <v>26.514122588596297</v>
      </c>
      <c r="AF345">
        <v>46.99</v>
      </c>
      <c r="AG345">
        <v>14</v>
      </c>
    </row>
    <row r="346" spans="1:33" x14ac:dyDescent="0.25">
      <c r="A346">
        <v>2024</v>
      </c>
      <c r="B346" t="s">
        <v>103</v>
      </c>
      <c r="C346" t="s">
        <v>29</v>
      </c>
      <c r="D346" s="70" t="s">
        <v>25</v>
      </c>
      <c r="E346">
        <v>3</v>
      </c>
      <c r="F346">
        <v>9</v>
      </c>
      <c r="G346">
        <v>3</v>
      </c>
      <c r="H346">
        <v>33</v>
      </c>
      <c r="I346" s="12">
        <v>45566</v>
      </c>
      <c r="J346">
        <v>274</v>
      </c>
      <c r="K346">
        <f>+J346-$AH$6</f>
        <v>132</v>
      </c>
      <c r="L346" t="s">
        <v>26</v>
      </c>
      <c r="M346" s="15">
        <v>37100</v>
      </c>
      <c r="N346">
        <v>391.90000000000003</v>
      </c>
      <c r="O346">
        <f t="shared" si="5"/>
        <v>0.39190000000000003</v>
      </c>
      <c r="P346">
        <v>0.10518999999999999</v>
      </c>
      <c r="Q346">
        <v>0.82750000000000001</v>
      </c>
      <c r="R346">
        <v>5102.2428884026258</v>
      </c>
      <c r="S346">
        <v>2</v>
      </c>
      <c r="T346">
        <v>0.91400000000000003</v>
      </c>
      <c r="U346">
        <v>1.8280000000000001</v>
      </c>
      <c r="V346">
        <v>0</v>
      </c>
      <c r="W346">
        <v>0</v>
      </c>
      <c r="X346" s="16">
        <v>1352.8049639466608</v>
      </c>
      <c r="Y346">
        <v>3749.4379244559655</v>
      </c>
      <c r="Z346">
        <v>2706.5800282618738</v>
      </c>
      <c r="AA346">
        <v>2416.3975685377513</v>
      </c>
      <c r="AB346">
        <v>2449.1247264770241</v>
      </c>
      <c r="AD346">
        <v>0.48000943507489091</v>
      </c>
      <c r="AE346">
        <v>41.944779798284664</v>
      </c>
      <c r="AF346">
        <v>66.294000000000011</v>
      </c>
      <c r="AG346">
        <v>17.8</v>
      </c>
    </row>
    <row r="347" spans="1:33" x14ac:dyDescent="0.25">
      <c r="A347">
        <v>2024</v>
      </c>
      <c r="B347" t="s">
        <v>103</v>
      </c>
      <c r="C347" t="s">
        <v>31</v>
      </c>
      <c r="D347" s="70" t="s">
        <v>25</v>
      </c>
      <c r="E347">
        <v>3</v>
      </c>
      <c r="F347">
        <v>10</v>
      </c>
      <c r="G347">
        <v>3</v>
      </c>
      <c r="H347">
        <v>34</v>
      </c>
      <c r="I347" s="12">
        <v>45576</v>
      </c>
      <c r="J347">
        <v>284</v>
      </c>
      <c r="L347" t="s">
        <v>26</v>
      </c>
      <c r="M347" s="15">
        <v>37100</v>
      </c>
      <c r="N347">
        <v>350.40000000000003</v>
      </c>
      <c r="O347">
        <f t="shared" si="5"/>
        <v>0.35040000000000004</v>
      </c>
      <c r="Q347">
        <v>0.6915</v>
      </c>
      <c r="R347">
        <v>3782.8227571115972</v>
      </c>
      <c r="S347">
        <v>2</v>
      </c>
      <c r="T347">
        <v>0.91400000000000003</v>
      </c>
      <c r="U347">
        <v>1.8280000000000001</v>
      </c>
      <c r="X347" s="16"/>
      <c r="AA347">
        <v>1916.8490153172868</v>
      </c>
      <c r="AB347">
        <v>1916.8490153172868</v>
      </c>
      <c r="AD347">
        <v>0.50672451193058576</v>
      </c>
      <c r="AE347">
        <v>32.828793480721352</v>
      </c>
    </row>
    <row r="348" spans="1:33" x14ac:dyDescent="0.25">
      <c r="A348">
        <v>2024</v>
      </c>
      <c r="B348" t="s">
        <v>103</v>
      </c>
      <c r="C348" t="s">
        <v>30</v>
      </c>
      <c r="D348" s="70" t="s">
        <v>25</v>
      </c>
      <c r="E348">
        <v>3</v>
      </c>
      <c r="F348">
        <v>11</v>
      </c>
      <c r="G348">
        <v>3</v>
      </c>
      <c r="H348">
        <v>35</v>
      </c>
      <c r="I348" s="12">
        <v>45566</v>
      </c>
      <c r="J348">
        <v>274</v>
      </c>
      <c r="K348">
        <f>+J348-$AH$6</f>
        <v>132</v>
      </c>
      <c r="L348" t="s">
        <v>26</v>
      </c>
      <c r="M348" s="15">
        <v>37100</v>
      </c>
      <c r="N348">
        <v>282.5</v>
      </c>
      <c r="O348">
        <f t="shared" si="5"/>
        <v>0.28249999999999997</v>
      </c>
      <c r="P348">
        <v>0.19419000000000003</v>
      </c>
      <c r="Q348">
        <v>0.6845</v>
      </c>
      <c r="R348">
        <v>4806.8380743982489</v>
      </c>
      <c r="S348">
        <v>2</v>
      </c>
      <c r="T348">
        <v>0.91400000000000003</v>
      </c>
      <c r="U348">
        <v>1.8280000000000001</v>
      </c>
      <c r="V348">
        <v>0</v>
      </c>
      <c r="W348">
        <v>0</v>
      </c>
      <c r="X348" s="16">
        <v>1234.9407875365807</v>
      </c>
      <c r="Y348">
        <v>3571.8972868616675</v>
      </c>
      <c r="Z348">
        <v>2378.7895306126557</v>
      </c>
      <c r="AA348">
        <v>1983.8301767969397</v>
      </c>
      <c r="AB348">
        <v>2071.1159737417938</v>
      </c>
      <c r="AD348">
        <v>0.43086867951154556</v>
      </c>
      <c r="AE348">
        <v>35.470836791669804</v>
      </c>
      <c r="AF348">
        <v>63.245999999999995</v>
      </c>
      <c r="AG348">
        <v>20.2</v>
      </c>
    </row>
    <row r="349" spans="1:33" x14ac:dyDescent="0.25">
      <c r="A349">
        <v>2024</v>
      </c>
      <c r="B349" t="s">
        <v>103</v>
      </c>
      <c r="C349" t="s">
        <v>32</v>
      </c>
      <c r="D349" s="70" t="s">
        <v>25</v>
      </c>
      <c r="E349">
        <v>3</v>
      </c>
      <c r="F349">
        <v>12</v>
      </c>
      <c r="G349">
        <v>3</v>
      </c>
      <c r="H349">
        <v>36</v>
      </c>
      <c r="I349" s="12">
        <v>45576</v>
      </c>
      <c r="J349">
        <v>284</v>
      </c>
      <c r="L349" t="s">
        <v>26</v>
      </c>
      <c r="M349" s="15">
        <v>37100</v>
      </c>
      <c r="N349">
        <v>340.2</v>
      </c>
      <c r="O349">
        <f t="shared" si="5"/>
        <v>0.3402</v>
      </c>
      <c r="Q349">
        <v>0.76049999999999995</v>
      </c>
      <c r="R349">
        <v>4160.2844638949664</v>
      </c>
      <c r="S349">
        <v>2</v>
      </c>
      <c r="T349">
        <v>0.91400000000000003</v>
      </c>
      <c r="U349">
        <v>1.8280000000000001</v>
      </c>
      <c r="X349" s="16"/>
      <c r="AA349">
        <v>1861.0503282275708</v>
      </c>
      <c r="AB349">
        <v>1861.0503282275711</v>
      </c>
      <c r="AD349">
        <v>0.44733727810650897</v>
      </c>
      <c r="AE349">
        <v>31.873160793782542</v>
      </c>
    </row>
    <row r="350" spans="1:33" x14ac:dyDescent="0.25">
      <c r="A350">
        <v>2024</v>
      </c>
      <c r="B350" t="s">
        <v>103</v>
      </c>
      <c r="C350" t="s">
        <v>24</v>
      </c>
      <c r="D350" s="70" t="s">
        <v>38</v>
      </c>
      <c r="E350">
        <v>4</v>
      </c>
      <c r="F350">
        <v>1</v>
      </c>
      <c r="G350">
        <v>4</v>
      </c>
      <c r="H350">
        <v>37</v>
      </c>
      <c r="I350" s="12">
        <v>45579</v>
      </c>
      <c r="J350">
        <v>287</v>
      </c>
      <c r="K350">
        <f>+J350-$AH$6</f>
        <v>145</v>
      </c>
      <c r="L350" t="s">
        <v>26</v>
      </c>
      <c r="M350" s="15">
        <v>37100</v>
      </c>
      <c r="N350">
        <v>584.59999999999991</v>
      </c>
      <c r="O350">
        <f t="shared" si="5"/>
        <v>0.5845999999999999</v>
      </c>
      <c r="P350">
        <v>0.18748999999999999</v>
      </c>
      <c r="Q350">
        <v>1.2855000000000001</v>
      </c>
      <c r="R350">
        <v>8057.9321663019691</v>
      </c>
      <c r="S350">
        <v>2</v>
      </c>
      <c r="T350">
        <v>0.91400000000000003</v>
      </c>
      <c r="U350">
        <v>1.8280000000000001</v>
      </c>
      <c r="V350">
        <v>12.893379112969207</v>
      </c>
      <c r="W350">
        <v>0</v>
      </c>
      <c r="X350" s="16">
        <v>2273.1027376164657</v>
      </c>
      <c r="Y350">
        <v>5771.936049572535</v>
      </c>
      <c r="Z350">
        <v>4177.4548326020131</v>
      </c>
      <c r="AA350">
        <v>3664.4629672657566</v>
      </c>
      <c r="AB350">
        <v>3729.7592997811817</v>
      </c>
      <c r="AD350">
        <v>0.46286804391068509</v>
      </c>
      <c r="AE350">
        <v>63.87748685832139</v>
      </c>
      <c r="AF350">
        <v>78.231999999999999</v>
      </c>
      <c r="AG350">
        <v>18.2</v>
      </c>
    </row>
    <row r="351" spans="1:33" x14ac:dyDescent="0.25">
      <c r="A351">
        <v>2024</v>
      </c>
      <c r="B351" t="s">
        <v>103</v>
      </c>
      <c r="C351" t="s">
        <v>27</v>
      </c>
      <c r="D351" s="70" t="s">
        <v>38</v>
      </c>
      <c r="E351">
        <v>4</v>
      </c>
      <c r="F351">
        <v>2</v>
      </c>
      <c r="G351">
        <v>4</v>
      </c>
      <c r="H351">
        <v>38</v>
      </c>
      <c r="I351" s="12">
        <v>45582</v>
      </c>
      <c r="J351">
        <v>290</v>
      </c>
      <c r="K351">
        <f>+J351-$AH$6</f>
        <v>148</v>
      </c>
      <c r="L351" t="s">
        <v>26</v>
      </c>
      <c r="M351" s="15">
        <v>37100</v>
      </c>
      <c r="N351">
        <v>851.09999999999991</v>
      </c>
      <c r="O351">
        <f t="shared" ref="O351:O382" si="6">+N351/1000</f>
        <v>0.85109999999999986</v>
      </c>
      <c r="P351">
        <v>0.28619000000000006</v>
      </c>
      <c r="Q351">
        <v>1.7084999999999999</v>
      </c>
      <c r="R351">
        <v>10911.870897155359</v>
      </c>
      <c r="S351">
        <v>2</v>
      </c>
      <c r="T351">
        <v>0.91400000000000003</v>
      </c>
      <c r="U351">
        <v>1.8280000000000001</v>
      </c>
      <c r="V351">
        <v>0</v>
      </c>
      <c r="W351">
        <v>0</v>
      </c>
      <c r="X351" s="16">
        <v>2626.6423917852917</v>
      </c>
      <c r="Y351">
        <v>8285.2285053700671</v>
      </c>
      <c r="Z351">
        <v>6245.3770325799214</v>
      </c>
      <c r="AA351">
        <v>5435.8169859929321</v>
      </c>
      <c r="AB351">
        <v>5551.9693654266957</v>
      </c>
      <c r="AD351">
        <v>0.50880086630002663</v>
      </c>
      <c r="AE351">
        <v>95.085452350411217</v>
      </c>
      <c r="AF351">
        <v>91.948000000000008</v>
      </c>
      <c r="AG351">
        <v>20.6</v>
      </c>
    </row>
    <row r="352" spans="1:33" x14ac:dyDescent="0.25">
      <c r="A352">
        <v>2024</v>
      </c>
      <c r="B352" t="s">
        <v>103</v>
      </c>
      <c r="C352" t="s">
        <v>28</v>
      </c>
      <c r="D352" s="70" t="s">
        <v>38</v>
      </c>
      <c r="E352">
        <v>4</v>
      </c>
      <c r="F352">
        <v>3</v>
      </c>
      <c r="G352">
        <v>4</v>
      </c>
      <c r="H352">
        <v>39</v>
      </c>
      <c r="I352" s="12">
        <v>45582</v>
      </c>
      <c r="J352">
        <v>290</v>
      </c>
      <c r="K352">
        <f>+J352-$AH$6</f>
        <v>148</v>
      </c>
      <c r="L352" t="s">
        <v>26</v>
      </c>
      <c r="M352" s="15">
        <v>37100</v>
      </c>
      <c r="N352">
        <v>539.79999999999995</v>
      </c>
      <c r="O352">
        <f t="shared" si="6"/>
        <v>0.53979999999999995</v>
      </c>
      <c r="P352">
        <v>0.22419</v>
      </c>
      <c r="Q352">
        <v>1.1265000000000001</v>
      </c>
      <c r="R352">
        <v>7388.8949671772434</v>
      </c>
      <c r="S352">
        <v>2</v>
      </c>
      <c r="T352">
        <v>0.91400000000000003</v>
      </c>
      <c r="U352">
        <v>1.8280000000000001</v>
      </c>
      <c r="V352">
        <v>0</v>
      </c>
      <c r="W352">
        <v>0</v>
      </c>
      <c r="X352" s="16">
        <v>2105.6982891875377</v>
      </c>
      <c r="Y352">
        <v>5283.1966779897057</v>
      </c>
      <c r="Z352">
        <v>3971.4610087196475</v>
      </c>
      <c r="AA352">
        <v>3540.6351560428543</v>
      </c>
      <c r="AB352">
        <v>3612.1444201312902</v>
      </c>
      <c r="AD352">
        <v>0.48886124869511122</v>
      </c>
      <c r="AE352">
        <v>61.863163057420948</v>
      </c>
      <c r="AF352">
        <v>59.436</v>
      </c>
      <c r="AG352">
        <v>14.2</v>
      </c>
    </row>
    <row r="353" spans="1:33" x14ac:dyDescent="0.25">
      <c r="A353">
        <v>2024</v>
      </c>
      <c r="B353" t="s">
        <v>103</v>
      </c>
      <c r="C353" t="s">
        <v>29</v>
      </c>
      <c r="D353" s="70" t="s">
        <v>38</v>
      </c>
      <c r="E353">
        <v>4</v>
      </c>
      <c r="F353">
        <v>4</v>
      </c>
      <c r="G353">
        <v>4</v>
      </c>
      <c r="H353">
        <v>40</v>
      </c>
      <c r="I353" s="12">
        <v>45582</v>
      </c>
      <c r="J353">
        <v>290</v>
      </c>
      <c r="K353">
        <f>+J353-$AH$6</f>
        <v>148</v>
      </c>
      <c r="L353" t="s">
        <v>26</v>
      </c>
      <c r="M353" s="15">
        <v>37100</v>
      </c>
      <c r="N353">
        <v>628.09999999999991</v>
      </c>
      <c r="O353">
        <f t="shared" si="6"/>
        <v>0.62809999999999988</v>
      </c>
      <c r="P353">
        <v>0.20549000000000001</v>
      </c>
      <c r="Q353">
        <v>1.3274999999999999</v>
      </c>
      <c r="R353">
        <v>8386.1597374179419</v>
      </c>
      <c r="S353">
        <v>2</v>
      </c>
      <c r="T353">
        <v>0.91400000000000003</v>
      </c>
      <c r="U353">
        <v>1.8280000000000001</v>
      </c>
      <c r="V353">
        <v>134.67481207591229</v>
      </c>
      <c r="W353">
        <v>0</v>
      </c>
      <c r="X353" s="16">
        <v>3301.1653178244069</v>
      </c>
      <c r="Y353">
        <v>4950.319607517622</v>
      </c>
      <c r="Z353">
        <v>3672.9494202521519</v>
      </c>
      <c r="AA353">
        <v>3967.869627926334</v>
      </c>
      <c r="AB353">
        <v>3928.3369803063447</v>
      </c>
      <c r="AD353">
        <v>0.46843097476174006</v>
      </c>
      <c r="AE353">
        <v>67.278414950074179</v>
      </c>
      <c r="AF353">
        <v>107.188</v>
      </c>
      <c r="AG353">
        <v>20.6</v>
      </c>
    </row>
    <row r="354" spans="1:33" x14ac:dyDescent="0.25">
      <c r="A354">
        <v>2024</v>
      </c>
      <c r="B354" t="s">
        <v>103</v>
      </c>
      <c r="C354" t="s">
        <v>30</v>
      </c>
      <c r="D354" s="70" t="s">
        <v>38</v>
      </c>
      <c r="E354">
        <v>4</v>
      </c>
      <c r="F354">
        <v>5</v>
      </c>
      <c r="G354">
        <v>4</v>
      </c>
      <c r="H354">
        <v>41</v>
      </c>
      <c r="I354" s="12">
        <v>45579</v>
      </c>
      <c r="J354">
        <v>287</v>
      </c>
      <c r="K354">
        <f>+J354-$AH$6</f>
        <v>145</v>
      </c>
      <c r="L354" t="s">
        <v>26</v>
      </c>
      <c r="M354" s="15">
        <v>37100</v>
      </c>
      <c r="N354">
        <v>415.2</v>
      </c>
      <c r="O354">
        <f t="shared" si="6"/>
        <v>0.41520000000000001</v>
      </c>
      <c r="P354">
        <v>0.14849000000000001</v>
      </c>
      <c r="Q354">
        <v>1.1025</v>
      </c>
      <c r="R354">
        <v>6843.4901531728665</v>
      </c>
      <c r="S354">
        <v>2</v>
      </c>
      <c r="T354">
        <v>0.91400000000000003</v>
      </c>
      <c r="U354">
        <v>1.8280000000000001</v>
      </c>
      <c r="V354">
        <v>59.913375979020351</v>
      </c>
      <c r="W354">
        <v>0</v>
      </c>
      <c r="X354" s="16">
        <v>2575.8142949749581</v>
      </c>
      <c r="Y354">
        <v>4207.7624822188882</v>
      </c>
      <c r="Z354">
        <v>3272.1920727003398</v>
      </c>
      <c r="AA354">
        <v>2577.2490808139446</v>
      </c>
      <c r="AB354">
        <v>2659.7374179431072</v>
      </c>
      <c r="AD354">
        <v>0.38865218746752572</v>
      </c>
      <c r="AE354">
        <v>45.551824744083099</v>
      </c>
      <c r="AF354">
        <v>104.64800000000001</v>
      </c>
      <c r="AG354">
        <v>20.2</v>
      </c>
    </row>
    <row r="355" spans="1:33" x14ac:dyDescent="0.25">
      <c r="A355">
        <v>2024</v>
      </c>
      <c r="B355" t="s">
        <v>103</v>
      </c>
      <c r="C355" t="s">
        <v>31</v>
      </c>
      <c r="D355" s="70" t="s">
        <v>38</v>
      </c>
      <c r="E355">
        <v>4</v>
      </c>
      <c r="F355">
        <v>6</v>
      </c>
      <c r="G355">
        <v>4</v>
      </c>
      <c r="H355">
        <v>42</v>
      </c>
      <c r="I355" s="12">
        <v>45582</v>
      </c>
      <c r="J355">
        <v>290</v>
      </c>
      <c r="L355" t="s">
        <v>26</v>
      </c>
      <c r="M355" s="15">
        <v>37100</v>
      </c>
      <c r="N355">
        <v>788.3</v>
      </c>
      <c r="O355">
        <f t="shared" si="6"/>
        <v>0.7883</v>
      </c>
      <c r="Q355">
        <v>1.7135</v>
      </c>
      <c r="R355">
        <v>9373.6323851203506</v>
      </c>
      <c r="S355">
        <v>2</v>
      </c>
      <c r="T355">
        <v>0.91400000000000003</v>
      </c>
      <c r="U355">
        <v>1.8280000000000001</v>
      </c>
      <c r="X355" s="16"/>
      <c r="AA355">
        <v>4312.3632385120354</v>
      </c>
      <c r="AB355">
        <v>4312.3632385120345</v>
      </c>
      <c r="AD355">
        <v>0.46005252407353364</v>
      </c>
      <c r="AE355">
        <v>73.855416383711855</v>
      </c>
    </row>
    <row r="356" spans="1:33" x14ac:dyDescent="0.25">
      <c r="A356">
        <v>2024</v>
      </c>
      <c r="B356" t="s">
        <v>103</v>
      </c>
      <c r="C356" t="s">
        <v>32</v>
      </c>
      <c r="D356" s="70" t="s">
        <v>38</v>
      </c>
      <c r="E356">
        <v>4</v>
      </c>
      <c r="F356">
        <v>7</v>
      </c>
      <c r="G356">
        <v>4</v>
      </c>
      <c r="H356">
        <v>43</v>
      </c>
      <c r="I356" s="12">
        <v>45582</v>
      </c>
      <c r="J356">
        <v>290</v>
      </c>
      <c r="L356" t="s">
        <v>26</v>
      </c>
      <c r="M356" s="15">
        <v>37100</v>
      </c>
      <c r="N356">
        <v>544.59999999999991</v>
      </c>
      <c r="O356">
        <f t="shared" si="6"/>
        <v>0.54459999999999986</v>
      </c>
      <c r="Q356">
        <v>1.2925</v>
      </c>
      <c r="R356">
        <v>7070.5689277899337</v>
      </c>
      <c r="S356">
        <v>2</v>
      </c>
      <c r="T356">
        <v>0.91400000000000003</v>
      </c>
      <c r="U356">
        <v>1.8280000000000001</v>
      </c>
      <c r="X356" s="16"/>
      <c r="AA356">
        <v>2979.2122538293211</v>
      </c>
      <c r="AB356">
        <v>2979.2122538293206</v>
      </c>
      <c r="AD356">
        <v>0.42135396518375229</v>
      </c>
      <c r="AE356">
        <v>51.023290324203309</v>
      </c>
    </row>
    <row r="357" spans="1:33" x14ac:dyDescent="0.25">
      <c r="A357">
        <v>2024</v>
      </c>
      <c r="B357" t="s">
        <v>103</v>
      </c>
      <c r="C357" t="s">
        <v>33</v>
      </c>
      <c r="D357" s="70" t="s">
        <v>38</v>
      </c>
      <c r="E357">
        <v>4</v>
      </c>
      <c r="F357">
        <v>8</v>
      </c>
      <c r="G357">
        <v>4</v>
      </c>
      <c r="H357">
        <v>44</v>
      </c>
      <c r="I357" s="12">
        <v>45579</v>
      </c>
      <c r="J357">
        <v>287</v>
      </c>
      <c r="L357" t="s">
        <v>26</v>
      </c>
      <c r="M357" s="15">
        <v>37100</v>
      </c>
      <c r="N357">
        <v>753.19999999999993</v>
      </c>
      <c r="O357">
        <f t="shared" si="6"/>
        <v>0.75319999999999998</v>
      </c>
      <c r="Q357">
        <v>1.5505</v>
      </c>
      <c r="R357">
        <v>8481.9474835886213</v>
      </c>
      <c r="S357">
        <v>2</v>
      </c>
      <c r="T357">
        <v>0.91400000000000003</v>
      </c>
      <c r="U357">
        <v>1.8280000000000001</v>
      </c>
      <c r="X357" s="16"/>
      <c r="AA357">
        <v>4120.3501094091898</v>
      </c>
      <c r="AB357">
        <v>4120.3501094091898</v>
      </c>
      <c r="AD357">
        <v>0.48577878103837469</v>
      </c>
      <c r="AE357">
        <v>70.566915666893024</v>
      </c>
    </row>
    <row r="358" spans="1:33" x14ac:dyDescent="0.25">
      <c r="A358">
        <v>2024</v>
      </c>
      <c r="B358" t="s">
        <v>103</v>
      </c>
      <c r="C358" t="s">
        <v>34</v>
      </c>
      <c r="D358" s="70" t="s">
        <v>38</v>
      </c>
      <c r="E358">
        <v>4</v>
      </c>
      <c r="F358">
        <v>9</v>
      </c>
      <c r="G358">
        <v>4</v>
      </c>
      <c r="H358">
        <v>45</v>
      </c>
      <c r="I358" s="12">
        <v>45566</v>
      </c>
      <c r="J358">
        <v>274</v>
      </c>
      <c r="K358">
        <f>+J358-$AH$6</f>
        <v>132</v>
      </c>
      <c r="L358" t="s">
        <v>26</v>
      </c>
      <c r="M358" s="15">
        <v>37100</v>
      </c>
      <c r="N358">
        <v>430.2</v>
      </c>
      <c r="O358">
        <f t="shared" si="6"/>
        <v>0.43019999999999997</v>
      </c>
      <c r="P358">
        <v>0.30879000000000001</v>
      </c>
      <c r="Q358">
        <v>0.85750000000000004</v>
      </c>
      <c r="R358">
        <v>6380.1422319474832</v>
      </c>
      <c r="S358">
        <v>2</v>
      </c>
      <c r="T358">
        <v>0.91400000000000003</v>
      </c>
      <c r="U358">
        <v>1.8280000000000001</v>
      </c>
      <c r="V358">
        <v>0</v>
      </c>
      <c r="W358">
        <v>157.02931106188956</v>
      </c>
      <c r="X358" s="16">
        <v>1506.0350635922537</v>
      </c>
      <c r="Y358">
        <v>4717.0778572933395</v>
      </c>
      <c r="Z358">
        <v>3062.0715657068463</v>
      </c>
      <c r="AA358">
        <v>3200.8596946749935</v>
      </c>
      <c r="AB358">
        <v>3164.1137855579868</v>
      </c>
      <c r="AD358">
        <v>0.49593154361265213</v>
      </c>
      <c r="AE358">
        <v>54.189994718177019</v>
      </c>
      <c r="AF358">
        <v>52.832000000000001</v>
      </c>
      <c r="AG358">
        <v>15.4</v>
      </c>
    </row>
    <row r="359" spans="1:33" x14ac:dyDescent="0.25">
      <c r="A359">
        <v>2024</v>
      </c>
      <c r="B359" t="s">
        <v>103</v>
      </c>
      <c r="C359" t="s">
        <v>35</v>
      </c>
      <c r="D359" s="70" t="s">
        <v>38</v>
      </c>
      <c r="E359">
        <v>4</v>
      </c>
      <c r="F359">
        <v>10</v>
      </c>
      <c r="G359">
        <v>4</v>
      </c>
      <c r="H359">
        <v>46</v>
      </c>
      <c r="I359" s="12">
        <v>45562</v>
      </c>
      <c r="J359">
        <v>270</v>
      </c>
      <c r="K359">
        <f>+J359-$AH$6</f>
        <v>128</v>
      </c>
      <c r="L359" t="s">
        <v>26</v>
      </c>
      <c r="M359" s="15">
        <v>37100</v>
      </c>
      <c r="N359">
        <v>163.80000000000001</v>
      </c>
      <c r="O359">
        <f t="shared" si="6"/>
        <v>0.1638</v>
      </c>
      <c r="P359">
        <v>0.17808999999999997</v>
      </c>
      <c r="Q359">
        <v>0.64549999999999996</v>
      </c>
      <c r="R359">
        <v>4505.4157549234133</v>
      </c>
      <c r="S359">
        <v>2</v>
      </c>
      <c r="T359">
        <v>0.91400000000000003</v>
      </c>
      <c r="U359">
        <v>1.8280000000000001</v>
      </c>
      <c r="V359">
        <v>564.15728752199527</v>
      </c>
      <c r="W359">
        <v>40.477652916376378</v>
      </c>
      <c r="X359" s="16">
        <v>2602.9660678537261</v>
      </c>
      <c r="Y359">
        <v>1297.8147466313164</v>
      </c>
      <c r="Z359">
        <v>123.9628120564026</v>
      </c>
      <c r="AA359">
        <v>1143.2797841308366</v>
      </c>
      <c r="AF359">
        <v>83.820000000000007</v>
      </c>
      <c r="AG359">
        <v>16.600000000000001</v>
      </c>
    </row>
    <row r="360" spans="1:33" x14ac:dyDescent="0.25">
      <c r="A360">
        <v>2024</v>
      </c>
      <c r="B360" t="s">
        <v>103</v>
      </c>
      <c r="C360" t="s">
        <v>36</v>
      </c>
      <c r="D360" s="70" t="s">
        <v>38</v>
      </c>
      <c r="E360">
        <v>4</v>
      </c>
      <c r="F360">
        <v>11</v>
      </c>
      <c r="G360">
        <v>4</v>
      </c>
      <c r="H360">
        <v>47</v>
      </c>
      <c r="I360" s="12">
        <v>45562</v>
      </c>
      <c r="J360">
        <v>270</v>
      </c>
      <c r="K360">
        <f>+J360-$AH$6</f>
        <v>128</v>
      </c>
      <c r="L360" t="s">
        <v>26</v>
      </c>
      <c r="M360" s="15">
        <v>37100</v>
      </c>
      <c r="N360">
        <v>452.40000000000003</v>
      </c>
      <c r="O360">
        <f t="shared" si="6"/>
        <v>0.45240000000000002</v>
      </c>
      <c r="P360">
        <v>0.14219000000000001</v>
      </c>
      <c r="Q360">
        <v>0.9365</v>
      </c>
      <c r="R360">
        <v>5900.9299781181617</v>
      </c>
      <c r="S360">
        <v>2</v>
      </c>
      <c r="T360">
        <v>0.91400000000000003</v>
      </c>
      <c r="U360">
        <v>1.8280000000000001</v>
      </c>
      <c r="V360">
        <v>0</v>
      </c>
      <c r="W360">
        <v>0</v>
      </c>
      <c r="X360" s="16">
        <v>1613.9473018427127</v>
      </c>
      <c r="Y360">
        <v>4286.9826762754492</v>
      </c>
      <c r="Z360">
        <v>2701.6705926963373</v>
      </c>
      <c r="AA360">
        <v>2850.5934032041177</v>
      </c>
      <c r="AB360">
        <v>2830.9628008752738</v>
      </c>
      <c r="AD360">
        <v>0.4797485839305084</v>
      </c>
      <c r="AE360">
        <v>48.48430544027768</v>
      </c>
      <c r="AF360">
        <v>58.165999999999997</v>
      </c>
      <c r="AG360">
        <v>14.4</v>
      </c>
    </row>
    <row r="361" spans="1:33" x14ac:dyDescent="0.25">
      <c r="A361">
        <v>2024</v>
      </c>
      <c r="B361" t="s">
        <v>103</v>
      </c>
      <c r="C361" t="s">
        <v>37</v>
      </c>
      <c r="D361" s="70" t="s">
        <v>38</v>
      </c>
      <c r="E361">
        <v>4</v>
      </c>
      <c r="F361">
        <v>12</v>
      </c>
      <c r="G361">
        <v>4</v>
      </c>
      <c r="H361">
        <v>48</v>
      </c>
      <c r="I361" s="12">
        <v>45562</v>
      </c>
      <c r="J361">
        <v>270</v>
      </c>
      <c r="L361" t="s">
        <v>26</v>
      </c>
      <c r="M361" s="15">
        <v>37100</v>
      </c>
      <c r="N361">
        <v>599.19999999999993</v>
      </c>
      <c r="O361">
        <f t="shared" si="6"/>
        <v>0.59919999999999995</v>
      </c>
      <c r="Q361">
        <v>1.2705</v>
      </c>
      <c r="R361">
        <v>6950.2188183807439</v>
      </c>
      <c r="S361">
        <v>2</v>
      </c>
      <c r="T361">
        <v>0.91400000000000003</v>
      </c>
      <c r="U361">
        <v>1.8280000000000001</v>
      </c>
      <c r="X361" s="16"/>
      <c r="AA361">
        <v>3277.8993435448574</v>
      </c>
      <c r="AB361">
        <v>3277.8993435448579</v>
      </c>
      <c r="AD361">
        <v>0.4716253443526171</v>
      </c>
      <c r="AE361">
        <v>56.13873588369929</v>
      </c>
    </row>
    <row r="362" spans="1:33" s="19" customFormat="1" x14ac:dyDescent="0.25">
      <c r="A362">
        <v>2024</v>
      </c>
      <c r="B362" t="s">
        <v>103</v>
      </c>
      <c r="C362" t="s">
        <v>35</v>
      </c>
      <c r="D362" s="70" t="s">
        <v>38</v>
      </c>
      <c r="E362">
        <v>5</v>
      </c>
      <c r="F362">
        <v>1</v>
      </c>
      <c r="G362">
        <v>5</v>
      </c>
      <c r="H362">
        <v>49</v>
      </c>
      <c r="I362" s="12">
        <v>45562</v>
      </c>
      <c r="J362">
        <v>270</v>
      </c>
      <c r="K362">
        <f>+J362-$AH$6</f>
        <v>128</v>
      </c>
      <c r="L362" t="s">
        <v>26</v>
      </c>
      <c r="M362">
        <v>37100</v>
      </c>
      <c r="N362">
        <v>182.70000000000002</v>
      </c>
      <c r="O362">
        <f t="shared" si="6"/>
        <v>0.18270000000000003</v>
      </c>
      <c r="P362">
        <v>0.19148999999999999</v>
      </c>
      <c r="Q362">
        <v>0.91049999999999998</v>
      </c>
      <c r="R362">
        <v>6028.3916849015313</v>
      </c>
      <c r="S362">
        <v>2</v>
      </c>
      <c r="T362">
        <v>0.91400000000000003</v>
      </c>
      <c r="U362">
        <v>1.8280000000000001</v>
      </c>
      <c r="V362">
        <v>324.2594096531713</v>
      </c>
      <c r="W362">
        <v>0</v>
      </c>
      <c r="X362" s="16">
        <v>2200.2417612291401</v>
      </c>
      <c r="Y362">
        <v>3503.8905140192201</v>
      </c>
      <c r="Z362">
        <v>2175.3713793237025</v>
      </c>
      <c r="AA362">
        <v>1209.6509179917737</v>
      </c>
      <c r="AB362"/>
      <c r="AC362"/>
      <c r="AD362"/>
      <c r="AE362"/>
      <c r="AF362">
        <v>67.817999999999998</v>
      </c>
      <c r="AG362">
        <v>11.8</v>
      </c>
    </row>
    <row r="363" spans="1:33" s="19" customFormat="1" x14ac:dyDescent="0.25">
      <c r="A363">
        <v>2024</v>
      </c>
      <c r="B363" t="s">
        <v>103</v>
      </c>
      <c r="C363" t="s">
        <v>33</v>
      </c>
      <c r="D363" s="70" t="s">
        <v>38</v>
      </c>
      <c r="E363">
        <v>5</v>
      </c>
      <c r="F363">
        <v>2</v>
      </c>
      <c r="G363">
        <v>5</v>
      </c>
      <c r="H363">
        <v>50</v>
      </c>
      <c r="I363" s="12">
        <v>45579</v>
      </c>
      <c r="J363">
        <v>287</v>
      </c>
      <c r="K363"/>
      <c r="L363" t="s">
        <v>26</v>
      </c>
      <c r="M363">
        <v>37100</v>
      </c>
      <c r="N363">
        <v>960.3</v>
      </c>
      <c r="O363">
        <f t="shared" si="6"/>
        <v>0.96029999999999993</v>
      </c>
      <c r="P363"/>
      <c r="Q363">
        <v>1.9635</v>
      </c>
      <c r="R363">
        <v>10741.24726477024</v>
      </c>
      <c r="S363">
        <v>2</v>
      </c>
      <c r="T363">
        <v>0.91400000000000003</v>
      </c>
      <c r="U363">
        <v>1.8280000000000001</v>
      </c>
      <c r="V363"/>
      <c r="W363"/>
      <c r="X363" s="16"/>
      <c r="Y363"/>
      <c r="Z363"/>
      <c r="AA363">
        <v>5253.2822757111589</v>
      </c>
      <c r="AB363">
        <v>5253.2822757111599</v>
      </c>
      <c r="AC363"/>
      <c r="AD363">
        <v>0.48907563025210088</v>
      </c>
      <c r="AE363">
        <v>89.970006790915264</v>
      </c>
      <c r="AF363"/>
      <c r="AG363"/>
    </row>
    <row r="364" spans="1:33" s="19" customFormat="1" x14ac:dyDescent="0.25">
      <c r="A364">
        <v>2024</v>
      </c>
      <c r="B364" t="s">
        <v>103</v>
      </c>
      <c r="C364" t="s">
        <v>34</v>
      </c>
      <c r="D364" s="70" t="s">
        <v>38</v>
      </c>
      <c r="E364">
        <v>5</v>
      </c>
      <c r="F364">
        <v>3</v>
      </c>
      <c r="G364">
        <v>5</v>
      </c>
      <c r="H364">
        <v>51</v>
      </c>
      <c r="I364" s="12">
        <v>45566</v>
      </c>
      <c r="J364">
        <v>274</v>
      </c>
      <c r="K364">
        <f>+J364-$AH$6</f>
        <v>132</v>
      </c>
      <c r="L364" t="s">
        <v>26</v>
      </c>
      <c r="M364">
        <v>37100</v>
      </c>
      <c r="N364">
        <v>456.5</v>
      </c>
      <c r="O364">
        <f t="shared" si="6"/>
        <v>0.45650000000000002</v>
      </c>
      <c r="P364">
        <v>0.27479000000000003</v>
      </c>
      <c r="Q364">
        <v>0.94350000000000001</v>
      </c>
      <c r="R364">
        <v>6664.6061269146612</v>
      </c>
      <c r="S364">
        <v>2</v>
      </c>
      <c r="T364">
        <v>0.91400000000000003</v>
      </c>
      <c r="U364">
        <v>1.8280000000000001</v>
      </c>
      <c r="V364">
        <v>0</v>
      </c>
      <c r="W364">
        <v>87.31242787908144</v>
      </c>
      <c r="X364" s="16">
        <v>1573.8065125204423</v>
      </c>
      <c r="Y364">
        <v>5003.4871865151372</v>
      </c>
      <c r="Z364">
        <v>3102.0165349262529</v>
      </c>
      <c r="AA364">
        <v>3224.5815547817097</v>
      </c>
      <c r="AB364">
        <v>3196.936542669584</v>
      </c>
      <c r="AC364"/>
      <c r="AD364">
        <v>0.47968874405929618</v>
      </c>
      <c r="AE364">
        <v>54.752131592846901</v>
      </c>
      <c r="AF364">
        <v>45.974000000000004</v>
      </c>
      <c r="AG364">
        <v>14.6</v>
      </c>
    </row>
    <row r="365" spans="1:33" s="19" customFormat="1" x14ac:dyDescent="0.25">
      <c r="A365">
        <v>2024</v>
      </c>
      <c r="B365" t="s">
        <v>103</v>
      </c>
      <c r="C365" t="s">
        <v>27</v>
      </c>
      <c r="D365" s="70" t="s">
        <v>38</v>
      </c>
      <c r="E365">
        <v>5</v>
      </c>
      <c r="F365">
        <v>4</v>
      </c>
      <c r="G365">
        <v>5</v>
      </c>
      <c r="H365">
        <v>52</v>
      </c>
      <c r="I365" s="12">
        <v>45582</v>
      </c>
      <c r="J365">
        <v>290</v>
      </c>
      <c r="K365">
        <f>+J365-$AH$6</f>
        <v>148</v>
      </c>
      <c r="L365" t="s">
        <v>26</v>
      </c>
      <c r="M365">
        <v>37100</v>
      </c>
      <c r="N365">
        <v>702.5</v>
      </c>
      <c r="O365">
        <f t="shared" si="6"/>
        <v>0.70250000000000001</v>
      </c>
      <c r="P365">
        <v>0.18648999999999999</v>
      </c>
      <c r="Q365">
        <v>1.4744999999999999</v>
      </c>
      <c r="R365">
        <v>9086.3785557986866</v>
      </c>
      <c r="S365">
        <v>2</v>
      </c>
      <c r="T365">
        <v>0.91400000000000003</v>
      </c>
      <c r="U365">
        <v>1.8280000000000001</v>
      </c>
      <c r="V365">
        <v>14.616942285053423</v>
      </c>
      <c r="W365">
        <v>0</v>
      </c>
      <c r="X365" s="16">
        <v>2625.6900658050899</v>
      </c>
      <c r="Y365">
        <v>6446.0715477085441</v>
      </c>
      <c r="Z365">
        <v>4774.8678131174393</v>
      </c>
      <c r="AA365">
        <v>4329.0477690393882</v>
      </c>
      <c r="AB365">
        <v>4379.1028446389491</v>
      </c>
      <c r="AC365"/>
      <c r="AD365">
        <v>0.48194149272421866</v>
      </c>
      <c r="AE365">
        <v>74.99842802887396</v>
      </c>
      <c r="AF365">
        <v>95.504000000000005</v>
      </c>
      <c r="AG365">
        <v>17.600000000000001</v>
      </c>
    </row>
    <row r="366" spans="1:33" s="19" customFormat="1" x14ac:dyDescent="0.25">
      <c r="A366">
        <v>2024</v>
      </c>
      <c r="B366" t="s">
        <v>103</v>
      </c>
      <c r="C366" t="s">
        <v>32</v>
      </c>
      <c r="D366" s="70" t="s">
        <v>38</v>
      </c>
      <c r="E366">
        <v>5</v>
      </c>
      <c r="F366">
        <v>5</v>
      </c>
      <c r="G366">
        <v>5</v>
      </c>
      <c r="H366">
        <v>53</v>
      </c>
      <c r="I366" s="12">
        <v>45582</v>
      </c>
      <c r="J366">
        <v>290</v>
      </c>
      <c r="K366"/>
      <c r="L366" t="s">
        <v>26</v>
      </c>
      <c r="M366">
        <v>37100</v>
      </c>
      <c r="N366">
        <v>746.59999999999991</v>
      </c>
      <c r="O366">
        <f t="shared" si="6"/>
        <v>0.74659999999999993</v>
      </c>
      <c r="P366"/>
      <c r="Q366">
        <v>1.6775</v>
      </c>
      <c r="R366">
        <v>9176.6958424507648</v>
      </c>
      <c r="S366">
        <v>2</v>
      </c>
      <c r="T366">
        <v>0.91400000000000003</v>
      </c>
      <c r="U366">
        <v>1.8280000000000001</v>
      </c>
      <c r="V366"/>
      <c r="W366"/>
      <c r="X366" s="16"/>
      <c r="Y366"/>
      <c r="Z366"/>
      <c r="AA366">
        <v>4084.2450765864323</v>
      </c>
      <c r="AB366">
        <v>4084.2450765864328</v>
      </c>
      <c r="AC366"/>
      <c r="AD366">
        <v>0.44506706408345753</v>
      </c>
      <c r="AE366">
        <v>69.948565104756142</v>
      </c>
      <c r="AF366"/>
      <c r="AG366"/>
    </row>
    <row r="367" spans="1:33" s="19" customFormat="1" x14ac:dyDescent="0.25">
      <c r="A367">
        <v>2024</v>
      </c>
      <c r="B367" t="s">
        <v>103</v>
      </c>
      <c r="C367" t="s">
        <v>29</v>
      </c>
      <c r="D367" s="70" t="s">
        <v>38</v>
      </c>
      <c r="E367">
        <v>5</v>
      </c>
      <c r="F367">
        <v>6</v>
      </c>
      <c r="G367">
        <v>5</v>
      </c>
      <c r="H367">
        <v>54</v>
      </c>
      <c r="I367" s="12">
        <v>45582</v>
      </c>
      <c r="J367">
        <v>290</v>
      </c>
      <c r="K367">
        <f>+J367-$AH$6</f>
        <v>148</v>
      </c>
      <c r="L367" t="s">
        <v>26</v>
      </c>
      <c r="M367">
        <v>37100</v>
      </c>
      <c r="N367">
        <v>730.9</v>
      </c>
      <c r="O367">
        <f t="shared" si="6"/>
        <v>0.73089999999999999</v>
      </c>
      <c r="P367">
        <v>0.21118999999999999</v>
      </c>
      <c r="Q367">
        <v>1.6145</v>
      </c>
      <c r="R367">
        <v>9987.3632385120363</v>
      </c>
      <c r="S367">
        <v>2</v>
      </c>
      <c r="T367">
        <v>0.91400000000000003</v>
      </c>
      <c r="U367">
        <v>1.8280000000000001</v>
      </c>
      <c r="V367">
        <v>0</v>
      </c>
      <c r="W367">
        <v>0</v>
      </c>
      <c r="X367" s="16">
        <v>3305.1603614735836</v>
      </c>
      <c r="Y367">
        <v>6682.2028770384532</v>
      </c>
      <c r="Z367">
        <v>5027.0216973049364</v>
      </c>
      <c r="AA367">
        <v>4521.3773868246808</v>
      </c>
      <c r="AB367">
        <v>4579.8687089715531</v>
      </c>
      <c r="AC367"/>
      <c r="AD367">
        <v>0.45856635025661519</v>
      </c>
      <c r="AE367">
        <v>78.43683191227143</v>
      </c>
      <c r="AF367">
        <v>96.774000000000001</v>
      </c>
      <c r="AG367">
        <v>19</v>
      </c>
    </row>
    <row r="368" spans="1:33" s="19" customFormat="1" x14ac:dyDescent="0.25">
      <c r="A368">
        <v>2024</v>
      </c>
      <c r="B368" t="s">
        <v>103</v>
      </c>
      <c r="C368" t="s">
        <v>30</v>
      </c>
      <c r="D368" s="70" t="s">
        <v>38</v>
      </c>
      <c r="E368">
        <v>5</v>
      </c>
      <c r="F368">
        <v>7</v>
      </c>
      <c r="G368">
        <v>5</v>
      </c>
      <c r="H368">
        <v>55</v>
      </c>
      <c r="I368" s="12">
        <v>45579</v>
      </c>
      <c r="J368">
        <v>287</v>
      </c>
      <c r="K368">
        <f>+J368-$AH$6</f>
        <v>145</v>
      </c>
      <c r="L368" t="s">
        <v>26</v>
      </c>
      <c r="M368">
        <v>37100</v>
      </c>
      <c r="N368">
        <v>500.50000000000006</v>
      </c>
      <c r="O368">
        <f t="shared" si="6"/>
        <v>0.50050000000000006</v>
      </c>
      <c r="P368">
        <v>0.17349000000000001</v>
      </c>
      <c r="Q368">
        <v>1.0834999999999999</v>
      </c>
      <c r="R368">
        <v>6876.3129102844623</v>
      </c>
      <c r="S368">
        <v>2</v>
      </c>
      <c r="T368">
        <v>0.91400000000000003</v>
      </c>
      <c r="U368">
        <v>1.8280000000000001</v>
      </c>
      <c r="V368">
        <v>91.160987340217133</v>
      </c>
      <c r="W368">
        <v>0</v>
      </c>
      <c r="X368" s="16">
        <v>2215.2119923672753</v>
      </c>
      <c r="Y368">
        <v>4569.9399305769693</v>
      </c>
      <c r="Z368">
        <v>3408.6282222863779</v>
      </c>
      <c r="AA368">
        <v>3176.3678925679505</v>
      </c>
      <c r="AB368">
        <v>3208.4245076586431</v>
      </c>
      <c r="AC368"/>
      <c r="AD368">
        <v>0.46659082411156816</v>
      </c>
      <c r="AE368">
        <v>54.948879498981356</v>
      </c>
      <c r="AF368">
        <v>90.931999999999988</v>
      </c>
      <c r="AG368">
        <v>18.600000000000001</v>
      </c>
    </row>
    <row r="369" spans="1:33" s="19" customFormat="1" x14ac:dyDescent="0.25">
      <c r="A369">
        <v>2024</v>
      </c>
      <c r="B369" t="s">
        <v>103</v>
      </c>
      <c r="C369" t="s">
        <v>36</v>
      </c>
      <c r="D369" s="70" t="s">
        <v>38</v>
      </c>
      <c r="E369">
        <v>5</v>
      </c>
      <c r="F369">
        <v>8</v>
      </c>
      <c r="G369">
        <v>5</v>
      </c>
      <c r="H369">
        <v>56</v>
      </c>
      <c r="I369" s="12">
        <v>45562</v>
      </c>
      <c r="J369">
        <v>270</v>
      </c>
      <c r="K369">
        <f>+J369-$AH$6</f>
        <v>128</v>
      </c>
      <c r="L369" t="s">
        <v>26</v>
      </c>
      <c r="M369">
        <v>37100</v>
      </c>
      <c r="N369">
        <v>476.3</v>
      </c>
      <c r="O369">
        <f t="shared" si="6"/>
        <v>0.4763</v>
      </c>
      <c r="P369">
        <v>0.18419000000000002</v>
      </c>
      <c r="Q369">
        <v>0.98350000000000004</v>
      </c>
      <c r="R369">
        <v>6387.8008752735232</v>
      </c>
      <c r="S369">
        <v>2</v>
      </c>
      <c r="T369">
        <v>0.91400000000000003</v>
      </c>
      <c r="U369">
        <v>1.8280000000000001</v>
      </c>
      <c r="V369">
        <v>0</v>
      </c>
      <c r="W369">
        <v>0</v>
      </c>
      <c r="X369" s="16">
        <v>1626.1685381485174</v>
      </c>
      <c r="Y369">
        <v>4761.6323371250046</v>
      </c>
      <c r="Z369">
        <v>3100.4364962780437</v>
      </c>
      <c r="AA369">
        <v>3093.5531844359725</v>
      </c>
      <c r="AB369">
        <v>3094.6389496717725</v>
      </c>
      <c r="AC369"/>
      <c r="AD369">
        <v>0.48446077297912971</v>
      </c>
      <c r="AE369">
        <v>53.000138333459091</v>
      </c>
      <c r="AF369">
        <v>51.815999999999995</v>
      </c>
      <c r="AG369">
        <v>14.6</v>
      </c>
    </row>
    <row r="370" spans="1:33" s="19" customFormat="1" x14ac:dyDescent="0.25">
      <c r="A370">
        <v>2024</v>
      </c>
      <c r="B370" t="s">
        <v>103</v>
      </c>
      <c r="C370" t="s">
        <v>24</v>
      </c>
      <c r="D370" s="70" t="s">
        <v>38</v>
      </c>
      <c r="E370">
        <v>5</v>
      </c>
      <c r="F370">
        <v>9</v>
      </c>
      <c r="G370">
        <v>5</v>
      </c>
      <c r="H370">
        <v>57</v>
      </c>
      <c r="I370" s="12">
        <v>45579</v>
      </c>
      <c r="J370">
        <v>287</v>
      </c>
      <c r="K370">
        <f>+J370-$AH$6</f>
        <v>145</v>
      </c>
      <c r="L370" t="s">
        <v>26</v>
      </c>
      <c r="M370">
        <v>37100</v>
      </c>
      <c r="N370">
        <v>778.09999999999991</v>
      </c>
      <c r="O370">
        <f t="shared" si="6"/>
        <v>0.7780999999999999</v>
      </c>
      <c r="P370">
        <v>0.11818999999999999</v>
      </c>
      <c r="Q370">
        <v>1.5295000000000001</v>
      </c>
      <c r="R370">
        <v>9013.6214442013134</v>
      </c>
      <c r="S370">
        <v>2</v>
      </c>
      <c r="T370">
        <v>0.91400000000000003</v>
      </c>
      <c r="U370">
        <v>1.8280000000000001</v>
      </c>
      <c r="V370">
        <v>0</v>
      </c>
      <c r="W370">
        <v>0</v>
      </c>
      <c r="X370" s="16">
        <v>2050.734246844685</v>
      </c>
      <c r="Y370">
        <v>6962.8871973566283</v>
      </c>
      <c r="Z370">
        <v>2753.1240725583157</v>
      </c>
      <c r="AA370">
        <v>4585.4846980928669</v>
      </c>
      <c r="AB370">
        <v>4454.0481400437629</v>
      </c>
      <c r="AC370"/>
      <c r="AD370">
        <v>0.49414635034502841</v>
      </c>
      <c r="AE370">
        <v>76.281973892703533</v>
      </c>
      <c r="AF370">
        <v>77.977999999999994</v>
      </c>
      <c r="AG370">
        <v>17</v>
      </c>
    </row>
    <row r="371" spans="1:33" s="19" customFormat="1" x14ac:dyDescent="0.25">
      <c r="A371">
        <v>2024</v>
      </c>
      <c r="B371" t="s">
        <v>103</v>
      </c>
      <c r="C371" t="s">
        <v>37</v>
      </c>
      <c r="D371" s="70" t="s">
        <v>38</v>
      </c>
      <c r="E371">
        <v>5</v>
      </c>
      <c r="F371">
        <v>10</v>
      </c>
      <c r="G371">
        <v>5</v>
      </c>
      <c r="H371">
        <v>58</v>
      </c>
      <c r="I371" s="12">
        <v>45562</v>
      </c>
      <c r="J371">
        <v>270</v>
      </c>
      <c r="K371"/>
      <c r="L371" t="s">
        <v>26</v>
      </c>
      <c r="M371">
        <v>37100</v>
      </c>
      <c r="N371">
        <v>470.3</v>
      </c>
      <c r="O371">
        <f t="shared" si="6"/>
        <v>0.4703</v>
      </c>
      <c r="P371"/>
      <c r="Q371">
        <v>1.0685</v>
      </c>
      <c r="R371">
        <v>5845.1859956236322</v>
      </c>
      <c r="S371">
        <v>2</v>
      </c>
      <c r="T371">
        <v>0.91400000000000003</v>
      </c>
      <c r="U371">
        <v>1.8280000000000001</v>
      </c>
      <c r="V371"/>
      <c r="W371"/>
      <c r="X371" s="16"/>
      <c r="Y371"/>
      <c r="Z371"/>
      <c r="AA371">
        <v>2572.7571115973742</v>
      </c>
      <c r="AB371">
        <v>2572.7571115973742</v>
      </c>
      <c r="AC371"/>
      <c r="AD371">
        <v>0.44014974262985496</v>
      </c>
      <c r="AE371">
        <v>44.062162026207901</v>
      </c>
      <c r="AF371"/>
      <c r="AG371"/>
    </row>
    <row r="372" spans="1:33" s="19" customFormat="1" x14ac:dyDescent="0.25">
      <c r="A372">
        <v>2024</v>
      </c>
      <c r="B372" t="s">
        <v>103</v>
      </c>
      <c r="C372" t="s">
        <v>31</v>
      </c>
      <c r="D372" s="70" t="s">
        <v>38</v>
      </c>
      <c r="E372">
        <v>5</v>
      </c>
      <c r="F372">
        <v>11</v>
      </c>
      <c r="G372">
        <v>5</v>
      </c>
      <c r="H372">
        <v>59</v>
      </c>
      <c r="I372" s="12">
        <v>45582</v>
      </c>
      <c r="J372">
        <v>290</v>
      </c>
      <c r="K372"/>
      <c r="L372" t="s">
        <v>26</v>
      </c>
      <c r="M372">
        <v>37100</v>
      </c>
      <c r="N372">
        <v>674.4</v>
      </c>
      <c r="O372">
        <f t="shared" si="6"/>
        <v>0.6744</v>
      </c>
      <c r="P372"/>
      <c r="Q372">
        <v>1.4784999999999999</v>
      </c>
      <c r="R372">
        <v>8088.0743982494523</v>
      </c>
      <c r="S372">
        <v>2</v>
      </c>
      <c r="T372">
        <v>0.91400000000000003</v>
      </c>
      <c r="U372">
        <v>1.8280000000000001</v>
      </c>
      <c r="V372"/>
      <c r="W372"/>
      <c r="X372" s="16"/>
      <c r="Y372"/>
      <c r="Z372"/>
      <c r="AA372">
        <v>3689.277899343545</v>
      </c>
      <c r="AB372">
        <v>3689.2778993435445</v>
      </c>
      <c r="AC372"/>
      <c r="AD372">
        <v>0.45613797768008113</v>
      </c>
      <c r="AE372">
        <v>63.184184712895195</v>
      </c>
      <c r="AF372"/>
      <c r="AG372"/>
    </row>
    <row r="373" spans="1:33" s="19" customFormat="1" x14ac:dyDescent="0.25">
      <c r="A373">
        <v>2024</v>
      </c>
      <c r="B373" t="s">
        <v>103</v>
      </c>
      <c r="C373" t="s">
        <v>28</v>
      </c>
      <c r="D373" s="70" t="s">
        <v>38</v>
      </c>
      <c r="E373">
        <v>5</v>
      </c>
      <c r="F373">
        <v>12</v>
      </c>
      <c r="G373">
        <v>5</v>
      </c>
      <c r="H373">
        <v>60</v>
      </c>
      <c r="I373" s="12">
        <v>45582</v>
      </c>
      <c r="J373">
        <v>290</v>
      </c>
      <c r="K373">
        <f>+J373-$AH$6</f>
        <v>148</v>
      </c>
      <c r="L373" t="s">
        <v>26</v>
      </c>
      <c r="M373">
        <v>37100</v>
      </c>
      <c r="N373">
        <v>521.09999999999991</v>
      </c>
      <c r="O373">
        <f t="shared" si="6"/>
        <v>0.5210999999999999</v>
      </c>
      <c r="P373">
        <v>0.15109</v>
      </c>
      <c r="Q373">
        <v>1.1355</v>
      </c>
      <c r="R373">
        <v>7038.2385120350109</v>
      </c>
      <c r="S373">
        <v>2</v>
      </c>
      <c r="T373">
        <v>0.91400000000000003</v>
      </c>
      <c r="U373">
        <v>1.8280000000000001</v>
      </c>
      <c r="V373">
        <v>13.974925895893232</v>
      </c>
      <c r="W373">
        <v>27.949851791786465</v>
      </c>
      <c r="X373" s="16">
        <v>2463.7794354459706</v>
      </c>
      <c r="Y373">
        <v>4532.5342989013607</v>
      </c>
      <c r="Z373">
        <v>3335.3489804865098</v>
      </c>
      <c r="AA373">
        <v>3229.9657319431471</v>
      </c>
      <c r="AB373">
        <v>3242.34135667396</v>
      </c>
      <c r="AC373"/>
      <c r="AD373">
        <v>0.46067511794744237</v>
      </c>
      <c r="AE373">
        <v>55.529754269473571</v>
      </c>
      <c r="AF373">
        <v>66.294000000000011</v>
      </c>
      <c r="AG373">
        <v>13.8</v>
      </c>
    </row>
    <row r="374" spans="1:33" s="19" customFormat="1" x14ac:dyDescent="0.25">
      <c r="A374">
        <v>2024</v>
      </c>
      <c r="B374" t="s">
        <v>103</v>
      </c>
      <c r="C374" t="s">
        <v>27</v>
      </c>
      <c r="D374" s="70" t="s">
        <v>38</v>
      </c>
      <c r="E374">
        <v>6</v>
      </c>
      <c r="F374">
        <v>1</v>
      </c>
      <c r="G374">
        <v>6</v>
      </c>
      <c r="H374">
        <v>61</v>
      </c>
      <c r="I374" s="12">
        <v>45582</v>
      </c>
      <c r="J374">
        <v>290</v>
      </c>
      <c r="K374">
        <f>+J374-$AH$6</f>
        <v>148</v>
      </c>
      <c r="L374" t="s">
        <v>26</v>
      </c>
      <c r="M374">
        <v>37100</v>
      </c>
      <c r="N374">
        <v>703.9</v>
      </c>
      <c r="O374">
        <f t="shared" si="6"/>
        <v>0.70389999999999997</v>
      </c>
      <c r="P374">
        <v>0.25519000000000003</v>
      </c>
      <c r="Q374">
        <v>1.4815</v>
      </c>
      <c r="R374">
        <v>9500.4923413566739</v>
      </c>
      <c r="S374">
        <v>2</v>
      </c>
      <c r="T374">
        <v>0.91400000000000003</v>
      </c>
      <c r="U374">
        <v>1.8280000000000001</v>
      </c>
      <c r="V374">
        <v>0</v>
      </c>
      <c r="W374">
        <v>0</v>
      </c>
      <c r="X374" s="16">
        <v>2192.4213095438472</v>
      </c>
      <c r="Y374">
        <v>7308.0710318128258</v>
      </c>
      <c r="Z374">
        <v>5457.785090492921</v>
      </c>
      <c r="AA374">
        <v>4513.9362531764846</v>
      </c>
      <c r="AB374">
        <v>4652.6258205689273</v>
      </c>
      <c r="AC374"/>
      <c r="AD374">
        <v>0.48972470619396663</v>
      </c>
      <c r="AE374">
        <v>79.68290198445635</v>
      </c>
      <c r="AF374">
        <v>92.456000000000003</v>
      </c>
      <c r="AG374">
        <v>20.2</v>
      </c>
    </row>
    <row r="375" spans="1:33" s="19" customFormat="1" x14ac:dyDescent="0.25">
      <c r="A375">
        <v>2024</v>
      </c>
      <c r="B375" t="s">
        <v>103</v>
      </c>
      <c r="C375" t="s">
        <v>24</v>
      </c>
      <c r="D375" s="70" t="s">
        <v>38</v>
      </c>
      <c r="E375">
        <v>6</v>
      </c>
      <c r="F375">
        <v>2</v>
      </c>
      <c r="G375">
        <v>6</v>
      </c>
      <c r="H375">
        <v>62</v>
      </c>
      <c r="I375" s="12">
        <v>45579</v>
      </c>
      <c r="J375">
        <v>287</v>
      </c>
      <c r="K375">
        <f>+J375-$AH$6</f>
        <v>145</v>
      </c>
      <c r="L375" t="s">
        <v>26</v>
      </c>
      <c r="M375">
        <v>37100</v>
      </c>
      <c r="N375">
        <v>665.69999999999993</v>
      </c>
      <c r="O375">
        <f t="shared" si="6"/>
        <v>0.66569999999999996</v>
      </c>
      <c r="P375">
        <v>0.17719000000000001</v>
      </c>
      <c r="Q375">
        <v>1.2885</v>
      </c>
      <c r="R375">
        <v>8017.9978118161916</v>
      </c>
      <c r="S375">
        <v>2</v>
      </c>
      <c r="T375">
        <v>0.91400000000000003</v>
      </c>
      <c r="U375">
        <v>1.8280000000000001</v>
      </c>
      <c r="V375">
        <v>0</v>
      </c>
      <c r="W375">
        <v>0</v>
      </c>
      <c r="X375" s="16">
        <v>1624.0529457987645</v>
      </c>
      <c r="Y375">
        <v>6393.9448660174276</v>
      </c>
      <c r="Z375">
        <v>4493.4092370525868</v>
      </c>
      <c r="AA375">
        <v>4142.4766343236624</v>
      </c>
      <c r="AB375">
        <v>4184.9015317286648</v>
      </c>
      <c r="AC375"/>
      <c r="AD375">
        <v>0.5219384726647518</v>
      </c>
      <c r="AE375">
        <v>71.672451520410476</v>
      </c>
      <c r="AF375">
        <v>77.724000000000004</v>
      </c>
      <c r="AG375">
        <v>17</v>
      </c>
    </row>
    <row r="376" spans="1:33" s="19" customFormat="1" x14ac:dyDescent="0.25">
      <c r="A376">
        <v>2024</v>
      </c>
      <c r="B376" t="s">
        <v>103</v>
      </c>
      <c r="C376" t="s">
        <v>33</v>
      </c>
      <c r="D376" s="70" t="s">
        <v>38</v>
      </c>
      <c r="E376">
        <v>6</v>
      </c>
      <c r="F376">
        <v>3</v>
      </c>
      <c r="G376">
        <v>6</v>
      </c>
      <c r="H376">
        <v>63</v>
      </c>
      <c r="I376" s="12">
        <v>45579</v>
      </c>
      <c r="J376">
        <v>287</v>
      </c>
      <c r="K376"/>
      <c r="L376" t="s">
        <v>26</v>
      </c>
      <c r="M376">
        <v>37100</v>
      </c>
      <c r="N376">
        <v>813.5</v>
      </c>
      <c r="O376">
        <f t="shared" si="6"/>
        <v>0.8135</v>
      </c>
      <c r="P376"/>
      <c r="Q376">
        <v>1.7635000000000001</v>
      </c>
      <c r="R376">
        <v>9647.155361050327</v>
      </c>
      <c r="S376">
        <v>2</v>
      </c>
      <c r="T376">
        <v>0.91400000000000003</v>
      </c>
      <c r="U376">
        <v>1.8280000000000001</v>
      </c>
      <c r="V376"/>
      <c r="W376"/>
      <c r="X376" s="16"/>
      <c r="Y376"/>
      <c r="Z376"/>
      <c r="AA376">
        <v>4450.218818380743</v>
      </c>
      <c r="AB376">
        <v>4450.2188183807439</v>
      </c>
      <c r="AC376"/>
      <c r="AD376">
        <v>0.46129855401190817</v>
      </c>
      <c r="AE376">
        <v>76.216391257325384</v>
      </c>
      <c r="AF376"/>
      <c r="AG376"/>
    </row>
    <row r="377" spans="1:33" s="19" customFormat="1" x14ac:dyDescent="0.25">
      <c r="A377">
        <v>2024</v>
      </c>
      <c r="B377" t="s">
        <v>103</v>
      </c>
      <c r="C377" t="s">
        <v>34</v>
      </c>
      <c r="D377" s="70" t="s">
        <v>38</v>
      </c>
      <c r="E377">
        <v>6</v>
      </c>
      <c r="F377">
        <v>4</v>
      </c>
      <c r="G377">
        <v>6</v>
      </c>
      <c r="H377">
        <v>64</v>
      </c>
      <c r="I377" s="12">
        <v>45566</v>
      </c>
      <c r="J377">
        <v>274</v>
      </c>
      <c r="K377">
        <f>+J377-$AH$6</f>
        <v>132</v>
      </c>
      <c r="L377" t="s">
        <v>26</v>
      </c>
      <c r="M377">
        <v>37100</v>
      </c>
      <c r="N377">
        <v>423.1</v>
      </c>
      <c r="O377">
        <f t="shared" si="6"/>
        <v>0.42310000000000003</v>
      </c>
      <c r="P377">
        <v>0.26379000000000002</v>
      </c>
      <c r="Q377">
        <v>0.86750000000000005</v>
      </c>
      <c r="R377">
        <v>6188.6761487964995</v>
      </c>
      <c r="S377">
        <v>2</v>
      </c>
      <c r="T377">
        <v>0.91400000000000003</v>
      </c>
      <c r="U377">
        <v>1.8280000000000001</v>
      </c>
      <c r="V377">
        <v>0</v>
      </c>
      <c r="W377">
        <v>107.91883803200996</v>
      </c>
      <c r="X377" s="16">
        <v>1592.7412856506855</v>
      </c>
      <c r="Y377">
        <v>4488.0160251138041</v>
      </c>
      <c r="Z377">
        <v>2761.314616601645</v>
      </c>
      <c r="AA377">
        <v>3018.3618196608636</v>
      </c>
      <c r="AB377">
        <v>2958.4245076586435</v>
      </c>
      <c r="AC377"/>
      <c r="AD377">
        <v>0.47803834560545921</v>
      </c>
      <c r="AE377">
        <v>50.667270303579066</v>
      </c>
      <c r="AF377">
        <v>52.324000000000005</v>
      </c>
      <c r="AG377">
        <v>14.2</v>
      </c>
    </row>
    <row r="378" spans="1:33" s="19" customFormat="1" x14ac:dyDescent="0.25">
      <c r="A378">
        <v>2024</v>
      </c>
      <c r="B378" t="s">
        <v>103</v>
      </c>
      <c r="C378" t="s">
        <v>37</v>
      </c>
      <c r="D378" s="70" t="s">
        <v>38</v>
      </c>
      <c r="E378">
        <v>6</v>
      </c>
      <c r="F378">
        <v>5</v>
      </c>
      <c r="G378">
        <v>6</v>
      </c>
      <c r="H378">
        <v>65</v>
      </c>
      <c r="I378" s="12">
        <v>45562</v>
      </c>
      <c r="J378">
        <v>270</v>
      </c>
      <c r="K378"/>
      <c r="L378" t="s">
        <v>26</v>
      </c>
      <c r="M378">
        <v>37100</v>
      </c>
      <c r="N378">
        <v>738.8</v>
      </c>
      <c r="O378">
        <f t="shared" si="6"/>
        <v>0.7387999999999999</v>
      </c>
      <c r="P378"/>
      <c r="Q378">
        <v>1.5185</v>
      </c>
      <c r="R378">
        <v>8306.8927789934351</v>
      </c>
      <c r="S378">
        <v>2</v>
      </c>
      <c r="T378">
        <v>0.91400000000000003</v>
      </c>
      <c r="U378">
        <v>1.8280000000000001</v>
      </c>
      <c r="V378"/>
      <c r="W378"/>
      <c r="X378" s="16"/>
      <c r="Y378"/>
      <c r="Z378"/>
      <c r="AA378">
        <v>4041.575492341356</v>
      </c>
      <c r="AB378">
        <v>4041.575492341356</v>
      </c>
      <c r="AC378"/>
      <c r="AD378">
        <v>0.48653276259466571</v>
      </c>
      <c r="AE378">
        <v>69.217787167685287</v>
      </c>
      <c r="AF378"/>
      <c r="AG378"/>
    </row>
    <row r="379" spans="1:33" s="19" customFormat="1" x14ac:dyDescent="0.25">
      <c r="A379">
        <v>2024</v>
      </c>
      <c r="B379" t="s">
        <v>103</v>
      </c>
      <c r="C379" t="s">
        <v>36</v>
      </c>
      <c r="D379" s="70" t="s">
        <v>38</v>
      </c>
      <c r="E379">
        <v>6</v>
      </c>
      <c r="F379">
        <v>6</v>
      </c>
      <c r="G379">
        <v>6</v>
      </c>
      <c r="H379">
        <v>66</v>
      </c>
      <c r="I379" s="12">
        <v>45562</v>
      </c>
      <c r="J379">
        <v>270</v>
      </c>
      <c r="K379">
        <f>+J379-$AH$6</f>
        <v>128</v>
      </c>
      <c r="L379" t="s">
        <v>26</v>
      </c>
      <c r="M379">
        <v>37100</v>
      </c>
      <c r="N379">
        <v>405.2</v>
      </c>
      <c r="O379">
        <f t="shared" si="6"/>
        <v>0.4052</v>
      </c>
      <c r="P379">
        <v>0.19179000000000002</v>
      </c>
      <c r="Q379">
        <v>0.9415</v>
      </c>
      <c r="R379">
        <v>6199.6170678336985</v>
      </c>
      <c r="S379">
        <v>2</v>
      </c>
      <c r="T379">
        <v>0.91400000000000003</v>
      </c>
      <c r="U379">
        <v>1.8280000000000001</v>
      </c>
      <c r="V379">
        <v>0</v>
      </c>
      <c r="W379">
        <v>19.395016636426444</v>
      </c>
      <c r="X379" s="16">
        <v>1806.6457996831189</v>
      </c>
      <c r="Y379">
        <v>4373.5762515141532</v>
      </c>
      <c r="Z379">
        <v>2682.9773013723184</v>
      </c>
      <c r="AA379">
        <v>2668.1729536762768</v>
      </c>
      <c r="AB379">
        <v>2670.6783369803061</v>
      </c>
      <c r="AC379"/>
      <c r="AD379">
        <v>0.43078117692735302</v>
      </c>
      <c r="AE379">
        <v>45.739203702306391</v>
      </c>
      <c r="AF379">
        <v>60.452000000000005</v>
      </c>
      <c r="AG379">
        <v>17</v>
      </c>
    </row>
    <row r="380" spans="1:33" s="19" customFormat="1" x14ac:dyDescent="0.25">
      <c r="A380">
        <v>2024</v>
      </c>
      <c r="B380" t="s">
        <v>103</v>
      </c>
      <c r="C380" t="s">
        <v>35</v>
      </c>
      <c r="D380" s="70" t="s">
        <v>38</v>
      </c>
      <c r="E380">
        <v>6</v>
      </c>
      <c r="F380">
        <v>7</v>
      </c>
      <c r="G380">
        <v>6</v>
      </c>
      <c r="H380">
        <v>67</v>
      </c>
      <c r="I380" s="12">
        <v>45562</v>
      </c>
      <c r="J380">
        <v>270</v>
      </c>
      <c r="K380">
        <f>+J380-$AH$6</f>
        <v>128</v>
      </c>
      <c r="L380" t="s">
        <v>26</v>
      </c>
      <c r="M380">
        <v>37100</v>
      </c>
      <c r="N380">
        <v>383</v>
      </c>
      <c r="O380">
        <f t="shared" si="6"/>
        <v>0.38300000000000001</v>
      </c>
      <c r="P380">
        <v>0.16319</v>
      </c>
      <c r="Q380">
        <v>0.97550000000000003</v>
      </c>
      <c r="R380">
        <v>6229.1575492341353</v>
      </c>
      <c r="S380">
        <v>2</v>
      </c>
      <c r="T380">
        <v>0.91400000000000003</v>
      </c>
      <c r="U380">
        <v>1.8280000000000001</v>
      </c>
      <c r="V380">
        <v>0</v>
      </c>
      <c r="W380">
        <v>0</v>
      </c>
      <c r="X380" s="16">
        <v>2095.2169733284004</v>
      </c>
      <c r="Y380">
        <v>4133.9405759057345</v>
      </c>
      <c r="Z380">
        <v>2423.8709747923745</v>
      </c>
      <c r="AA380">
        <v>2445.6866646403628</v>
      </c>
      <c r="AB380">
        <v>2442.5601750547044</v>
      </c>
      <c r="AC380"/>
      <c r="AD380">
        <v>0.39211725755034293</v>
      </c>
      <c r="AE380">
        <v>41.832352423350684</v>
      </c>
      <c r="AF380">
        <v>77.215999999999994</v>
      </c>
      <c r="AG380">
        <v>15.6</v>
      </c>
    </row>
    <row r="381" spans="1:33" s="19" customFormat="1" x14ac:dyDescent="0.25">
      <c r="A381">
        <v>2024</v>
      </c>
      <c r="B381" t="s">
        <v>103</v>
      </c>
      <c r="C381" t="s">
        <v>28</v>
      </c>
      <c r="D381" s="70" t="s">
        <v>38</v>
      </c>
      <c r="E381">
        <v>6</v>
      </c>
      <c r="F381">
        <v>8</v>
      </c>
      <c r="G381">
        <v>6</v>
      </c>
      <c r="H381">
        <v>68</v>
      </c>
      <c r="I381" s="12">
        <v>45582</v>
      </c>
      <c r="J381">
        <v>290</v>
      </c>
      <c r="K381">
        <f>+J381-$AH$6</f>
        <v>148</v>
      </c>
      <c r="L381" t="s">
        <v>26</v>
      </c>
      <c r="M381">
        <v>37100</v>
      </c>
      <c r="N381">
        <v>703</v>
      </c>
      <c r="O381">
        <f t="shared" si="6"/>
        <v>0.70299999999999996</v>
      </c>
      <c r="P381">
        <v>0.19579000000000002</v>
      </c>
      <c r="Q381">
        <v>1.3774999999999999</v>
      </c>
      <c r="R381">
        <v>8606.6192560175059</v>
      </c>
      <c r="S381">
        <v>2</v>
      </c>
      <c r="T381">
        <v>0.91400000000000003</v>
      </c>
      <c r="U381">
        <v>1.8280000000000001</v>
      </c>
      <c r="V381">
        <v>0</v>
      </c>
      <c r="W381">
        <v>70.333473668869814</v>
      </c>
      <c r="X381" s="16">
        <v>2632.6698362678808</v>
      </c>
      <c r="Y381">
        <v>5903.6159460807548</v>
      </c>
      <c r="Z381">
        <v>4158.4666306719237</v>
      </c>
      <c r="AA381">
        <v>4392.3436203123829</v>
      </c>
      <c r="AB381">
        <v>4363.2385120350109</v>
      </c>
      <c r="AC381"/>
      <c r="AD381">
        <v>0.50696311550953732</v>
      </c>
      <c r="AE381">
        <v>74.726728539450193</v>
      </c>
      <c r="AF381">
        <v>72.39</v>
      </c>
      <c r="AG381">
        <v>14.4</v>
      </c>
    </row>
    <row r="382" spans="1:33" s="19" customFormat="1" x14ac:dyDescent="0.25">
      <c r="A382">
        <v>2024</v>
      </c>
      <c r="B382" t="s">
        <v>103</v>
      </c>
      <c r="C382" t="s">
        <v>29</v>
      </c>
      <c r="D382" s="70" t="s">
        <v>38</v>
      </c>
      <c r="E382">
        <v>6</v>
      </c>
      <c r="F382">
        <v>9</v>
      </c>
      <c r="G382">
        <v>6</v>
      </c>
      <c r="H382">
        <v>69</v>
      </c>
      <c r="I382" s="12">
        <v>45582</v>
      </c>
      <c r="J382">
        <v>290</v>
      </c>
      <c r="K382">
        <f>+J382-$AH$6</f>
        <v>148</v>
      </c>
      <c r="L382" t="s">
        <v>26</v>
      </c>
      <c r="M382">
        <v>37100</v>
      </c>
      <c r="N382">
        <v>483.8</v>
      </c>
      <c r="O382">
        <f t="shared" si="6"/>
        <v>0.48380000000000001</v>
      </c>
      <c r="P382">
        <v>0.20618999999999998</v>
      </c>
      <c r="Q382">
        <v>1.0805</v>
      </c>
      <c r="R382">
        <v>7038.785557986871</v>
      </c>
      <c r="S382">
        <v>2</v>
      </c>
      <c r="T382">
        <v>0.91400000000000003</v>
      </c>
      <c r="U382">
        <v>1.8280000000000001</v>
      </c>
      <c r="V382">
        <v>0</v>
      </c>
      <c r="W382">
        <v>0</v>
      </c>
      <c r="X382" s="16">
        <v>2795.5097208571947</v>
      </c>
      <c r="Y382">
        <v>4243.2758371296768</v>
      </c>
      <c r="Z382">
        <v>2812.9197826185464</v>
      </c>
      <c r="AA382">
        <v>3151.6561341546026</v>
      </c>
      <c r="AB382">
        <v>3097.3741794310722</v>
      </c>
      <c r="AC382"/>
      <c r="AD382">
        <v>0.44004383340198494</v>
      </c>
      <c r="AE382">
        <v>53.046983073014914</v>
      </c>
      <c r="AF382">
        <v>96.012</v>
      </c>
      <c r="AG382">
        <v>26.8</v>
      </c>
    </row>
    <row r="383" spans="1:33" s="19" customFormat="1" x14ac:dyDescent="0.25">
      <c r="A383">
        <v>2024</v>
      </c>
      <c r="B383" t="s">
        <v>103</v>
      </c>
      <c r="C383" t="s">
        <v>31</v>
      </c>
      <c r="D383" s="70" t="s">
        <v>38</v>
      </c>
      <c r="E383">
        <v>6</v>
      </c>
      <c r="F383">
        <v>10</v>
      </c>
      <c r="G383">
        <v>6</v>
      </c>
      <c r="H383">
        <v>70</v>
      </c>
      <c r="I383" s="12">
        <v>45582</v>
      </c>
      <c r="J383">
        <v>290</v>
      </c>
      <c r="K383"/>
      <c r="L383" t="s">
        <v>26</v>
      </c>
      <c r="M383">
        <v>37100</v>
      </c>
      <c r="N383">
        <v>658.5</v>
      </c>
      <c r="O383">
        <f t="shared" ref="O383:O414" si="7">+N383/1000</f>
        <v>0.65849999999999997</v>
      </c>
      <c r="P383"/>
      <c r="Q383">
        <v>1.3165</v>
      </c>
      <c r="R383">
        <v>7201.8599562363233</v>
      </c>
      <c r="S383">
        <v>2</v>
      </c>
      <c r="T383">
        <v>0.91400000000000003</v>
      </c>
      <c r="U383">
        <v>1.8280000000000001</v>
      </c>
      <c r="V383"/>
      <c r="W383"/>
      <c r="X383" s="16"/>
      <c r="Y383"/>
      <c r="Z383"/>
      <c r="AA383">
        <v>3602.2975929978115</v>
      </c>
      <c r="AB383">
        <v>3602.2975929978115</v>
      </c>
      <c r="AC383"/>
      <c r="AD383">
        <v>0.50018989745537412</v>
      </c>
      <c r="AE383">
        <v>61.69452199501999</v>
      </c>
      <c r="AF383"/>
      <c r="AG383"/>
    </row>
    <row r="384" spans="1:33" s="19" customFormat="1" x14ac:dyDescent="0.25">
      <c r="A384">
        <v>2024</v>
      </c>
      <c r="B384" t="s">
        <v>103</v>
      </c>
      <c r="C384" t="s">
        <v>30</v>
      </c>
      <c r="D384" s="70" t="s">
        <v>38</v>
      </c>
      <c r="E384">
        <v>6</v>
      </c>
      <c r="F384">
        <v>11</v>
      </c>
      <c r="G384">
        <v>6</v>
      </c>
      <c r="H384">
        <v>71</v>
      </c>
      <c r="I384" s="12">
        <v>45579</v>
      </c>
      <c r="J384">
        <v>287</v>
      </c>
      <c r="K384">
        <f>+J384-$AH$6</f>
        <v>145</v>
      </c>
      <c r="L384" t="s">
        <v>26</v>
      </c>
      <c r="M384">
        <v>37100</v>
      </c>
      <c r="N384">
        <v>687.5</v>
      </c>
      <c r="O384">
        <f t="shared" si="7"/>
        <v>0.6875</v>
      </c>
      <c r="P384">
        <v>0.14149</v>
      </c>
      <c r="Q384">
        <v>1.4724999999999999</v>
      </c>
      <c r="R384">
        <v>8829.2669584245068</v>
      </c>
      <c r="S384">
        <v>2</v>
      </c>
      <c r="T384">
        <v>0.91400000000000003</v>
      </c>
      <c r="U384">
        <v>1.8280000000000001</v>
      </c>
      <c r="V384">
        <v>205.92678608241488</v>
      </c>
      <c r="W384">
        <v>0</v>
      </c>
      <c r="X384" s="16">
        <v>3487.6509315594435</v>
      </c>
      <c r="Y384">
        <v>5135.6892407826481</v>
      </c>
      <c r="Z384">
        <v>3694.2017382057447</v>
      </c>
      <c r="AA384">
        <v>4122.3232827958227</v>
      </c>
      <c r="AB384">
        <v>4084.7921225382929</v>
      </c>
      <c r="AC384"/>
      <c r="AD384">
        <v>0.46264227163737076</v>
      </c>
      <c r="AE384">
        <v>69.957934052667312</v>
      </c>
      <c r="AF384">
        <v>93.725999999999999</v>
      </c>
      <c r="AG384">
        <v>17.8</v>
      </c>
    </row>
    <row r="385" spans="1:33" s="20" customFormat="1" x14ac:dyDescent="0.25">
      <c r="A385">
        <v>2024</v>
      </c>
      <c r="B385" t="s">
        <v>103</v>
      </c>
      <c r="C385" s="49" t="s">
        <v>32</v>
      </c>
      <c r="D385" s="77" t="s">
        <v>38</v>
      </c>
      <c r="E385">
        <v>6</v>
      </c>
      <c r="F385">
        <v>12</v>
      </c>
      <c r="G385">
        <v>6</v>
      </c>
      <c r="H385" s="49">
        <v>72</v>
      </c>
      <c r="I385" s="13">
        <v>45582</v>
      </c>
      <c r="J385">
        <v>290</v>
      </c>
      <c r="K385"/>
      <c r="L385" t="s">
        <v>26</v>
      </c>
      <c r="M385">
        <v>37100</v>
      </c>
      <c r="N385" s="49">
        <v>611.5</v>
      </c>
      <c r="O385">
        <f t="shared" si="7"/>
        <v>0.61150000000000004</v>
      </c>
      <c r="P385" s="49"/>
      <c r="Q385" s="49">
        <v>1.4435</v>
      </c>
      <c r="R385" s="49">
        <v>7896.6083150984678</v>
      </c>
      <c r="S385">
        <v>2</v>
      </c>
      <c r="T385" s="49">
        <v>0.91400000000000003</v>
      </c>
      <c r="U385" s="49">
        <v>1.8280000000000001</v>
      </c>
      <c r="V385" s="49"/>
      <c r="W385" s="49"/>
      <c r="X385" s="53"/>
      <c r="Y385" s="49"/>
      <c r="Z385" s="49"/>
      <c r="AA385" s="49">
        <v>3345.1859956236322</v>
      </c>
      <c r="AB385" s="49">
        <v>3345.1859956236299</v>
      </c>
      <c r="AC385" s="49"/>
      <c r="AD385" s="49">
        <v>0.42362313820574993</v>
      </c>
      <c r="AE385" s="49">
        <v>57.291116476772551</v>
      </c>
      <c r="AF385" s="49"/>
      <c r="AG385" s="49"/>
    </row>
    <row r="386" spans="1:33" s="19" customFormat="1" hidden="1" x14ac:dyDescent="0.25">
      <c r="A386">
        <v>2025</v>
      </c>
      <c r="B386">
        <v>1</v>
      </c>
      <c r="C386" t="s">
        <v>24</v>
      </c>
      <c r="D386" t="s">
        <v>38</v>
      </c>
      <c r="E386">
        <v>1</v>
      </c>
      <c r="F386">
        <v>1</v>
      </c>
      <c r="G386">
        <v>1</v>
      </c>
      <c r="H386">
        <v>101</v>
      </c>
      <c r="I386" s="12">
        <v>45847</v>
      </c>
      <c r="J386">
        <v>189</v>
      </c>
      <c r="K386">
        <v>36</v>
      </c>
      <c r="L386" t="s">
        <v>26</v>
      </c>
      <c r="M386">
        <v>37000</v>
      </c>
      <c r="N386"/>
      <c r="O386"/>
      <c r="P386">
        <v>9.7800000000000005E-3</v>
      </c>
      <c r="Q386">
        <v>4.19E-2</v>
      </c>
      <c r="R386">
        <v>565.42669584245073</v>
      </c>
      <c r="S386">
        <v>1</v>
      </c>
      <c r="T386">
        <v>0.91400000000000003</v>
      </c>
      <c r="U386">
        <v>0.91400000000000003</v>
      </c>
      <c r="V386">
        <v>75.38293216630197</v>
      </c>
      <c r="W386"/>
      <c r="X386">
        <v>31.619256017505478</v>
      </c>
      <c r="Y386"/>
      <c r="Z386"/>
      <c r="AA386"/>
      <c r="AB386"/>
      <c r="AC386"/>
      <c r="AD386"/>
      <c r="AE386"/>
      <c r="AF386">
        <v>5.7</v>
      </c>
      <c r="AG386">
        <v>5.6</v>
      </c>
    </row>
    <row r="387" spans="1:33" s="19" customFormat="1" hidden="1" x14ac:dyDescent="0.25">
      <c r="A387">
        <v>2025</v>
      </c>
      <c r="B387">
        <v>1</v>
      </c>
      <c r="C387" t="s">
        <v>29</v>
      </c>
      <c r="D387" t="s">
        <v>38</v>
      </c>
      <c r="E387">
        <v>1</v>
      </c>
      <c r="F387">
        <v>5</v>
      </c>
      <c r="G387">
        <v>1</v>
      </c>
      <c r="H387">
        <v>105</v>
      </c>
      <c r="I387" s="12">
        <v>45847</v>
      </c>
      <c r="J387">
        <v>189</v>
      </c>
      <c r="K387">
        <v>36</v>
      </c>
      <c r="L387" t="s">
        <v>26</v>
      </c>
      <c r="M387">
        <v>37000</v>
      </c>
      <c r="N387"/>
      <c r="O387"/>
      <c r="P387">
        <v>6.7800000000000013E-3</v>
      </c>
      <c r="Q387">
        <v>4.19E-2</v>
      </c>
      <c r="R387">
        <v>532.60393873085343</v>
      </c>
      <c r="S387">
        <v>1</v>
      </c>
      <c r="T387">
        <v>0.91400000000000003</v>
      </c>
      <c r="U387">
        <v>0.91400000000000003</v>
      </c>
      <c r="V387">
        <v>53.501094091903724</v>
      </c>
      <c r="W387"/>
      <c r="X387">
        <v>20.678336980306355</v>
      </c>
      <c r="Y387"/>
      <c r="Z387"/>
      <c r="AA387"/>
      <c r="AB387"/>
      <c r="AC387"/>
      <c r="AD387"/>
      <c r="AE387"/>
      <c r="AF387">
        <v>6.2</v>
      </c>
      <c r="AG387">
        <v>5.6</v>
      </c>
    </row>
    <row r="388" spans="1:33" s="19" customFormat="1" hidden="1" x14ac:dyDescent="0.25">
      <c r="A388">
        <v>2025</v>
      </c>
      <c r="B388">
        <v>1</v>
      </c>
      <c r="C388" t="s">
        <v>28</v>
      </c>
      <c r="D388" t="s">
        <v>38</v>
      </c>
      <c r="E388">
        <v>1</v>
      </c>
      <c r="F388">
        <v>7</v>
      </c>
      <c r="G388">
        <v>1</v>
      </c>
      <c r="H388">
        <v>107</v>
      </c>
      <c r="I388" s="12">
        <v>45847</v>
      </c>
      <c r="J388">
        <v>189</v>
      </c>
      <c r="K388">
        <v>36</v>
      </c>
      <c r="L388" t="s">
        <v>26</v>
      </c>
      <c r="M388">
        <v>37000</v>
      </c>
      <c r="N388"/>
      <c r="O388"/>
      <c r="P388">
        <v>1.1780000000000001E-2</v>
      </c>
      <c r="Q388">
        <v>3.49E-2</v>
      </c>
      <c r="R388">
        <v>510.72210065645515</v>
      </c>
      <c r="S388">
        <v>1</v>
      </c>
      <c r="T388">
        <v>0.91400000000000003</v>
      </c>
      <c r="U388">
        <v>0.91400000000000003</v>
      </c>
      <c r="V388">
        <v>86.323851203501093</v>
      </c>
      <c r="W388"/>
      <c r="X388">
        <v>42.560175054704601</v>
      </c>
      <c r="Y388"/>
      <c r="Z388"/>
      <c r="AA388"/>
      <c r="AB388"/>
      <c r="AC388"/>
      <c r="AD388"/>
      <c r="AE388"/>
      <c r="AF388">
        <v>6.8</v>
      </c>
      <c r="AG388">
        <v>5</v>
      </c>
    </row>
    <row r="389" spans="1:33" s="19" customFormat="1" hidden="1" x14ac:dyDescent="0.25">
      <c r="A389">
        <v>2025</v>
      </c>
      <c r="B389">
        <v>1</v>
      </c>
      <c r="C389" t="s">
        <v>32</v>
      </c>
      <c r="D389" t="s">
        <v>38</v>
      </c>
      <c r="E389">
        <v>1</v>
      </c>
      <c r="F389">
        <v>9</v>
      </c>
      <c r="G389">
        <v>1</v>
      </c>
      <c r="H389">
        <v>109</v>
      </c>
      <c r="I389" s="12">
        <v>45847</v>
      </c>
      <c r="J389">
        <v>189</v>
      </c>
      <c r="K389">
        <v>36</v>
      </c>
      <c r="L389" t="s">
        <v>26</v>
      </c>
      <c r="M389">
        <v>37000</v>
      </c>
      <c r="N389"/>
      <c r="O389"/>
      <c r="P389">
        <v>4.7800000000000013E-3</v>
      </c>
      <c r="Q389">
        <v>1.3899999999999999E-2</v>
      </c>
      <c r="R389">
        <v>204.37636761487965</v>
      </c>
      <c r="S389">
        <v>1</v>
      </c>
      <c r="T389">
        <v>0.91400000000000003</v>
      </c>
      <c r="U389">
        <v>0.91400000000000003</v>
      </c>
      <c r="V389">
        <v>42.560175054704601</v>
      </c>
      <c r="W389"/>
      <c r="X389">
        <v>9.7374179431072267</v>
      </c>
      <c r="Y389"/>
      <c r="Z389"/>
      <c r="AA389"/>
      <c r="AB389"/>
      <c r="AC389"/>
      <c r="AD389"/>
      <c r="AE389"/>
      <c r="AF389">
        <v>4.0999999999999996</v>
      </c>
      <c r="AG389">
        <v>3.8</v>
      </c>
    </row>
    <row r="390" spans="1:33" s="19" customFormat="1" hidden="1" x14ac:dyDescent="0.25">
      <c r="A390">
        <v>2025</v>
      </c>
      <c r="B390">
        <v>1</v>
      </c>
      <c r="C390" t="s">
        <v>29</v>
      </c>
      <c r="D390" t="s">
        <v>38</v>
      </c>
      <c r="E390">
        <v>3</v>
      </c>
      <c r="F390">
        <v>4</v>
      </c>
      <c r="G390">
        <v>2</v>
      </c>
      <c r="H390">
        <v>304</v>
      </c>
      <c r="I390" s="12">
        <v>45847</v>
      </c>
      <c r="J390">
        <v>189</v>
      </c>
      <c r="K390">
        <v>36</v>
      </c>
      <c r="L390" t="s">
        <v>26</v>
      </c>
      <c r="M390">
        <v>37000</v>
      </c>
      <c r="N390"/>
      <c r="O390"/>
      <c r="P390">
        <v>7.7800000000000013E-3</v>
      </c>
      <c r="Q390">
        <v>3.7899999999999996E-2</v>
      </c>
      <c r="R390">
        <v>499.78118161925596</v>
      </c>
      <c r="S390">
        <v>1</v>
      </c>
      <c r="T390">
        <v>0.91400000000000003</v>
      </c>
      <c r="U390">
        <v>0.91400000000000003</v>
      </c>
      <c r="V390">
        <v>53.501094091903724</v>
      </c>
      <c r="W390"/>
      <c r="X390">
        <v>31.619256017505478</v>
      </c>
      <c r="Y390"/>
      <c r="Z390"/>
      <c r="AA390"/>
      <c r="AB390"/>
      <c r="AC390"/>
      <c r="AD390"/>
      <c r="AE390"/>
      <c r="AF390">
        <v>5.8</v>
      </c>
      <c r="AG390">
        <v>4.5999999999999996</v>
      </c>
    </row>
    <row r="391" spans="1:33" s="19" customFormat="1" hidden="1" x14ac:dyDescent="0.25">
      <c r="A391">
        <v>2025</v>
      </c>
      <c r="B391">
        <v>1</v>
      </c>
      <c r="C391" t="s">
        <v>24</v>
      </c>
      <c r="D391" t="s">
        <v>38</v>
      </c>
      <c r="E391">
        <v>3</v>
      </c>
      <c r="F391">
        <v>6</v>
      </c>
      <c r="G391">
        <v>2</v>
      </c>
      <c r="H391">
        <v>306</v>
      </c>
      <c r="I391" s="12">
        <v>45847</v>
      </c>
      <c r="J391">
        <v>189</v>
      </c>
      <c r="K391">
        <v>36</v>
      </c>
      <c r="L391" t="s">
        <v>26</v>
      </c>
      <c r="M391">
        <v>37000</v>
      </c>
      <c r="N391"/>
      <c r="O391"/>
      <c r="P391">
        <v>1.1780000000000001E-2</v>
      </c>
      <c r="Q391">
        <v>5.6899999999999999E-2</v>
      </c>
      <c r="R391">
        <v>751.42231947483594</v>
      </c>
      <c r="S391">
        <v>1</v>
      </c>
      <c r="T391">
        <v>0.91400000000000003</v>
      </c>
      <c r="U391">
        <v>0.91400000000000003</v>
      </c>
      <c r="V391">
        <v>86.323851203501093</v>
      </c>
      <c r="W391"/>
      <c r="X391">
        <v>42.560175054704601</v>
      </c>
      <c r="Y391"/>
      <c r="Z391"/>
      <c r="AA391"/>
      <c r="AB391"/>
      <c r="AC391"/>
      <c r="AD391"/>
      <c r="AE391"/>
      <c r="AF391">
        <v>6.5</v>
      </c>
      <c r="AG391">
        <v>5.2</v>
      </c>
    </row>
    <row r="392" spans="1:33" s="19" customFormat="1" hidden="1" x14ac:dyDescent="0.25">
      <c r="A392">
        <v>2025</v>
      </c>
      <c r="B392">
        <v>1</v>
      </c>
      <c r="C392" t="s">
        <v>28</v>
      </c>
      <c r="D392" t="s">
        <v>38</v>
      </c>
      <c r="E392">
        <v>3</v>
      </c>
      <c r="F392">
        <v>8</v>
      </c>
      <c r="G392">
        <v>2</v>
      </c>
      <c r="H392">
        <v>308</v>
      </c>
      <c r="I392" s="12">
        <v>45847</v>
      </c>
      <c r="J392">
        <v>189</v>
      </c>
      <c r="K392">
        <v>36</v>
      </c>
      <c r="L392" t="s">
        <v>26</v>
      </c>
      <c r="M392">
        <v>37000</v>
      </c>
      <c r="N392"/>
      <c r="O392"/>
      <c r="P392">
        <v>5.7800000000000013E-3</v>
      </c>
      <c r="Q392">
        <v>4.2900000000000001E-2</v>
      </c>
      <c r="R392">
        <v>532.60393873085343</v>
      </c>
      <c r="S392">
        <v>1</v>
      </c>
      <c r="T392">
        <v>0.91400000000000003</v>
      </c>
      <c r="U392">
        <v>0.91400000000000003</v>
      </c>
      <c r="V392">
        <v>53.501094091903724</v>
      </c>
      <c r="W392"/>
      <c r="X392">
        <v>9.7374179431072267</v>
      </c>
      <c r="Y392"/>
      <c r="Z392"/>
      <c r="AA392"/>
      <c r="AB392"/>
      <c r="AC392"/>
      <c r="AD392"/>
      <c r="AE392"/>
      <c r="AF392">
        <v>6.2</v>
      </c>
      <c r="AG392">
        <v>4.5999999999999996</v>
      </c>
    </row>
    <row r="393" spans="1:33" s="19" customFormat="1" hidden="1" x14ac:dyDescent="0.25">
      <c r="A393">
        <v>2025</v>
      </c>
      <c r="B393">
        <v>1</v>
      </c>
      <c r="C393" t="s">
        <v>32</v>
      </c>
      <c r="D393" t="s">
        <v>38</v>
      </c>
      <c r="E393">
        <v>3</v>
      </c>
      <c r="F393">
        <v>9</v>
      </c>
      <c r="G393">
        <v>2</v>
      </c>
      <c r="H393">
        <v>309</v>
      </c>
      <c r="I393" s="12">
        <v>45847</v>
      </c>
      <c r="J393">
        <v>189</v>
      </c>
      <c r="K393">
        <v>36</v>
      </c>
      <c r="L393" t="s">
        <v>26</v>
      </c>
      <c r="M393">
        <v>37000</v>
      </c>
      <c r="N393"/>
      <c r="O393"/>
      <c r="P393">
        <v>7.7800000000000013E-3</v>
      </c>
      <c r="Q393">
        <v>4.8899999999999999E-2</v>
      </c>
      <c r="R393">
        <v>620.13129102844641</v>
      </c>
      <c r="S393">
        <v>1</v>
      </c>
      <c r="T393">
        <v>0.91400000000000003</v>
      </c>
      <c r="U393">
        <v>0.91400000000000003</v>
      </c>
      <c r="V393">
        <v>64.442013129102847</v>
      </c>
      <c r="W393"/>
      <c r="X393">
        <v>20.678336980306355</v>
      </c>
      <c r="Y393"/>
      <c r="Z393"/>
      <c r="AA393"/>
      <c r="AB393"/>
      <c r="AC393"/>
      <c r="AD393"/>
      <c r="AE393"/>
      <c r="AF393">
        <v>5.2</v>
      </c>
      <c r="AG393">
        <v>5.2</v>
      </c>
    </row>
    <row r="394" spans="1:33" s="19" customFormat="1" hidden="1" x14ac:dyDescent="0.25">
      <c r="A394">
        <v>2025</v>
      </c>
      <c r="B394">
        <v>1</v>
      </c>
      <c r="C394" t="s">
        <v>24</v>
      </c>
      <c r="D394" t="s">
        <v>38</v>
      </c>
      <c r="E394">
        <v>4</v>
      </c>
      <c r="F394">
        <v>11</v>
      </c>
      <c r="G394">
        <v>2</v>
      </c>
      <c r="H394">
        <v>402</v>
      </c>
      <c r="I394" s="12">
        <v>45847</v>
      </c>
      <c r="J394">
        <v>189</v>
      </c>
      <c r="K394">
        <v>36</v>
      </c>
      <c r="L394" t="s">
        <v>26</v>
      </c>
      <c r="M394">
        <v>37000</v>
      </c>
      <c r="N394"/>
      <c r="O394"/>
      <c r="P394">
        <v>9.7800000000000005E-3</v>
      </c>
      <c r="Q394">
        <v>2.7899999999999998E-2</v>
      </c>
      <c r="R394">
        <v>412.25382932166303</v>
      </c>
      <c r="S394">
        <v>1</v>
      </c>
      <c r="T394">
        <v>0.91400000000000003</v>
      </c>
      <c r="U394">
        <v>0.91400000000000003</v>
      </c>
      <c r="V394">
        <v>86.323851203501093</v>
      </c>
      <c r="W394"/>
      <c r="X394">
        <v>20.678336980306355</v>
      </c>
      <c r="Y394"/>
      <c r="Z394"/>
      <c r="AA394"/>
      <c r="AB394"/>
      <c r="AC394"/>
      <c r="AD394"/>
      <c r="AE394"/>
      <c r="AF394">
        <v>5.7</v>
      </c>
      <c r="AG394">
        <v>4.4000000000000004</v>
      </c>
    </row>
    <row r="395" spans="1:33" s="19" customFormat="1" hidden="1" x14ac:dyDescent="0.25">
      <c r="A395">
        <v>2025</v>
      </c>
      <c r="B395">
        <v>1</v>
      </c>
      <c r="C395" t="s">
        <v>29</v>
      </c>
      <c r="D395" t="s">
        <v>38</v>
      </c>
      <c r="E395">
        <v>4</v>
      </c>
      <c r="F395">
        <v>12</v>
      </c>
      <c r="G395">
        <v>2</v>
      </c>
      <c r="H395">
        <v>403</v>
      </c>
      <c r="I395" s="12">
        <v>45847</v>
      </c>
      <c r="J395">
        <v>189</v>
      </c>
      <c r="K395">
        <v>36</v>
      </c>
      <c r="L395" t="s">
        <v>26</v>
      </c>
      <c r="M395">
        <v>37000</v>
      </c>
      <c r="N395"/>
      <c r="O395"/>
      <c r="P395">
        <v>3.7800000000000012E-3</v>
      </c>
      <c r="Q395">
        <v>3.1899999999999998E-2</v>
      </c>
      <c r="R395">
        <v>390.3719912472647</v>
      </c>
      <c r="S395">
        <v>1</v>
      </c>
      <c r="T395">
        <v>0.91400000000000003</v>
      </c>
      <c r="U395">
        <v>0.91400000000000003</v>
      </c>
      <c r="V395">
        <v>31.619256017505478</v>
      </c>
      <c r="W395"/>
      <c r="X395">
        <v>9.7374179431072267</v>
      </c>
      <c r="Y395"/>
      <c r="Z395"/>
      <c r="AA395"/>
      <c r="AB395"/>
      <c r="AC395"/>
      <c r="AD395"/>
      <c r="AE395"/>
      <c r="AF395">
        <v>5.8</v>
      </c>
      <c r="AG395">
        <v>4.2</v>
      </c>
    </row>
    <row r="396" spans="1:33" s="19" customFormat="1" hidden="1" x14ac:dyDescent="0.25">
      <c r="A396">
        <v>2025</v>
      </c>
      <c r="B396">
        <v>1</v>
      </c>
      <c r="C396" t="s">
        <v>32</v>
      </c>
      <c r="D396" t="s">
        <v>38</v>
      </c>
      <c r="E396">
        <v>4</v>
      </c>
      <c r="F396">
        <v>13</v>
      </c>
      <c r="G396">
        <v>2</v>
      </c>
      <c r="H396">
        <v>404</v>
      </c>
      <c r="I396" s="12">
        <v>45847</v>
      </c>
      <c r="J396">
        <v>189</v>
      </c>
      <c r="K396">
        <v>36</v>
      </c>
      <c r="L396" t="s">
        <v>26</v>
      </c>
      <c r="M396">
        <v>37000</v>
      </c>
      <c r="N396"/>
      <c r="O396"/>
      <c r="P396">
        <v>6.7800000000000013E-3</v>
      </c>
      <c r="Q396">
        <v>2.0899999999999998E-2</v>
      </c>
      <c r="R396">
        <v>302.84463894967178</v>
      </c>
      <c r="S396">
        <v>1</v>
      </c>
      <c r="T396">
        <v>0.91400000000000003</v>
      </c>
      <c r="U396">
        <v>0.91400000000000003</v>
      </c>
      <c r="V396">
        <v>53.501094091903724</v>
      </c>
      <c r="W396"/>
      <c r="X396">
        <v>20.678336980306355</v>
      </c>
      <c r="Y396"/>
      <c r="Z396"/>
      <c r="AA396"/>
      <c r="AB396"/>
      <c r="AC396"/>
      <c r="AD396"/>
      <c r="AE396"/>
      <c r="AF396">
        <v>6.2</v>
      </c>
      <c r="AG396">
        <v>5.2</v>
      </c>
    </row>
    <row r="397" spans="1:33" s="19" customFormat="1" hidden="1" x14ac:dyDescent="0.25">
      <c r="A397">
        <v>2025</v>
      </c>
      <c r="B397">
        <v>1</v>
      </c>
      <c r="C397" t="s">
        <v>28</v>
      </c>
      <c r="D397" t="s">
        <v>38</v>
      </c>
      <c r="E397">
        <v>4</v>
      </c>
      <c r="F397">
        <v>14</v>
      </c>
      <c r="G397">
        <v>2</v>
      </c>
      <c r="H397">
        <v>405</v>
      </c>
      <c r="I397" s="12">
        <v>45847</v>
      </c>
      <c r="J397">
        <v>189</v>
      </c>
      <c r="K397">
        <v>36</v>
      </c>
      <c r="L397" t="s">
        <v>26</v>
      </c>
      <c r="M397">
        <v>37000</v>
      </c>
      <c r="N397"/>
      <c r="O397"/>
      <c r="P397">
        <v>6.7800000000000013E-3</v>
      </c>
      <c r="Q397">
        <v>1.9899999999999998E-2</v>
      </c>
      <c r="R397">
        <v>291.90371991247264</v>
      </c>
      <c r="S397">
        <v>1</v>
      </c>
      <c r="T397">
        <v>0.91400000000000003</v>
      </c>
      <c r="U397">
        <v>0.91400000000000003</v>
      </c>
      <c r="V397">
        <v>53.501094091903724</v>
      </c>
      <c r="W397"/>
      <c r="X397">
        <v>20.678336980306355</v>
      </c>
      <c r="Y397"/>
      <c r="Z397"/>
      <c r="AA397"/>
      <c r="AB397"/>
      <c r="AC397"/>
      <c r="AD397"/>
      <c r="AE397"/>
      <c r="AF397">
        <v>6</v>
      </c>
      <c r="AG397">
        <v>4.5999999999999996</v>
      </c>
    </row>
    <row r="398" spans="1:33" s="19" customFormat="1" hidden="1" x14ac:dyDescent="0.25">
      <c r="A398">
        <v>2025</v>
      </c>
      <c r="B398">
        <v>1</v>
      </c>
      <c r="C398" t="s">
        <v>24</v>
      </c>
      <c r="D398" t="s">
        <v>25</v>
      </c>
      <c r="E398">
        <v>5</v>
      </c>
      <c r="F398">
        <v>1</v>
      </c>
      <c r="G398">
        <v>3</v>
      </c>
      <c r="H398">
        <v>501</v>
      </c>
      <c r="I398" s="12">
        <v>45847</v>
      </c>
      <c r="J398">
        <v>189</v>
      </c>
      <c r="K398">
        <v>36</v>
      </c>
      <c r="L398" t="s">
        <v>26</v>
      </c>
      <c r="M398">
        <v>37000</v>
      </c>
      <c r="N398"/>
      <c r="O398"/>
      <c r="P398">
        <v>1.4780000000000001E-2</v>
      </c>
      <c r="Q398">
        <v>7.9899999999999999E-2</v>
      </c>
      <c r="R398">
        <v>1035.8862144420132</v>
      </c>
      <c r="S398">
        <v>1</v>
      </c>
      <c r="T398">
        <v>0.91400000000000003</v>
      </c>
      <c r="U398">
        <v>0.91400000000000003</v>
      </c>
      <c r="V398">
        <v>108.20568927789934</v>
      </c>
      <c r="W398"/>
      <c r="X398">
        <v>53.501094091903724</v>
      </c>
      <c r="Y398"/>
      <c r="Z398"/>
      <c r="AA398"/>
      <c r="AB398"/>
      <c r="AC398"/>
      <c r="AD398"/>
      <c r="AE398"/>
      <c r="AF398">
        <v>7.8</v>
      </c>
      <c r="AG398">
        <v>5.4</v>
      </c>
    </row>
    <row r="399" spans="1:33" s="19" customFormat="1" hidden="1" x14ac:dyDescent="0.25">
      <c r="A399">
        <v>2025</v>
      </c>
      <c r="B399">
        <v>1</v>
      </c>
      <c r="C399" t="s">
        <v>29</v>
      </c>
      <c r="D399" t="s">
        <v>25</v>
      </c>
      <c r="E399">
        <v>5</v>
      </c>
      <c r="F399">
        <v>5</v>
      </c>
      <c r="G399">
        <v>3</v>
      </c>
      <c r="H399">
        <v>505</v>
      </c>
      <c r="I399" s="12">
        <v>45847</v>
      </c>
      <c r="J399">
        <v>189</v>
      </c>
      <c r="K399">
        <v>36</v>
      </c>
      <c r="L399" t="s">
        <v>26</v>
      </c>
      <c r="M399">
        <v>37000</v>
      </c>
      <c r="N399"/>
      <c r="O399"/>
      <c r="P399">
        <v>9.7800000000000005E-3</v>
      </c>
      <c r="Q399">
        <v>4.0899999999999999E-2</v>
      </c>
      <c r="R399">
        <v>554.48577680525159</v>
      </c>
      <c r="S399">
        <v>1</v>
      </c>
      <c r="T399">
        <v>0.91400000000000003</v>
      </c>
      <c r="U399">
        <v>0.91400000000000003</v>
      </c>
      <c r="V399">
        <v>75.38293216630197</v>
      </c>
      <c r="W399"/>
      <c r="X399">
        <v>31.619256017505478</v>
      </c>
      <c r="Y399"/>
      <c r="Z399"/>
      <c r="AA399"/>
      <c r="AB399"/>
      <c r="AC399"/>
      <c r="AD399"/>
      <c r="AE399"/>
      <c r="AF399">
        <v>7.6</v>
      </c>
      <c r="AG399">
        <v>4.8</v>
      </c>
    </row>
    <row r="400" spans="1:33" s="19" customFormat="1" hidden="1" x14ac:dyDescent="0.25">
      <c r="A400">
        <v>2025</v>
      </c>
      <c r="B400">
        <v>1</v>
      </c>
      <c r="C400" t="s">
        <v>28</v>
      </c>
      <c r="D400" t="s">
        <v>25</v>
      </c>
      <c r="E400">
        <v>5</v>
      </c>
      <c r="F400">
        <v>7</v>
      </c>
      <c r="G400">
        <v>3</v>
      </c>
      <c r="H400">
        <v>507</v>
      </c>
      <c r="I400" s="12">
        <v>45847</v>
      </c>
      <c r="J400">
        <v>189</v>
      </c>
      <c r="K400">
        <v>36</v>
      </c>
      <c r="L400" t="s">
        <v>26</v>
      </c>
      <c r="M400">
        <v>37000</v>
      </c>
      <c r="N400"/>
      <c r="O400"/>
      <c r="P400">
        <v>7.7800000000000013E-3</v>
      </c>
      <c r="Q400">
        <v>4.19E-2</v>
      </c>
      <c r="R400">
        <v>543.54485776805245</v>
      </c>
      <c r="S400">
        <v>1</v>
      </c>
      <c r="T400">
        <v>0.91400000000000003</v>
      </c>
      <c r="U400">
        <v>0.91400000000000003</v>
      </c>
      <c r="V400">
        <v>53.501094091903724</v>
      </c>
      <c r="W400"/>
      <c r="X400">
        <v>31.619256017505478</v>
      </c>
      <c r="Y400"/>
      <c r="Z400"/>
      <c r="AA400"/>
      <c r="AB400"/>
      <c r="AC400"/>
      <c r="AD400"/>
      <c r="AE400"/>
      <c r="AF400">
        <v>7.2</v>
      </c>
      <c r="AG400">
        <v>5.4</v>
      </c>
    </row>
    <row r="401" spans="1:33" s="19" customFormat="1" hidden="1" x14ac:dyDescent="0.25">
      <c r="A401">
        <v>2025</v>
      </c>
      <c r="B401">
        <v>1</v>
      </c>
      <c r="C401" t="s">
        <v>32</v>
      </c>
      <c r="D401" t="s">
        <v>25</v>
      </c>
      <c r="E401">
        <v>5</v>
      </c>
      <c r="F401">
        <v>9</v>
      </c>
      <c r="G401">
        <v>3</v>
      </c>
      <c r="H401">
        <v>509</v>
      </c>
      <c r="I401" s="12">
        <v>45847</v>
      </c>
      <c r="J401">
        <v>189</v>
      </c>
      <c r="K401">
        <v>36</v>
      </c>
      <c r="L401" t="s">
        <v>26</v>
      </c>
      <c r="M401">
        <v>37000</v>
      </c>
      <c r="N401"/>
      <c r="O401"/>
      <c r="P401">
        <v>1.0780000000000001E-2</v>
      </c>
      <c r="Q401">
        <v>3.9899999999999998E-2</v>
      </c>
      <c r="R401">
        <v>554.48577680525159</v>
      </c>
      <c r="S401">
        <v>1</v>
      </c>
      <c r="T401">
        <v>0.91400000000000003</v>
      </c>
      <c r="U401">
        <v>0.91400000000000003</v>
      </c>
      <c r="V401">
        <v>86.323851203501093</v>
      </c>
      <c r="W401"/>
      <c r="X401">
        <v>31.619256017505478</v>
      </c>
      <c r="Y401"/>
      <c r="Z401"/>
      <c r="AA401"/>
      <c r="AB401"/>
      <c r="AC401"/>
      <c r="AD401"/>
      <c r="AE401"/>
      <c r="AF401">
        <v>6</v>
      </c>
      <c r="AG401">
        <v>5.4</v>
      </c>
    </row>
    <row r="402" spans="1:33" s="19" customFormat="1" hidden="1" x14ac:dyDescent="0.25">
      <c r="A402">
        <v>2025</v>
      </c>
      <c r="B402">
        <v>1</v>
      </c>
      <c r="C402" t="s">
        <v>29</v>
      </c>
      <c r="D402" t="s">
        <v>25</v>
      </c>
      <c r="E402">
        <v>7</v>
      </c>
      <c r="F402">
        <v>4</v>
      </c>
      <c r="G402">
        <v>4</v>
      </c>
      <c r="H402">
        <v>704</v>
      </c>
      <c r="I402" s="12">
        <v>45847</v>
      </c>
      <c r="J402">
        <v>189</v>
      </c>
      <c r="K402">
        <v>36</v>
      </c>
      <c r="L402" t="s">
        <v>26</v>
      </c>
      <c r="M402">
        <v>37000</v>
      </c>
      <c r="N402"/>
      <c r="O402"/>
      <c r="P402">
        <v>1.1780000000000001E-2</v>
      </c>
      <c r="Q402">
        <v>6.8900000000000003E-2</v>
      </c>
      <c r="R402">
        <v>882.71334792122548</v>
      </c>
      <c r="S402">
        <v>1</v>
      </c>
      <c r="T402">
        <v>0.91400000000000003</v>
      </c>
      <c r="U402">
        <v>0.91400000000000003</v>
      </c>
      <c r="V402">
        <v>86.323851203501093</v>
      </c>
      <c r="W402"/>
      <c r="X402">
        <v>42.560175054704601</v>
      </c>
      <c r="Y402"/>
      <c r="Z402"/>
      <c r="AA402"/>
      <c r="AB402"/>
      <c r="AC402"/>
      <c r="AD402"/>
      <c r="AE402"/>
      <c r="AF402">
        <v>8.1</v>
      </c>
      <c r="AG402">
        <v>5.6</v>
      </c>
    </row>
    <row r="403" spans="1:33" s="19" customFormat="1" hidden="1" x14ac:dyDescent="0.25">
      <c r="A403">
        <v>2025</v>
      </c>
      <c r="B403">
        <v>1</v>
      </c>
      <c r="C403" t="s">
        <v>24</v>
      </c>
      <c r="D403" t="s">
        <v>25</v>
      </c>
      <c r="E403">
        <v>7</v>
      </c>
      <c r="F403">
        <v>6</v>
      </c>
      <c r="G403">
        <v>4</v>
      </c>
      <c r="H403">
        <v>706</v>
      </c>
      <c r="I403" s="12">
        <v>45847</v>
      </c>
      <c r="J403">
        <v>189</v>
      </c>
      <c r="K403">
        <v>36</v>
      </c>
      <c r="L403" t="s">
        <v>26</v>
      </c>
      <c r="M403">
        <v>37000</v>
      </c>
      <c r="N403"/>
      <c r="O403"/>
      <c r="P403">
        <v>7.7800000000000013E-3</v>
      </c>
      <c r="Q403">
        <v>5.3899999999999997E-2</v>
      </c>
      <c r="R403">
        <v>674.83588621444198</v>
      </c>
      <c r="S403">
        <v>1</v>
      </c>
      <c r="T403">
        <v>0.91400000000000003</v>
      </c>
      <c r="U403">
        <v>0.91400000000000003</v>
      </c>
      <c r="V403">
        <v>64.442013129102847</v>
      </c>
      <c r="W403"/>
      <c r="X403">
        <v>20.678336980306355</v>
      </c>
      <c r="Y403"/>
      <c r="Z403"/>
      <c r="AA403"/>
      <c r="AB403"/>
      <c r="AC403"/>
      <c r="AD403"/>
      <c r="AE403"/>
      <c r="AF403">
        <v>5.5</v>
      </c>
      <c r="AG403">
        <v>5</v>
      </c>
    </row>
    <row r="404" spans="1:33" s="19" customFormat="1" hidden="1" x14ac:dyDescent="0.25">
      <c r="A404">
        <v>2025</v>
      </c>
      <c r="B404">
        <v>1</v>
      </c>
      <c r="C404" t="s">
        <v>28</v>
      </c>
      <c r="D404" t="s">
        <v>25</v>
      </c>
      <c r="E404">
        <v>7</v>
      </c>
      <c r="F404">
        <v>8</v>
      </c>
      <c r="G404">
        <v>4</v>
      </c>
      <c r="H404">
        <v>708</v>
      </c>
      <c r="I404" s="12">
        <v>45847</v>
      </c>
      <c r="J404">
        <v>189</v>
      </c>
      <c r="K404">
        <v>36</v>
      </c>
      <c r="L404" t="s">
        <v>26</v>
      </c>
      <c r="M404">
        <v>37000</v>
      </c>
      <c r="N404"/>
      <c r="O404"/>
      <c r="P404">
        <v>1.1780000000000001E-2</v>
      </c>
      <c r="Q404">
        <v>4.7899999999999998E-2</v>
      </c>
      <c r="R404">
        <v>652.95404814004371</v>
      </c>
      <c r="S404">
        <v>1</v>
      </c>
      <c r="T404">
        <v>0.91400000000000003</v>
      </c>
      <c r="U404">
        <v>0.91400000000000003</v>
      </c>
      <c r="V404">
        <v>86.323851203501093</v>
      </c>
      <c r="W404"/>
      <c r="X404">
        <v>42.560175054704601</v>
      </c>
      <c r="Y404"/>
      <c r="Z404"/>
      <c r="AA404"/>
      <c r="AB404"/>
      <c r="AC404"/>
      <c r="AD404"/>
      <c r="AE404"/>
      <c r="AF404">
        <v>7.1</v>
      </c>
      <c r="AG404">
        <v>5</v>
      </c>
    </row>
    <row r="405" spans="1:33" s="19" customFormat="1" hidden="1" x14ac:dyDescent="0.25">
      <c r="A405">
        <v>2025</v>
      </c>
      <c r="B405">
        <v>1</v>
      </c>
      <c r="C405" t="s">
        <v>32</v>
      </c>
      <c r="D405" t="s">
        <v>25</v>
      </c>
      <c r="E405">
        <v>7</v>
      </c>
      <c r="F405">
        <v>9</v>
      </c>
      <c r="G405">
        <v>4</v>
      </c>
      <c r="H405">
        <v>709</v>
      </c>
      <c r="I405" s="12">
        <v>45847</v>
      </c>
      <c r="J405">
        <v>189</v>
      </c>
      <c r="K405">
        <v>36</v>
      </c>
      <c r="L405" t="s">
        <v>26</v>
      </c>
      <c r="M405">
        <v>37000</v>
      </c>
      <c r="N405"/>
      <c r="O405"/>
      <c r="P405">
        <v>7.7800000000000013E-3</v>
      </c>
      <c r="Q405">
        <v>4.3900000000000002E-2</v>
      </c>
      <c r="R405">
        <v>565.42669584245073</v>
      </c>
      <c r="S405">
        <v>1</v>
      </c>
      <c r="T405">
        <v>0.91400000000000003</v>
      </c>
      <c r="U405">
        <v>0.91400000000000003</v>
      </c>
      <c r="V405">
        <v>53.501094091903724</v>
      </c>
      <c r="W405"/>
      <c r="X405">
        <v>31.619256017505478</v>
      </c>
      <c r="Y405"/>
      <c r="Z405"/>
      <c r="AA405"/>
      <c r="AB405"/>
      <c r="AC405"/>
      <c r="AD405"/>
      <c r="AE405"/>
      <c r="AF405">
        <v>5.8</v>
      </c>
      <c r="AG405">
        <v>4.8</v>
      </c>
    </row>
    <row r="406" spans="1:33" s="19" customFormat="1" hidden="1" x14ac:dyDescent="0.25">
      <c r="A406">
        <v>2025</v>
      </c>
      <c r="B406">
        <v>1</v>
      </c>
      <c r="C406" t="s">
        <v>24</v>
      </c>
      <c r="D406" t="s">
        <v>25</v>
      </c>
      <c r="E406">
        <v>8</v>
      </c>
      <c r="F406">
        <v>11</v>
      </c>
      <c r="G406">
        <v>4</v>
      </c>
      <c r="H406">
        <v>802</v>
      </c>
      <c r="I406" s="12">
        <v>45847</v>
      </c>
      <c r="J406">
        <v>189</v>
      </c>
      <c r="K406">
        <v>36</v>
      </c>
      <c r="L406" t="s">
        <v>26</v>
      </c>
      <c r="M406">
        <v>37000</v>
      </c>
      <c r="N406"/>
      <c r="O406"/>
      <c r="P406">
        <v>1.1780000000000001E-2</v>
      </c>
      <c r="Q406">
        <v>3.2899999999999999E-2</v>
      </c>
      <c r="R406">
        <v>488.84026258205688</v>
      </c>
      <c r="S406">
        <v>1</v>
      </c>
      <c r="T406">
        <v>0.91400000000000003</v>
      </c>
      <c r="U406">
        <v>0.91400000000000003</v>
      </c>
      <c r="V406">
        <v>86.323851203501093</v>
      </c>
      <c r="W406"/>
      <c r="X406">
        <v>42.560175054704601</v>
      </c>
      <c r="Y406"/>
      <c r="Z406"/>
      <c r="AA406"/>
      <c r="AB406"/>
      <c r="AC406"/>
      <c r="AD406"/>
      <c r="AE406"/>
      <c r="AF406">
        <v>6.4</v>
      </c>
      <c r="AG406">
        <v>5.4</v>
      </c>
    </row>
    <row r="407" spans="1:33" s="19" customFormat="1" hidden="1" x14ac:dyDescent="0.25">
      <c r="A407">
        <v>2025</v>
      </c>
      <c r="B407">
        <v>1</v>
      </c>
      <c r="C407" t="s">
        <v>29</v>
      </c>
      <c r="D407" t="s">
        <v>25</v>
      </c>
      <c r="E407">
        <v>8</v>
      </c>
      <c r="F407">
        <v>12</v>
      </c>
      <c r="G407">
        <v>4</v>
      </c>
      <c r="H407">
        <v>803</v>
      </c>
      <c r="I407" s="12">
        <v>45847</v>
      </c>
      <c r="J407">
        <v>189</v>
      </c>
      <c r="K407">
        <v>36</v>
      </c>
      <c r="L407" t="s">
        <v>26</v>
      </c>
      <c r="M407">
        <v>37000</v>
      </c>
      <c r="N407"/>
      <c r="O407"/>
      <c r="P407">
        <v>9.7800000000000005E-3</v>
      </c>
      <c r="Q407">
        <v>3.2899999999999999E-2</v>
      </c>
      <c r="R407">
        <v>466.95842450765866</v>
      </c>
      <c r="S407">
        <v>1</v>
      </c>
      <c r="T407">
        <v>0.91400000000000003</v>
      </c>
      <c r="U407">
        <v>0.91400000000000003</v>
      </c>
      <c r="V407">
        <v>75.38293216630197</v>
      </c>
      <c r="W407"/>
      <c r="X407">
        <v>31.619256017505478</v>
      </c>
      <c r="Y407"/>
      <c r="Z407"/>
      <c r="AA407"/>
      <c r="AB407"/>
      <c r="AC407"/>
      <c r="AD407"/>
      <c r="AE407"/>
      <c r="AF407">
        <v>6.3</v>
      </c>
      <c r="AG407">
        <v>5</v>
      </c>
    </row>
    <row r="408" spans="1:33" s="19" customFormat="1" hidden="1" x14ac:dyDescent="0.25">
      <c r="A408">
        <v>2025</v>
      </c>
      <c r="B408">
        <v>1</v>
      </c>
      <c r="C408" t="s">
        <v>32</v>
      </c>
      <c r="D408" t="s">
        <v>25</v>
      </c>
      <c r="E408">
        <v>8</v>
      </c>
      <c r="F408">
        <v>13</v>
      </c>
      <c r="G408">
        <v>4</v>
      </c>
      <c r="H408">
        <v>804</v>
      </c>
      <c r="I408" s="12">
        <v>45847</v>
      </c>
      <c r="J408">
        <v>189</v>
      </c>
      <c r="K408">
        <v>36</v>
      </c>
      <c r="L408" t="s">
        <v>26</v>
      </c>
      <c r="M408">
        <v>37000</v>
      </c>
      <c r="N408"/>
      <c r="O408"/>
      <c r="P408">
        <v>8.7800000000000013E-3</v>
      </c>
      <c r="Q408">
        <v>2.5899999999999999E-2</v>
      </c>
      <c r="R408">
        <v>379.43107221006562</v>
      </c>
      <c r="S408">
        <v>1</v>
      </c>
      <c r="T408">
        <v>0.91400000000000003</v>
      </c>
      <c r="U408">
        <v>0.91400000000000003</v>
      </c>
      <c r="V408">
        <v>75.38293216630197</v>
      </c>
      <c r="W408"/>
      <c r="X408">
        <v>20.678336980306355</v>
      </c>
      <c r="Y408"/>
      <c r="Z408"/>
      <c r="AA408"/>
      <c r="AB408"/>
      <c r="AC408"/>
      <c r="AD408"/>
      <c r="AE408"/>
      <c r="AF408">
        <v>5.5</v>
      </c>
      <c r="AG408">
        <v>5.2</v>
      </c>
    </row>
    <row r="409" spans="1:33" s="20" customFormat="1" hidden="1" x14ac:dyDescent="0.25">
      <c r="A409">
        <v>2025</v>
      </c>
      <c r="B409">
        <v>1</v>
      </c>
      <c r="C409" s="49" t="s">
        <v>28</v>
      </c>
      <c r="D409" t="s">
        <v>25</v>
      </c>
      <c r="E409" s="49">
        <v>8</v>
      </c>
      <c r="F409">
        <v>14</v>
      </c>
      <c r="G409" s="49">
        <v>4</v>
      </c>
      <c r="H409" s="49">
        <v>805</v>
      </c>
      <c r="I409" s="13">
        <v>45847</v>
      </c>
      <c r="J409">
        <v>189</v>
      </c>
      <c r="K409">
        <v>36</v>
      </c>
      <c r="L409" t="s">
        <v>26</v>
      </c>
      <c r="M409">
        <v>37000</v>
      </c>
      <c r="N409" s="49"/>
      <c r="O409"/>
      <c r="P409" s="49">
        <v>5.7800000000000013E-3</v>
      </c>
      <c r="Q409" s="49">
        <v>3.1899999999999998E-2</v>
      </c>
      <c r="R409" s="49">
        <v>412.25382932166303</v>
      </c>
      <c r="S409">
        <v>1</v>
      </c>
      <c r="T409" s="49">
        <v>0.91400000000000003</v>
      </c>
      <c r="U409" s="49">
        <v>0.91400000000000003</v>
      </c>
      <c r="V409" s="49">
        <v>53.501094091903724</v>
      </c>
      <c r="W409" s="49"/>
      <c r="X409" s="49">
        <v>9.7374179431072267</v>
      </c>
      <c r="Y409" s="49"/>
      <c r="Z409" s="49"/>
      <c r="AA409" s="49"/>
      <c r="AB409" s="49"/>
      <c r="AC409" s="49"/>
      <c r="AD409" s="49"/>
      <c r="AE409" s="49"/>
      <c r="AF409" s="49">
        <v>5.5</v>
      </c>
      <c r="AG409" s="49">
        <v>4.5999999999999996</v>
      </c>
    </row>
    <row r="410" spans="1:33" s="19" customFormat="1" hidden="1" x14ac:dyDescent="0.25">
      <c r="A410">
        <v>2025</v>
      </c>
      <c r="B410">
        <v>2</v>
      </c>
      <c r="C410" t="s">
        <v>24</v>
      </c>
      <c r="D410" t="s">
        <v>38</v>
      </c>
      <c r="E410">
        <v>1</v>
      </c>
      <c r="F410">
        <v>1</v>
      </c>
      <c r="G410">
        <v>1</v>
      </c>
      <c r="H410">
        <v>101</v>
      </c>
      <c r="I410" s="12">
        <v>45861</v>
      </c>
      <c r="J410">
        <v>203</v>
      </c>
      <c r="K410">
        <v>50</v>
      </c>
      <c r="L410" t="s">
        <v>26</v>
      </c>
      <c r="M410">
        <v>37000</v>
      </c>
      <c r="N410"/>
      <c r="O410"/>
      <c r="P410">
        <v>1.8179999999999998E-2</v>
      </c>
      <c r="Q410">
        <v>9.7000000000000003E-2</v>
      </c>
      <c r="R410">
        <v>1260.1750547045951</v>
      </c>
      <c r="S410">
        <v>1</v>
      </c>
      <c r="T410">
        <v>0.91400000000000003</v>
      </c>
      <c r="U410">
        <v>0.91400000000000003</v>
      </c>
      <c r="V410">
        <v>108.20568927789934</v>
      </c>
      <c r="W410"/>
      <c r="X410">
        <v>86.323851203501093</v>
      </c>
      <c r="Y410">
        <v>4.3763676148796335</v>
      </c>
      <c r="Z410"/>
      <c r="AA410"/>
      <c r="AB410"/>
      <c r="AC410"/>
      <c r="AD410"/>
      <c r="AE410"/>
      <c r="AF410">
        <v>9.8000000000000007</v>
      </c>
      <c r="AG410">
        <v>7.4</v>
      </c>
    </row>
    <row r="411" spans="1:33" s="19" customFormat="1" hidden="1" x14ac:dyDescent="0.25">
      <c r="A411">
        <v>2025</v>
      </c>
      <c r="B411">
        <v>2</v>
      </c>
      <c r="C411" t="s">
        <v>29</v>
      </c>
      <c r="D411" t="s">
        <v>38</v>
      </c>
      <c r="E411">
        <v>1</v>
      </c>
      <c r="F411">
        <v>5</v>
      </c>
      <c r="G411">
        <v>1</v>
      </c>
      <c r="H411">
        <v>105</v>
      </c>
      <c r="I411" s="12">
        <v>45861</v>
      </c>
      <c r="J411">
        <v>203</v>
      </c>
      <c r="K411">
        <v>50</v>
      </c>
      <c r="L411" t="s">
        <v>26</v>
      </c>
      <c r="M411">
        <v>37000</v>
      </c>
      <c r="N411"/>
      <c r="O411"/>
      <c r="P411">
        <v>2.6880000000000001E-2</v>
      </c>
      <c r="Q411">
        <v>8.2000000000000003E-2</v>
      </c>
      <c r="R411">
        <v>1191.2472647702407</v>
      </c>
      <c r="S411">
        <v>1</v>
      </c>
      <c r="T411">
        <v>0.91400000000000003</v>
      </c>
      <c r="U411">
        <v>0.91400000000000003</v>
      </c>
      <c r="V411">
        <v>151.96936542669584</v>
      </c>
      <c r="W411"/>
      <c r="X411">
        <v>141.02844638949671</v>
      </c>
      <c r="Y411">
        <v>1.0940919037199281</v>
      </c>
      <c r="Z411"/>
      <c r="AA411"/>
      <c r="AB411"/>
      <c r="AC411"/>
      <c r="AD411"/>
      <c r="AE411"/>
      <c r="AF411">
        <v>11.4</v>
      </c>
      <c r="AG411">
        <v>9.6</v>
      </c>
    </row>
    <row r="412" spans="1:33" s="19" customFormat="1" hidden="1" x14ac:dyDescent="0.25">
      <c r="A412">
        <v>2025</v>
      </c>
      <c r="B412">
        <v>2</v>
      </c>
      <c r="C412" t="s">
        <v>28</v>
      </c>
      <c r="D412" t="s">
        <v>38</v>
      </c>
      <c r="E412">
        <v>1</v>
      </c>
      <c r="F412">
        <v>7</v>
      </c>
      <c r="G412">
        <v>1</v>
      </c>
      <c r="H412">
        <v>107</v>
      </c>
      <c r="I412" s="12">
        <v>45861</v>
      </c>
      <c r="J412">
        <v>203</v>
      </c>
      <c r="K412">
        <v>50</v>
      </c>
      <c r="L412" t="s">
        <v>26</v>
      </c>
      <c r="M412">
        <v>37000</v>
      </c>
      <c r="N412"/>
      <c r="O412"/>
      <c r="P412">
        <v>1.3980000000000001E-2</v>
      </c>
      <c r="Q412">
        <v>7.6999999999999999E-2</v>
      </c>
      <c r="R412">
        <v>995.40481400437625</v>
      </c>
      <c r="S412">
        <v>1</v>
      </c>
      <c r="T412">
        <v>0.91400000000000003</v>
      </c>
      <c r="U412">
        <v>0.91400000000000003</v>
      </c>
      <c r="V412">
        <v>86.323851203501093</v>
      </c>
      <c r="W412"/>
      <c r="X412">
        <v>64.442013129102847</v>
      </c>
      <c r="Y412">
        <v>2.1881838074398168</v>
      </c>
      <c r="Z412"/>
      <c r="AA412"/>
      <c r="AB412"/>
      <c r="AC412"/>
      <c r="AD412"/>
      <c r="AE412"/>
      <c r="AF412">
        <v>10.199999999999999</v>
      </c>
      <c r="AG412">
        <v>7.4</v>
      </c>
    </row>
    <row r="413" spans="1:33" s="19" customFormat="1" hidden="1" x14ac:dyDescent="0.25">
      <c r="A413">
        <v>2025</v>
      </c>
      <c r="B413">
        <v>2</v>
      </c>
      <c r="C413" t="s">
        <v>32</v>
      </c>
      <c r="D413" t="s">
        <v>38</v>
      </c>
      <c r="E413">
        <v>1</v>
      </c>
      <c r="F413">
        <v>9</v>
      </c>
      <c r="G413">
        <v>1</v>
      </c>
      <c r="H413">
        <v>109</v>
      </c>
      <c r="I413" s="12">
        <v>45861</v>
      </c>
      <c r="J413">
        <v>203</v>
      </c>
      <c r="K413">
        <v>50</v>
      </c>
      <c r="L413" t="s">
        <v>26</v>
      </c>
      <c r="M413">
        <v>37000</v>
      </c>
      <c r="N413"/>
      <c r="O413"/>
      <c r="P413">
        <v>1.7780000000000001E-2</v>
      </c>
      <c r="Q413">
        <v>4.5999999999999999E-2</v>
      </c>
      <c r="R413">
        <v>697.81181619256017</v>
      </c>
      <c r="S413">
        <v>1</v>
      </c>
      <c r="T413">
        <v>0.91400000000000003</v>
      </c>
      <c r="U413">
        <v>0.91400000000000003</v>
      </c>
      <c r="V413">
        <v>130.0875273522976</v>
      </c>
      <c r="W413"/>
      <c r="X413">
        <v>64.442013129102847</v>
      </c>
      <c r="Y413">
        <v>0</v>
      </c>
      <c r="Z413"/>
      <c r="AA413"/>
      <c r="AB413"/>
      <c r="AC413"/>
      <c r="AD413"/>
      <c r="AE413"/>
      <c r="AF413">
        <v>8.1</v>
      </c>
      <c r="AG413">
        <v>8.1999999999999993</v>
      </c>
    </row>
    <row r="414" spans="1:33" s="19" customFormat="1" hidden="1" x14ac:dyDescent="0.25">
      <c r="A414">
        <v>2025</v>
      </c>
      <c r="B414">
        <v>2</v>
      </c>
      <c r="C414" t="s">
        <v>29</v>
      </c>
      <c r="D414" t="s">
        <v>38</v>
      </c>
      <c r="E414">
        <v>3</v>
      </c>
      <c r="F414">
        <v>4</v>
      </c>
      <c r="G414">
        <v>2</v>
      </c>
      <c r="H414">
        <v>304</v>
      </c>
      <c r="I414" s="12">
        <v>45861</v>
      </c>
      <c r="J414">
        <v>203</v>
      </c>
      <c r="K414">
        <v>50</v>
      </c>
      <c r="L414" t="s">
        <v>26</v>
      </c>
      <c r="M414">
        <v>37000</v>
      </c>
      <c r="N414"/>
      <c r="O414"/>
      <c r="P414">
        <v>1.5780000000000002E-2</v>
      </c>
      <c r="Q414">
        <v>5.6000000000000001E-2</v>
      </c>
      <c r="R414">
        <v>785.33916849015316</v>
      </c>
      <c r="S414">
        <v>1</v>
      </c>
      <c r="T414">
        <v>0.91400000000000003</v>
      </c>
      <c r="U414">
        <v>0.91400000000000003</v>
      </c>
      <c r="V414">
        <v>97.264770240700216</v>
      </c>
      <c r="W414"/>
      <c r="X414">
        <v>75.38293216630197</v>
      </c>
      <c r="Y414">
        <v>0</v>
      </c>
      <c r="Z414"/>
      <c r="AA414"/>
      <c r="AB414"/>
      <c r="AC414"/>
      <c r="AD414"/>
      <c r="AE414"/>
      <c r="AF414">
        <v>11.2</v>
      </c>
      <c r="AG414">
        <v>8</v>
      </c>
    </row>
    <row r="415" spans="1:33" s="19" customFormat="1" hidden="1" x14ac:dyDescent="0.25">
      <c r="A415">
        <v>2025</v>
      </c>
      <c r="B415">
        <v>2</v>
      </c>
      <c r="C415" t="s">
        <v>24</v>
      </c>
      <c r="D415" t="s">
        <v>38</v>
      </c>
      <c r="E415">
        <v>3</v>
      </c>
      <c r="F415">
        <v>6</v>
      </c>
      <c r="G415">
        <v>2</v>
      </c>
      <c r="H415">
        <v>306</v>
      </c>
      <c r="I415" s="12">
        <v>45861</v>
      </c>
      <c r="J415">
        <v>203</v>
      </c>
      <c r="K415">
        <v>50</v>
      </c>
      <c r="L415" t="s">
        <v>26</v>
      </c>
      <c r="M415">
        <v>37000</v>
      </c>
      <c r="N415"/>
      <c r="O415"/>
      <c r="P415">
        <v>3.3980000000000003E-2</v>
      </c>
      <c r="Q415">
        <v>0.14899999999999999</v>
      </c>
      <c r="R415">
        <v>2001.969365426696</v>
      </c>
      <c r="S415">
        <v>1</v>
      </c>
      <c r="T415">
        <v>0.91400000000000003</v>
      </c>
      <c r="U415">
        <v>0.91400000000000003</v>
      </c>
      <c r="V415">
        <v>195.73304157549234</v>
      </c>
      <c r="W415"/>
      <c r="X415">
        <v>173.85120350109406</v>
      </c>
      <c r="Y415">
        <v>2.1881838074398168</v>
      </c>
      <c r="Z415"/>
      <c r="AA415"/>
      <c r="AB415"/>
      <c r="AC415"/>
      <c r="AD415"/>
      <c r="AE415"/>
      <c r="AF415">
        <v>12.9</v>
      </c>
      <c r="AG415">
        <v>9.6</v>
      </c>
    </row>
    <row r="416" spans="1:33" s="19" customFormat="1" hidden="1" x14ac:dyDescent="0.25">
      <c r="A416">
        <v>2025</v>
      </c>
      <c r="B416">
        <v>2</v>
      </c>
      <c r="C416" t="s">
        <v>28</v>
      </c>
      <c r="D416" t="s">
        <v>38</v>
      </c>
      <c r="E416">
        <v>3</v>
      </c>
      <c r="F416">
        <v>8</v>
      </c>
      <c r="G416">
        <v>2</v>
      </c>
      <c r="H416">
        <v>308</v>
      </c>
      <c r="I416" s="12">
        <v>45861</v>
      </c>
      <c r="J416">
        <v>203</v>
      </c>
      <c r="K416">
        <v>50</v>
      </c>
      <c r="L416" t="s">
        <v>26</v>
      </c>
      <c r="M416">
        <v>37000</v>
      </c>
      <c r="N416"/>
      <c r="O416"/>
      <c r="P416">
        <v>2.6179999999999998E-2</v>
      </c>
      <c r="Q416">
        <v>0.08</v>
      </c>
      <c r="R416">
        <v>1161.7067833698031</v>
      </c>
      <c r="S416">
        <v>1</v>
      </c>
      <c r="T416">
        <v>0.91400000000000003</v>
      </c>
      <c r="U416">
        <v>0.91400000000000003</v>
      </c>
      <c r="V416">
        <v>141.02844638949671</v>
      </c>
      <c r="W416"/>
      <c r="X416">
        <v>141.02844638949671</v>
      </c>
      <c r="Y416">
        <v>4.3763676148796335</v>
      </c>
      <c r="Z416"/>
      <c r="AA416"/>
      <c r="AB416"/>
      <c r="AC416"/>
      <c r="AD416"/>
      <c r="AE416"/>
      <c r="AF416">
        <v>12.78</v>
      </c>
      <c r="AG416">
        <v>9.1999999999999993</v>
      </c>
    </row>
    <row r="417" spans="1:33" s="19" customFormat="1" hidden="1" x14ac:dyDescent="0.25">
      <c r="A417">
        <v>2025</v>
      </c>
      <c r="B417">
        <v>2</v>
      </c>
      <c r="C417" t="s">
        <v>32</v>
      </c>
      <c r="D417" t="s">
        <v>38</v>
      </c>
      <c r="E417">
        <v>3</v>
      </c>
      <c r="F417">
        <v>9</v>
      </c>
      <c r="G417">
        <v>2</v>
      </c>
      <c r="H417">
        <v>309</v>
      </c>
      <c r="I417" s="12">
        <v>45861</v>
      </c>
      <c r="J417">
        <v>203</v>
      </c>
      <c r="K417">
        <v>50</v>
      </c>
      <c r="L417" t="s">
        <v>26</v>
      </c>
      <c r="M417">
        <v>37000</v>
      </c>
      <c r="N417"/>
      <c r="O417"/>
      <c r="P417">
        <v>1.9280000000000002E-2</v>
      </c>
      <c r="Q417">
        <v>7.4999999999999997E-2</v>
      </c>
      <c r="R417">
        <v>1031.5098468271335</v>
      </c>
      <c r="S417">
        <v>1</v>
      </c>
      <c r="T417">
        <v>0.91400000000000003</v>
      </c>
      <c r="U417">
        <v>0.91400000000000003</v>
      </c>
      <c r="V417">
        <v>141.02844638949671</v>
      </c>
      <c r="W417"/>
      <c r="X417">
        <v>64.442013129102847</v>
      </c>
      <c r="Y417">
        <v>5.4704595185995624</v>
      </c>
      <c r="Z417"/>
      <c r="AA417"/>
      <c r="AB417"/>
      <c r="AC417"/>
      <c r="AD417"/>
      <c r="AE417"/>
      <c r="AF417">
        <v>8.8000000000000007</v>
      </c>
      <c r="AG417">
        <v>8.8000000000000007</v>
      </c>
    </row>
    <row r="418" spans="1:33" s="19" customFormat="1" hidden="1" x14ac:dyDescent="0.25">
      <c r="A418">
        <v>2025</v>
      </c>
      <c r="B418">
        <v>2</v>
      </c>
      <c r="C418" t="s">
        <v>24</v>
      </c>
      <c r="D418" t="s">
        <v>38</v>
      </c>
      <c r="E418">
        <v>4</v>
      </c>
      <c r="F418">
        <v>11</v>
      </c>
      <c r="G418">
        <v>2</v>
      </c>
      <c r="H418">
        <v>402</v>
      </c>
      <c r="I418" s="12">
        <v>45861</v>
      </c>
      <c r="J418">
        <v>203</v>
      </c>
      <c r="K418">
        <v>50</v>
      </c>
      <c r="L418" t="s">
        <v>26</v>
      </c>
      <c r="M418">
        <v>37000</v>
      </c>
      <c r="N418"/>
      <c r="O418"/>
      <c r="P418">
        <v>1.9980000000000001E-2</v>
      </c>
      <c r="Q418">
        <v>7.3999999999999996E-2</v>
      </c>
      <c r="R418">
        <v>1028.2275711159737</v>
      </c>
      <c r="S418">
        <v>1</v>
      </c>
      <c r="T418">
        <v>0.91400000000000003</v>
      </c>
      <c r="U418">
        <v>0.91400000000000003</v>
      </c>
      <c r="V418">
        <v>141.02844638949671</v>
      </c>
      <c r="W418"/>
      <c r="X418">
        <v>75.38293216630197</v>
      </c>
      <c r="Y418">
        <v>2.1881838074398168</v>
      </c>
      <c r="Z418"/>
      <c r="AA418"/>
      <c r="AB418"/>
      <c r="AC418"/>
      <c r="AD418"/>
      <c r="AE418"/>
      <c r="AF418">
        <v>9.1</v>
      </c>
      <c r="AG418">
        <v>8</v>
      </c>
    </row>
    <row r="419" spans="1:33" s="19" customFormat="1" hidden="1" x14ac:dyDescent="0.25">
      <c r="A419">
        <v>2025</v>
      </c>
      <c r="B419">
        <v>2</v>
      </c>
      <c r="C419" t="s">
        <v>29</v>
      </c>
      <c r="D419" t="s">
        <v>38</v>
      </c>
      <c r="E419">
        <v>4</v>
      </c>
      <c r="F419">
        <v>12</v>
      </c>
      <c r="G419">
        <v>2</v>
      </c>
      <c r="H419">
        <v>403</v>
      </c>
      <c r="I419" s="12">
        <v>45861</v>
      </c>
      <c r="J419">
        <v>203</v>
      </c>
      <c r="K419">
        <v>50</v>
      </c>
      <c r="L419" t="s">
        <v>26</v>
      </c>
      <c r="M419">
        <v>37000</v>
      </c>
      <c r="N419"/>
      <c r="O419"/>
      <c r="P419">
        <v>1.678E-2</v>
      </c>
      <c r="Q419">
        <v>8.7999999999999995E-2</v>
      </c>
      <c r="R419">
        <v>1146.3894967177243</v>
      </c>
      <c r="S419">
        <v>1</v>
      </c>
      <c r="T419">
        <v>0.91400000000000003</v>
      </c>
      <c r="U419">
        <v>0.91400000000000003</v>
      </c>
      <c r="V419">
        <v>97.264770240700216</v>
      </c>
      <c r="W419"/>
      <c r="X419">
        <v>86.323851203501093</v>
      </c>
      <c r="Y419">
        <v>0</v>
      </c>
      <c r="Z419"/>
      <c r="AA419"/>
      <c r="AB419"/>
      <c r="AC419"/>
      <c r="AD419"/>
      <c r="AE419"/>
      <c r="AF419">
        <v>13.12</v>
      </c>
      <c r="AG419">
        <v>8.4</v>
      </c>
    </row>
    <row r="420" spans="1:33" s="19" customFormat="1" hidden="1" x14ac:dyDescent="0.25">
      <c r="A420">
        <v>2025</v>
      </c>
      <c r="B420">
        <v>2</v>
      </c>
      <c r="C420" t="s">
        <v>32</v>
      </c>
      <c r="D420" t="s">
        <v>38</v>
      </c>
      <c r="E420">
        <v>4</v>
      </c>
      <c r="F420">
        <v>13</v>
      </c>
      <c r="G420">
        <v>2</v>
      </c>
      <c r="H420">
        <v>404</v>
      </c>
      <c r="I420" s="12">
        <v>45861</v>
      </c>
      <c r="J420">
        <v>203</v>
      </c>
      <c r="K420">
        <v>50</v>
      </c>
      <c r="L420" t="s">
        <v>26</v>
      </c>
      <c r="M420">
        <v>37000</v>
      </c>
      <c r="N420"/>
      <c r="O420"/>
      <c r="P420">
        <v>1.8780000000000002E-2</v>
      </c>
      <c r="Q420">
        <v>0.08</v>
      </c>
      <c r="R420">
        <v>1080.7439824945295</v>
      </c>
      <c r="S420">
        <v>1</v>
      </c>
      <c r="T420">
        <v>0.91400000000000003</v>
      </c>
      <c r="U420">
        <v>0.91400000000000003</v>
      </c>
      <c r="V420">
        <v>108.20568927789934</v>
      </c>
      <c r="W420"/>
      <c r="X420">
        <v>97.264770240700216</v>
      </c>
      <c r="Y420">
        <v>0</v>
      </c>
      <c r="Z420"/>
      <c r="AA420"/>
      <c r="AB420"/>
      <c r="AC420"/>
      <c r="AD420"/>
      <c r="AE420"/>
      <c r="AF420">
        <v>10.1</v>
      </c>
      <c r="AG420">
        <v>8.8000000000000007</v>
      </c>
    </row>
    <row r="421" spans="1:33" s="19" customFormat="1" hidden="1" x14ac:dyDescent="0.25">
      <c r="A421">
        <v>2025</v>
      </c>
      <c r="B421">
        <v>2</v>
      </c>
      <c r="C421" t="s">
        <v>28</v>
      </c>
      <c r="D421" t="s">
        <v>38</v>
      </c>
      <c r="E421">
        <v>4</v>
      </c>
      <c r="F421">
        <v>14</v>
      </c>
      <c r="G421">
        <v>2</v>
      </c>
      <c r="H421">
        <v>405</v>
      </c>
      <c r="I421" s="12">
        <v>45861</v>
      </c>
      <c r="J421">
        <v>203</v>
      </c>
      <c r="K421">
        <v>50</v>
      </c>
      <c r="L421" t="s">
        <v>26</v>
      </c>
      <c r="M421">
        <v>37000</v>
      </c>
      <c r="N421"/>
      <c r="O421"/>
      <c r="P421">
        <v>1.3780000000000001E-2</v>
      </c>
      <c r="Q421">
        <v>7.9000000000000001E-2</v>
      </c>
      <c r="R421">
        <v>1015.0984682713348</v>
      </c>
      <c r="S421">
        <v>1</v>
      </c>
      <c r="T421">
        <v>0.91400000000000003</v>
      </c>
      <c r="U421">
        <v>0.91400000000000003</v>
      </c>
      <c r="V421">
        <v>64.442013129102847</v>
      </c>
      <c r="W421"/>
      <c r="X421">
        <v>86.323851203501093</v>
      </c>
      <c r="Y421">
        <v>0</v>
      </c>
      <c r="Z421"/>
      <c r="AA421"/>
      <c r="AB421"/>
      <c r="AC421"/>
      <c r="AD421"/>
      <c r="AE421"/>
      <c r="AF421">
        <v>9.6999999999999993</v>
      </c>
      <c r="AG421">
        <v>7</v>
      </c>
    </row>
    <row r="422" spans="1:33" s="19" customFormat="1" hidden="1" x14ac:dyDescent="0.25">
      <c r="A422">
        <v>2025</v>
      </c>
      <c r="B422">
        <v>2</v>
      </c>
      <c r="C422" t="s">
        <v>24</v>
      </c>
      <c r="D422" t="s">
        <v>25</v>
      </c>
      <c r="E422">
        <v>5</v>
      </c>
      <c r="F422">
        <v>1</v>
      </c>
      <c r="G422">
        <v>3</v>
      </c>
      <c r="H422">
        <v>501</v>
      </c>
      <c r="I422" s="12">
        <v>45861</v>
      </c>
      <c r="J422">
        <v>203</v>
      </c>
      <c r="K422">
        <v>50</v>
      </c>
      <c r="L422" t="s">
        <v>26</v>
      </c>
      <c r="M422">
        <v>37000</v>
      </c>
      <c r="N422"/>
      <c r="O422"/>
      <c r="P422">
        <v>4.3980000000000005E-2</v>
      </c>
      <c r="Q422">
        <v>0.19500000000000001</v>
      </c>
      <c r="R422">
        <v>2614.6608315098465</v>
      </c>
      <c r="S422">
        <v>1</v>
      </c>
      <c r="T422">
        <v>0.91400000000000003</v>
      </c>
      <c r="U422">
        <v>0.91400000000000003</v>
      </c>
      <c r="V422">
        <v>261.37855579868705</v>
      </c>
      <c r="W422"/>
      <c r="X422">
        <v>217.61487964989058</v>
      </c>
      <c r="Y422">
        <v>2.1881838074398168</v>
      </c>
      <c r="Z422"/>
      <c r="AA422"/>
      <c r="AB422"/>
      <c r="AC422"/>
      <c r="AD422"/>
      <c r="AE422"/>
      <c r="AF422">
        <v>14.1</v>
      </c>
      <c r="AG422">
        <v>10.8</v>
      </c>
    </row>
    <row r="423" spans="1:33" s="19" customFormat="1" hidden="1" x14ac:dyDescent="0.25">
      <c r="A423">
        <v>2025</v>
      </c>
      <c r="B423">
        <v>2</v>
      </c>
      <c r="C423" t="s">
        <v>29</v>
      </c>
      <c r="D423" t="s">
        <v>25</v>
      </c>
      <c r="E423">
        <v>5</v>
      </c>
      <c r="F423">
        <v>5</v>
      </c>
      <c r="G423">
        <v>3</v>
      </c>
      <c r="H423">
        <v>505</v>
      </c>
      <c r="I423" s="12">
        <v>45861</v>
      </c>
      <c r="J423">
        <v>203</v>
      </c>
      <c r="K423">
        <v>50</v>
      </c>
      <c r="L423" t="s">
        <v>26</v>
      </c>
      <c r="M423">
        <v>37000</v>
      </c>
      <c r="N423"/>
      <c r="O423"/>
      <c r="P423">
        <v>2.478E-2</v>
      </c>
      <c r="Q423">
        <v>8.7999999999999995E-2</v>
      </c>
      <c r="R423">
        <v>1233.9168490153172</v>
      </c>
      <c r="S423">
        <v>1</v>
      </c>
      <c r="T423">
        <v>0.91400000000000003</v>
      </c>
      <c r="U423">
        <v>0.91400000000000003</v>
      </c>
      <c r="V423">
        <v>141.02844638949671</v>
      </c>
      <c r="W423"/>
      <c r="X423">
        <v>130.0875273522976</v>
      </c>
      <c r="Y423">
        <v>0</v>
      </c>
      <c r="Z423"/>
      <c r="AA423"/>
      <c r="AB423"/>
      <c r="AC423"/>
      <c r="AD423"/>
      <c r="AE423"/>
      <c r="AF423">
        <v>11.459999999999999</v>
      </c>
      <c r="AG423">
        <v>8.6</v>
      </c>
    </row>
    <row r="424" spans="1:33" s="19" customFormat="1" hidden="1" x14ac:dyDescent="0.25">
      <c r="A424">
        <v>2025</v>
      </c>
      <c r="B424">
        <v>2</v>
      </c>
      <c r="C424" t="s">
        <v>28</v>
      </c>
      <c r="D424" t="s">
        <v>25</v>
      </c>
      <c r="E424">
        <v>5</v>
      </c>
      <c r="F424">
        <v>7</v>
      </c>
      <c r="G424">
        <v>3</v>
      </c>
      <c r="H424">
        <v>507</v>
      </c>
      <c r="I424" s="12">
        <v>45861</v>
      </c>
      <c r="J424">
        <v>203</v>
      </c>
      <c r="K424">
        <v>50</v>
      </c>
      <c r="L424" t="s">
        <v>26</v>
      </c>
      <c r="M424">
        <v>37000</v>
      </c>
      <c r="N424"/>
      <c r="O424"/>
      <c r="P424">
        <v>2.2880000000000001E-2</v>
      </c>
      <c r="Q424">
        <v>0.124</v>
      </c>
      <c r="R424">
        <v>1607.0021881838072</v>
      </c>
      <c r="S424">
        <v>1</v>
      </c>
      <c r="T424">
        <v>0.91400000000000003</v>
      </c>
      <c r="U424">
        <v>0.91400000000000003</v>
      </c>
      <c r="V424">
        <v>119.14660831509846</v>
      </c>
      <c r="W424"/>
      <c r="X424">
        <v>130.0875273522976</v>
      </c>
      <c r="Y424">
        <v>1.0940919037199281</v>
      </c>
      <c r="Z424"/>
      <c r="AA424"/>
      <c r="AB424"/>
      <c r="AC424"/>
      <c r="AD424"/>
      <c r="AE424"/>
      <c r="AF424">
        <v>12.64</v>
      </c>
      <c r="AG424">
        <v>9.1999999999999993</v>
      </c>
    </row>
    <row r="425" spans="1:33" s="19" customFormat="1" hidden="1" x14ac:dyDescent="0.25">
      <c r="A425">
        <v>2025</v>
      </c>
      <c r="B425">
        <v>2</v>
      </c>
      <c r="C425" t="s">
        <v>32</v>
      </c>
      <c r="D425" t="s">
        <v>25</v>
      </c>
      <c r="E425">
        <v>5</v>
      </c>
      <c r="F425">
        <v>9</v>
      </c>
      <c r="G425">
        <v>3</v>
      </c>
      <c r="H425">
        <v>509</v>
      </c>
      <c r="I425" s="12">
        <v>45861</v>
      </c>
      <c r="J425">
        <v>203</v>
      </c>
      <c r="K425">
        <v>50</v>
      </c>
      <c r="L425" t="s">
        <v>26</v>
      </c>
      <c r="M425">
        <v>37000</v>
      </c>
      <c r="N425"/>
      <c r="O425"/>
      <c r="P425">
        <v>2.7780000000000003E-2</v>
      </c>
      <c r="Q425">
        <v>0.11899999999999999</v>
      </c>
      <c r="R425">
        <v>1605.9080962800874</v>
      </c>
      <c r="S425">
        <v>1</v>
      </c>
      <c r="T425">
        <v>0.91400000000000003</v>
      </c>
      <c r="U425">
        <v>0.91400000000000003</v>
      </c>
      <c r="V425">
        <v>151.96936542669584</v>
      </c>
      <c r="W425"/>
      <c r="X425">
        <v>151.96936542669584</v>
      </c>
      <c r="Y425">
        <v>0</v>
      </c>
      <c r="Z425"/>
      <c r="AA425"/>
      <c r="AB425"/>
      <c r="AC425"/>
      <c r="AD425"/>
      <c r="AE425"/>
      <c r="AF425">
        <v>10.739999999999998</v>
      </c>
      <c r="AG425">
        <v>11</v>
      </c>
    </row>
    <row r="426" spans="1:33" s="19" customFormat="1" hidden="1" x14ac:dyDescent="0.25">
      <c r="A426">
        <v>2025</v>
      </c>
      <c r="B426">
        <v>2</v>
      </c>
      <c r="C426" t="s">
        <v>29</v>
      </c>
      <c r="D426" t="s">
        <v>25</v>
      </c>
      <c r="E426">
        <v>7</v>
      </c>
      <c r="F426">
        <v>4</v>
      </c>
      <c r="G426">
        <v>4</v>
      </c>
      <c r="H426">
        <v>704</v>
      </c>
      <c r="I426" s="12">
        <v>45861</v>
      </c>
      <c r="J426">
        <v>203</v>
      </c>
      <c r="K426">
        <v>50</v>
      </c>
      <c r="L426" t="s">
        <v>26</v>
      </c>
      <c r="M426">
        <v>37000</v>
      </c>
      <c r="N426"/>
      <c r="O426"/>
      <c r="P426">
        <v>4.3880000000000002E-2</v>
      </c>
      <c r="Q426">
        <v>0.153</v>
      </c>
      <c r="R426">
        <v>2154.0481400437634</v>
      </c>
      <c r="S426">
        <v>1</v>
      </c>
      <c r="T426">
        <v>0.91400000000000003</v>
      </c>
      <c r="U426">
        <v>0.91400000000000003</v>
      </c>
      <c r="V426">
        <v>239.49671772428886</v>
      </c>
      <c r="W426"/>
      <c r="X426">
        <v>239.49671772428886</v>
      </c>
      <c r="Y426">
        <v>1.0940919037199281</v>
      </c>
      <c r="Z426"/>
      <c r="AA426"/>
      <c r="AB426"/>
      <c r="AC426"/>
      <c r="AD426"/>
      <c r="AE426"/>
      <c r="AF426">
        <v>15</v>
      </c>
      <c r="AG426">
        <v>10.8</v>
      </c>
    </row>
    <row r="427" spans="1:33" s="19" customFormat="1" hidden="1" x14ac:dyDescent="0.25">
      <c r="A427">
        <v>2025</v>
      </c>
      <c r="B427">
        <v>2</v>
      </c>
      <c r="C427" t="s">
        <v>24</v>
      </c>
      <c r="D427" t="s">
        <v>25</v>
      </c>
      <c r="E427">
        <v>7</v>
      </c>
      <c r="F427">
        <v>6</v>
      </c>
      <c r="G427">
        <v>4</v>
      </c>
      <c r="H427">
        <v>706</v>
      </c>
      <c r="I427" s="12">
        <v>45861</v>
      </c>
      <c r="J427">
        <v>203</v>
      </c>
      <c r="K427">
        <v>50</v>
      </c>
      <c r="L427" t="s">
        <v>26</v>
      </c>
      <c r="M427">
        <v>37000</v>
      </c>
      <c r="N427"/>
      <c r="O427"/>
      <c r="P427">
        <v>3.5380000000000002E-2</v>
      </c>
      <c r="Q427">
        <v>0.125</v>
      </c>
      <c r="R427">
        <v>1754.7045951859955</v>
      </c>
      <c r="S427">
        <v>1</v>
      </c>
      <c r="T427">
        <v>0.91400000000000003</v>
      </c>
      <c r="U427">
        <v>0.91400000000000003</v>
      </c>
      <c r="V427">
        <v>195.73304157549234</v>
      </c>
      <c r="W427"/>
      <c r="X427">
        <v>184.79212253829323</v>
      </c>
      <c r="Y427">
        <v>6.5645514223194903</v>
      </c>
      <c r="Z427"/>
      <c r="AA427"/>
      <c r="AB427"/>
      <c r="AC427"/>
      <c r="AD427"/>
      <c r="AE427"/>
      <c r="AF427">
        <v>12.559999999999999</v>
      </c>
      <c r="AG427">
        <v>9.8000000000000007</v>
      </c>
    </row>
    <row r="428" spans="1:33" s="19" customFormat="1" hidden="1" x14ac:dyDescent="0.25">
      <c r="A428">
        <v>2025</v>
      </c>
      <c r="B428">
        <v>2</v>
      </c>
      <c r="C428" t="s">
        <v>28</v>
      </c>
      <c r="D428" t="s">
        <v>25</v>
      </c>
      <c r="E428">
        <v>7</v>
      </c>
      <c r="F428">
        <v>8</v>
      </c>
      <c r="G428">
        <v>4</v>
      </c>
      <c r="H428">
        <v>708</v>
      </c>
      <c r="I428" s="12">
        <v>45861</v>
      </c>
      <c r="J428">
        <v>203</v>
      </c>
      <c r="K428">
        <v>50</v>
      </c>
      <c r="L428" t="s">
        <v>26</v>
      </c>
      <c r="M428">
        <v>37000</v>
      </c>
      <c r="N428"/>
      <c r="O428"/>
      <c r="P428">
        <v>2.1880000000000004E-2</v>
      </c>
      <c r="Q428">
        <v>8.4000000000000005E-2</v>
      </c>
      <c r="R428">
        <v>1158.4245076586433</v>
      </c>
      <c r="S428">
        <v>1</v>
      </c>
      <c r="T428">
        <v>0.91400000000000003</v>
      </c>
      <c r="U428">
        <v>0.91400000000000003</v>
      </c>
      <c r="V428">
        <v>130.0875273522976</v>
      </c>
      <c r="W428"/>
      <c r="X428">
        <v>108.20568927789934</v>
      </c>
      <c r="Y428">
        <v>1.0940919037199281</v>
      </c>
      <c r="Z428"/>
      <c r="AA428"/>
      <c r="AB428"/>
      <c r="AC428"/>
      <c r="AD428"/>
      <c r="AE428"/>
      <c r="AF428">
        <v>10.1</v>
      </c>
      <c r="AG428">
        <v>8.1999999999999993</v>
      </c>
    </row>
    <row r="429" spans="1:33" s="19" customFormat="1" hidden="1" x14ac:dyDescent="0.25">
      <c r="A429">
        <v>2025</v>
      </c>
      <c r="B429">
        <v>2</v>
      </c>
      <c r="C429" t="s">
        <v>32</v>
      </c>
      <c r="D429" t="s">
        <v>25</v>
      </c>
      <c r="E429">
        <v>7</v>
      </c>
      <c r="F429">
        <v>9</v>
      </c>
      <c r="G429">
        <v>4</v>
      </c>
      <c r="H429">
        <v>709</v>
      </c>
      <c r="I429" s="12">
        <v>45861</v>
      </c>
      <c r="J429">
        <v>203</v>
      </c>
      <c r="K429">
        <v>50</v>
      </c>
      <c r="L429" t="s">
        <v>26</v>
      </c>
      <c r="M429">
        <v>37000</v>
      </c>
      <c r="N429"/>
      <c r="O429"/>
      <c r="P429">
        <v>1.1780000000000001E-2</v>
      </c>
      <c r="Q429">
        <v>0.08</v>
      </c>
      <c r="R429">
        <v>1004.1575492341357</v>
      </c>
      <c r="S429">
        <v>1</v>
      </c>
      <c r="T429">
        <v>0.91400000000000003</v>
      </c>
      <c r="U429">
        <v>0.91400000000000003</v>
      </c>
      <c r="V429">
        <v>75.38293216630197</v>
      </c>
      <c r="W429"/>
      <c r="X429">
        <v>53.501094091903724</v>
      </c>
      <c r="Y429">
        <v>0</v>
      </c>
      <c r="Z429"/>
      <c r="AA429"/>
      <c r="AB429"/>
      <c r="AC429"/>
      <c r="AD429"/>
      <c r="AE429"/>
      <c r="AF429">
        <v>7.4</v>
      </c>
      <c r="AG429">
        <v>8.6</v>
      </c>
    </row>
    <row r="430" spans="1:33" s="19" customFormat="1" hidden="1" x14ac:dyDescent="0.25">
      <c r="A430">
        <v>2025</v>
      </c>
      <c r="B430">
        <v>2</v>
      </c>
      <c r="C430" t="s">
        <v>24</v>
      </c>
      <c r="D430" t="s">
        <v>25</v>
      </c>
      <c r="E430">
        <v>8</v>
      </c>
      <c r="F430">
        <v>11</v>
      </c>
      <c r="G430">
        <v>4</v>
      </c>
      <c r="H430">
        <v>802</v>
      </c>
      <c r="I430" s="12">
        <v>45861</v>
      </c>
      <c r="J430">
        <v>203</v>
      </c>
      <c r="K430">
        <v>50</v>
      </c>
      <c r="L430" t="s">
        <v>26</v>
      </c>
      <c r="M430">
        <v>37000</v>
      </c>
      <c r="N430"/>
      <c r="O430"/>
      <c r="P430">
        <v>3.7579999999999995E-2</v>
      </c>
      <c r="Q430">
        <v>0.13700000000000001</v>
      </c>
      <c r="R430">
        <v>1910.0656455142228</v>
      </c>
      <c r="S430">
        <v>1</v>
      </c>
      <c r="T430">
        <v>0.91400000000000003</v>
      </c>
      <c r="U430">
        <v>0.91400000000000003</v>
      </c>
      <c r="V430">
        <v>217.61487964989058</v>
      </c>
      <c r="W430"/>
      <c r="X430">
        <v>184.79212253829323</v>
      </c>
      <c r="Y430">
        <v>8.752735229759308</v>
      </c>
      <c r="Z430"/>
      <c r="AA430"/>
      <c r="AB430"/>
      <c r="AC430"/>
      <c r="AD430"/>
      <c r="AE430"/>
      <c r="AF430">
        <v>11.9</v>
      </c>
      <c r="AG430">
        <v>9.8000000000000007</v>
      </c>
    </row>
    <row r="431" spans="1:33" s="19" customFormat="1" hidden="1" x14ac:dyDescent="0.25">
      <c r="A431">
        <v>2025</v>
      </c>
      <c r="B431">
        <v>2</v>
      </c>
      <c r="C431" t="s">
        <v>29</v>
      </c>
      <c r="D431" t="s">
        <v>25</v>
      </c>
      <c r="E431">
        <v>8</v>
      </c>
      <c r="F431">
        <v>12</v>
      </c>
      <c r="G431">
        <v>4</v>
      </c>
      <c r="H431">
        <v>803</v>
      </c>
      <c r="I431" s="12">
        <v>45861</v>
      </c>
      <c r="J431">
        <v>203</v>
      </c>
      <c r="K431">
        <v>50</v>
      </c>
      <c r="L431" t="s">
        <v>26</v>
      </c>
      <c r="M431">
        <v>37000</v>
      </c>
      <c r="N431"/>
      <c r="O431"/>
      <c r="P431">
        <v>3.1080000000000003E-2</v>
      </c>
      <c r="Q431">
        <v>9.7000000000000003E-2</v>
      </c>
      <c r="R431">
        <v>1401.3129102844641</v>
      </c>
      <c r="S431">
        <v>1</v>
      </c>
      <c r="T431">
        <v>0.91400000000000003</v>
      </c>
      <c r="U431">
        <v>0.91400000000000003</v>
      </c>
      <c r="V431">
        <v>173.85120350109406</v>
      </c>
      <c r="W431"/>
      <c r="X431">
        <v>162.91028446389495</v>
      </c>
      <c r="Y431">
        <v>3.2822757111597451</v>
      </c>
      <c r="Z431"/>
      <c r="AA431"/>
      <c r="AB431"/>
      <c r="AC431"/>
      <c r="AD431"/>
      <c r="AE431"/>
      <c r="AF431">
        <v>12.86</v>
      </c>
      <c r="AG431">
        <v>9.8000000000000007</v>
      </c>
    </row>
    <row r="432" spans="1:33" s="19" customFormat="1" hidden="1" x14ac:dyDescent="0.25">
      <c r="A432">
        <v>2025</v>
      </c>
      <c r="B432">
        <v>2</v>
      </c>
      <c r="C432" t="s">
        <v>32</v>
      </c>
      <c r="D432" t="s">
        <v>25</v>
      </c>
      <c r="E432">
        <v>8</v>
      </c>
      <c r="F432">
        <v>13</v>
      </c>
      <c r="G432">
        <v>4</v>
      </c>
      <c r="H432">
        <v>804</v>
      </c>
      <c r="I432" s="12">
        <v>45861</v>
      </c>
      <c r="J432">
        <v>203</v>
      </c>
      <c r="K432">
        <v>50</v>
      </c>
      <c r="L432" t="s">
        <v>26</v>
      </c>
      <c r="M432">
        <v>37000</v>
      </c>
      <c r="N432"/>
      <c r="O432"/>
      <c r="P432">
        <v>1.1780000000000001E-2</v>
      </c>
      <c r="Q432">
        <v>0.104</v>
      </c>
      <c r="R432">
        <v>1266.7396061269144</v>
      </c>
      <c r="S432">
        <v>1</v>
      </c>
      <c r="T432">
        <v>0.91400000000000003</v>
      </c>
      <c r="U432">
        <v>0.91400000000000003</v>
      </c>
      <c r="V432">
        <v>64.442013129102847</v>
      </c>
      <c r="W432"/>
      <c r="X432">
        <v>64.442013129102847</v>
      </c>
      <c r="Y432">
        <v>0</v>
      </c>
      <c r="Z432"/>
      <c r="AA432"/>
      <c r="AB432"/>
      <c r="AC432"/>
      <c r="AD432"/>
      <c r="AE432"/>
      <c r="AF432">
        <v>8.1</v>
      </c>
      <c r="AG432">
        <v>8.1999999999999993</v>
      </c>
    </row>
    <row r="433" spans="1:33" s="19" customFormat="1" hidden="1" x14ac:dyDescent="0.25">
      <c r="A433">
        <v>2025</v>
      </c>
      <c r="B433">
        <v>2</v>
      </c>
      <c r="C433" t="s">
        <v>28</v>
      </c>
      <c r="D433" t="s">
        <v>25</v>
      </c>
      <c r="E433" s="49">
        <v>8</v>
      </c>
      <c r="F433">
        <v>14</v>
      </c>
      <c r="G433" s="49">
        <v>4</v>
      </c>
      <c r="H433">
        <v>805</v>
      </c>
      <c r="I433" s="12">
        <v>45861</v>
      </c>
      <c r="J433">
        <v>203</v>
      </c>
      <c r="K433">
        <v>50</v>
      </c>
      <c r="L433" t="s">
        <v>26</v>
      </c>
      <c r="M433">
        <v>37000</v>
      </c>
      <c r="N433"/>
      <c r="O433"/>
      <c r="P433">
        <v>3.9480000000000001E-2</v>
      </c>
      <c r="Q433">
        <v>5.7000000000000002E-2</v>
      </c>
      <c r="R433">
        <v>1055.5798687089714</v>
      </c>
      <c r="S433">
        <v>1</v>
      </c>
      <c r="T433" s="49">
        <v>0.91400000000000003</v>
      </c>
      <c r="U433" s="49">
        <v>0.91400000000000003</v>
      </c>
      <c r="V433">
        <v>228.55579868708969</v>
      </c>
      <c r="W433"/>
      <c r="X433">
        <v>195.73304157549234</v>
      </c>
      <c r="Y433">
        <v>7.6586433260393791</v>
      </c>
      <c r="Z433"/>
      <c r="AA433"/>
      <c r="AB433"/>
      <c r="AC433"/>
      <c r="AD433"/>
      <c r="AE433"/>
      <c r="AF433">
        <v>10.8</v>
      </c>
      <c r="AG433">
        <v>10.199999999999999</v>
      </c>
    </row>
    <row r="434" spans="1:33" hidden="1" x14ac:dyDescent="0.25">
      <c r="A434" s="15">
        <v>2025</v>
      </c>
      <c r="B434" s="15">
        <v>3</v>
      </c>
      <c r="C434" s="15" t="s">
        <v>24</v>
      </c>
      <c r="D434" s="15" t="s">
        <v>38</v>
      </c>
      <c r="E434">
        <v>1</v>
      </c>
      <c r="F434">
        <v>1</v>
      </c>
      <c r="G434">
        <v>1</v>
      </c>
      <c r="H434" s="15">
        <v>101</v>
      </c>
      <c r="I434" s="14">
        <v>45872</v>
      </c>
      <c r="J434" s="15">
        <v>214</v>
      </c>
      <c r="K434" s="15">
        <v>61</v>
      </c>
      <c r="L434" s="15" t="s">
        <v>26</v>
      </c>
      <c r="M434" s="15">
        <v>37000</v>
      </c>
      <c r="N434" s="15"/>
      <c r="O434" s="15"/>
      <c r="P434" s="15">
        <v>0.03</v>
      </c>
      <c r="Q434" s="15">
        <v>0.186</v>
      </c>
      <c r="R434" s="15">
        <v>3629.6498905908093</v>
      </c>
      <c r="S434" s="15">
        <v>1</v>
      </c>
      <c r="T434" s="15">
        <v>0.91400000000000003</v>
      </c>
      <c r="U434" s="15">
        <v>0.91400000000000003</v>
      </c>
      <c r="V434" s="15">
        <v>142.23194748358861</v>
      </c>
      <c r="X434" s="15">
        <v>175.054704595186</v>
      </c>
      <c r="Y434" s="15">
        <v>10.940919037199125</v>
      </c>
      <c r="Z434" s="15"/>
      <c r="AA434" s="15"/>
      <c r="AB434" s="15"/>
      <c r="AC434" s="15"/>
      <c r="AD434" s="15"/>
      <c r="AE434" s="15"/>
      <c r="AF434" s="15">
        <v>15.8</v>
      </c>
      <c r="AG434" s="15">
        <v>9.6</v>
      </c>
    </row>
    <row r="435" spans="1:33" hidden="1" x14ac:dyDescent="0.25">
      <c r="A435">
        <v>2025</v>
      </c>
      <c r="B435">
        <v>3</v>
      </c>
      <c r="C435" t="s">
        <v>29</v>
      </c>
      <c r="D435" t="s">
        <v>38</v>
      </c>
      <c r="E435">
        <v>1</v>
      </c>
      <c r="F435">
        <v>5</v>
      </c>
      <c r="G435">
        <v>1</v>
      </c>
      <c r="H435">
        <v>105</v>
      </c>
      <c r="I435" s="12">
        <v>45872</v>
      </c>
      <c r="J435">
        <v>214</v>
      </c>
      <c r="K435">
        <v>61</v>
      </c>
      <c r="L435" t="s">
        <v>26</v>
      </c>
      <c r="M435">
        <v>37000</v>
      </c>
      <c r="P435">
        <v>6.9000000000000006E-2</v>
      </c>
      <c r="Q435">
        <v>0.15</v>
      </c>
      <c r="R435">
        <v>4019.0919037199119</v>
      </c>
      <c r="S435">
        <v>1</v>
      </c>
      <c r="T435" s="15">
        <v>0.91400000000000003</v>
      </c>
      <c r="U435" s="15">
        <v>0.91400000000000003</v>
      </c>
      <c r="V435">
        <v>295.40481400437636</v>
      </c>
      <c r="X435">
        <v>448.57768052516411</v>
      </c>
      <c r="Y435">
        <v>10.940919037199125</v>
      </c>
      <c r="AF435">
        <v>25.2</v>
      </c>
      <c r="AG435">
        <v>12.4</v>
      </c>
    </row>
    <row r="436" spans="1:33" hidden="1" x14ac:dyDescent="0.25">
      <c r="A436">
        <v>2025</v>
      </c>
      <c r="B436">
        <v>3</v>
      </c>
      <c r="C436" t="s">
        <v>28</v>
      </c>
      <c r="D436" t="s">
        <v>38</v>
      </c>
      <c r="E436">
        <v>1</v>
      </c>
      <c r="F436">
        <v>7</v>
      </c>
      <c r="G436">
        <v>1</v>
      </c>
      <c r="H436">
        <v>107</v>
      </c>
      <c r="I436" s="12">
        <v>45872</v>
      </c>
      <c r="J436">
        <v>214</v>
      </c>
      <c r="K436">
        <v>61</v>
      </c>
      <c r="L436" t="s">
        <v>26</v>
      </c>
      <c r="M436">
        <v>37000</v>
      </c>
      <c r="P436">
        <v>6.6000000000000003E-2</v>
      </c>
      <c r="Q436">
        <v>0.19500000000000001</v>
      </c>
      <c r="R436">
        <v>3619.748358862144</v>
      </c>
      <c r="S436">
        <v>1</v>
      </c>
      <c r="T436" s="15">
        <v>0.91400000000000003</v>
      </c>
      <c r="U436" s="15">
        <v>0.91400000000000003</v>
      </c>
      <c r="V436">
        <v>306.34573304157544</v>
      </c>
      <c r="X436">
        <v>404.81400437636762</v>
      </c>
      <c r="Y436">
        <v>10.940919037199125</v>
      </c>
      <c r="AF436">
        <v>21.3</v>
      </c>
      <c r="AG436">
        <v>12.6</v>
      </c>
    </row>
    <row r="437" spans="1:33" hidden="1" x14ac:dyDescent="0.25">
      <c r="A437">
        <v>2025</v>
      </c>
      <c r="B437">
        <v>3</v>
      </c>
      <c r="C437" t="s">
        <v>32</v>
      </c>
      <c r="D437" t="s">
        <v>38</v>
      </c>
      <c r="E437">
        <v>1</v>
      </c>
      <c r="F437">
        <v>9</v>
      </c>
      <c r="G437">
        <v>1</v>
      </c>
      <c r="H437">
        <v>109</v>
      </c>
      <c r="I437" s="12">
        <v>45872</v>
      </c>
      <c r="J437">
        <v>214</v>
      </c>
      <c r="K437">
        <v>61</v>
      </c>
      <c r="L437" t="s">
        <v>26</v>
      </c>
      <c r="M437">
        <v>37000</v>
      </c>
      <c r="P437">
        <v>2.7E-2</v>
      </c>
      <c r="Q437">
        <v>0.11600000000000001</v>
      </c>
      <c r="R437">
        <v>2266.3566739606131</v>
      </c>
      <c r="S437">
        <v>1</v>
      </c>
      <c r="T437" s="15">
        <v>0.91400000000000003</v>
      </c>
      <c r="U437" s="15">
        <v>0.91400000000000003</v>
      </c>
      <c r="V437">
        <v>120.35010940919037</v>
      </c>
      <c r="X437">
        <v>164.11378555798689</v>
      </c>
      <c r="Y437">
        <v>10.940919037199125</v>
      </c>
      <c r="AF437">
        <v>14.1</v>
      </c>
      <c r="AG437">
        <v>10.199999999999999</v>
      </c>
    </row>
    <row r="438" spans="1:33" hidden="1" x14ac:dyDescent="0.25">
      <c r="A438">
        <v>2025</v>
      </c>
      <c r="B438">
        <v>3</v>
      </c>
      <c r="C438" t="s">
        <v>29</v>
      </c>
      <c r="D438" t="s">
        <v>38</v>
      </c>
      <c r="E438">
        <v>3</v>
      </c>
      <c r="F438">
        <v>4</v>
      </c>
      <c r="G438">
        <v>2</v>
      </c>
      <c r="H438">
        <v>304</v>
      </c>
      <c r="I438" s="12">
        <v>45872</v>
      </c>
      <c r="J438">
        <v>214</v>
      </c>
      <c r="K438">
        <v>61</v>
      </c>
      <c r="L438" t="s">
        <v>26</v>
      </c>
      <c r="M438">
        <v>37000</v>
      </c>
      <c r="P438">
        <v>6.5000000000000002E-2</v>
      </c>
      <c r="Q438">
        <v>0.154</v>
      </c>
      <c r="R438">
        <v>2952.3522975929973</v>
      </c>
      <c r="S438">
        <v>1</v>
      </c>
      <c r="T438" s="15">
        <v>0.91400000000000003</v>
      </c>
      <c r="U438" s="15">
        <v>0.91400000000000003</v>
      </c>
      <c r="V438">
        <v>284.46389496717723</v>
      </c>
      <c r="X438">
        <v>415.7549234135667</v>
      </c>
      <c r="Y438">
        <v>10.940919037199125</v>
      </c>
      <c r="AF438">
        <v>21.4</v>
      </c>
      <c r="AG438">
        <v>11.2</v>
      </c>
    </row>
    <row r="439" spans="1:33" hidden="1" x14ac:dyDescent="0.25">
      <c r="A439">
        <v>2025</v>
      </c>
      <c r="B439">
        <v>3</v>
      </c>
      <c r="C439" t="s">
        <v>24</v>
      </c>
      <c r="D439" t="s">
        <v>38</v>
      </c>
      <c r="E439">
        <v>3</v>
      </c>
      <c r="F439">
        <v>6</v>
      </c>
      <c r="G439">
        <v>2</v>
      </c>
      <c r="H439">
        <v>306</v>
      </c>
      <c r="I439" s="12">
        <v>45872</v>
      </c>
      <c r="J439">
        <v>214</v>
      </c>
      <c r="K439">
        <v>61</v>
      </c>
      <c r="L439" t="s">
        <v>26</v>
      </c>
      <c r="M439">
        <v>37000</v>
      </c>
      <c r="P439">
        <v>0.113</v>
      </c>
      <c r="Q439">
        <v>0.22500000000000001</v>
      </c>
      <c r="R439">
        <v>3717.1772428884024</v>
      </c>
      <c r="S439">
        <v>1</v>
      </c>
      <c r="T439" s="15">
        <v>0.91400000000000003</v>
      </c>
      <c r="U439" s="15">
        <v>0.91400000000000003</v>
      </c>
      <c r="V439">
        <v>503.28227571115974</v>
      </c>
      <c r="X439">
        <v>700.21881838074398</v>
      </c>
      <c r="Y439">
        <v>32.822757111597369</v>
      </c>
      <c r="AF439">
        <v>22.8</v>
      </c>
      <c r="AG439">
        <v>13.8</v>
      </c>
    </row>
    <row r="440" spans="1:33" hidden="1" x14ac:dyDescent="0.25">
      <c r="A440">
        <v>2025</v>
      </c>
      <c r="B440">
        <v>3</v>
      </c>
      <c r="C440" t="s">
        <v>28</v>
      </c>
      <c r="D440" t="s">
        <v>38</v>
      </c>
      <c r="E440">
        <v>3</v>
      </c>
      <c r="F440">
        <v>8</v>
      </c>
      <c r="G440">
        <v>2</v>
      </c>
      <c r="H440">
        <v>308</v>
      </c>
      <c r="I440" s="12">
        <v>45872</v>
      </c>
      <c r="J440">
        <v>214</v>
      </c>
      <c r="K440">
        <v>61</v>
      </c>
      <c r="L440" t="s">
        <v>26</v>
      </c>
      <c r="M440">
        <v>37000</v>
      </c>
      <c r="P440">
        <v>5.6000000000000001E-2</v>
      </c>
      <c r="Q440">
        <v>0.20300000000000001</v>
      </c>
      <c r="R440">
        <v>3810.1750547045949</v>
      </c>
      <c r="S440">
        <v>1</v>
      </c>
      <c r="T440" s="15">
        <v>0.91400000000000003</v>
      </c>
      <c r="U440" s="15">
        <v>0.91400000000000003</v>
      </c>
      <c r="V440">
        <v>273.52297592997814</v>
      </c>
      <c r="X440">
        <v>328.22757111597377</v>
      </c>
      <c r="Y440">
        <v>10.940919037199125</v>
      </c>
      <c r="AF440">
        <v>22.3</v>
      </c>
      <c r="AG440">
        <v>13.4</v>
      </c>
    </row>
    <row r="441" spans="1:33" hidden="1" x14ac:dyDescent="0.25">
      <c r="A441">
        <v>2025</v>
      </c>
      <c r="B441">
        <v>3</v>
      </c>
      <c r="C441" t="s">
        <v>32</v>
      </c>
      <c r="D441" t="s">
        <v>38</v>
      </c>
      <c r="E441">
        <v>3</v>
      </c>
      <c r="F441">
        <v>9</v>
      </c>
      <c r="G441">
        <v>2</v>
      </c>
      <c r="H441">
        <v>309</v>
      </c>
      <c r="I441" s="12">
        <v>45872</v>
      </c>
      <c r="J441">
        <v>214</v>
      </c>
      <c r="K441">
        <v>61</v>
      </c>
      <c r="L441" t="s">
        <v>26</v>
      </c>
      <c r="M441">
        <v>37000</v>
      </c>
      <c r="P441">
        <v>7.3999999999999996E-2</v>
      </c>
      <c r="Q441">
        <v>0.14899999999999999</v>
      </c>
      <c r="R441">
        <v>3420.6236323851203</v>
      </c>
      <c r="S441">
        <v>1</v>
      </c>
      <c r="T441" s="15">
        <v>0.91400000000000003</v>
      </c>
      <c r="U441" s="15">
        <v>0.91400000000000003</v>
      </c>
      <c r="V441">
        <v>361.05032822757107</v>
      </c>
      <c r="X441">
        <v>437.63676148796498</v>
      </c>
      <c r="Y441">
        <v>10.940919037199125</v>
      </c>
      <c r="AF441">
        <v>18</v>
      </c>
      <c r="AG441">
        <v>12.4</v>
      </c>
    </row>
    <row r="442" spans="1:33" hidden="1" x14ac:dyDescent="0.25">
      <c r="A442">
        <v>2025</v>
      </c>
      <c r="B442">
        <v>3</v>
      </c>
      <c r="C442" t="s">
        <v>24</v>
      </c>
      <c r="D442" t="s">
        <v>38</v>
      </c>
      <c r="E442">
        <v>4</v>
      </c>
      <c r="F442">
        <v>11</v>
      </c>
      <c r="G442">
        <v>2</v>
      </c>
      <c r="H442">
        <v>402</v>
      </c>
      <c r="I442" s="12">
        <v>45872</v>
      </c>
      <c r="J442">
        <v>214</v>
      </c>
      <c r="K442">
        <v>61</v>
      </c>
      <c r="L442" t="s">
        <v>26</v>
      </c>
      <c r="M442">
        <v>37000</v>
      </c>
      <c r="P442">
        <v>5.6000000000000001E-2</v>
      </c>
      <c r="Q442">
        <v>0.17</v>
      </c>
      <c r="R442">
        <v>3707.2757111597375</v>
      </c>
      <c r="S442">
        <v>1</v>
      </c>
      <c r="T442" s="15">
        <v>0.91400000000000003</v>
      </c>
      <c r="U442" s="15">
        <v>0.91400000000000003</v>
      </c>
      <c r="V442">
        <v>273.52297592997814</v>
      </c>
      <c r="X442">
        <v>317.28665207877458</v>
      </c>
      <c r="Y442">
        <v>21.881838074398249</v>
      </c>
      <c r="AF442">
        <v>16.5</v>
      </c>
      <c r="AG442">
        <v>13.2</v>
      </c>
    </row>
    <row r="443" spans="1:33" hidden="1" x14ac:dyDescent="0.25">
      <c r="A443">
        <v>2025</v>
      </c>
      <c r="B443">
        <v>3</v>
      </c>
      <c r="C443" t="s">
        <v>29</v>
      </c>
      <c r="D443" t="s">
        <v>38</v>
      </c>
      <c r="E443">
        <v>4</v>
      </c>
      <c r="F443">
        <v>12</v>
      </c>
      <c r="G443">
        <v>2</v>
      </c>
      <c r="H443">
        <v>403</v>
      </c>
      <c r="I443" s="12">
        <v>45872</v>
      </c>
      <c r="J443">
        <v>214</v>
      </c>
      <c r="K443">
        <v>61</v>
      </c>
      <c r="L443" t="s">
        <v>26</v>
      </c>
      <c r="M443">
        <v>37000</v>
      </c>
      <c r="P443">
        <v>7.3999999999999996E-2</v>
      </c>
      <c r="Q443">
        <v>0.16</v>
      </c>
      <c r="R443">
        <v>3586.9256017505468</v>
      </c>
      <c r="S443">
        <v>1</v>
      </c>
      <c r="T443" s="15">
        <v>0.91400000000000003</v>
      </c>
      <c r="U443" s="15">
        <v>0.91400000000000003</v>
      </c>
      <c r="V443">
        <v>328.22757111597377</v>
      </c>
      <c r="X443">
        <v>459.51859956236325</v>
      </c>
      <c r="Y443">
        <v>21.881838074398249</v>
      </c>
      <c r="AF443">
        <v>23.3</v>
      </c>
      <c r="AG443">
        <v>12.6</v>
      </c>
    </row>
    <row r="444" spans="1:33" hidden="1" x14ac:dyDescent="0.25">
      <c r="A444">
        <v>2025</v>
      </c>
      <c r="B444">
        <v>3</v>
      </c>
      <c r="C444" t="s">
        <v>32</v>
      </c>
      <c r="D444" t="s">
        <v>38</v>
      </c>
      <c r="E444">
        <v>4</v>
      </c>
      <c r="F444">
        <v>13</v>
      </c>
      <c r="G444">
        <v>2</v>
      </c>
      <c r="H444">
        <v>404</v>
      </c>
      <c r="I444" s="12">
        <v>45872</v>
      </c>
      <c r="J444">
        <v>214</v>
      </c>
      <c r="K444">
        <v>61</v>
      </c>
      <c r="L444" t="s">
        <v>26</v>
      </c>
      <c r="M444">
        <v>37000</v>
      </c>
      <c r="P444">
        <v>7.4999999999999997E-2</v>
      </c>
      <c r="Q444">
        <v>0.127</v>
      </c>
      <c r="R444">
        <v>3153.7199124726476</v>
      </c>
      <c r="S444">
        <v>1</v>
      </c>
      <c r="T444" s="15">
        <v>0.91400000000000003</v>
      </c>
      <c r="U444" s="15">
        <v>0.91400000000000003</v>
      </c>
      <c r="V444">
        <v>371.99124726477021</v>
      </c>
      <c r="X444">
        <v>426.69584245076584</v>
      </c>
      <c r="Y444">
        <v>21.881838074398249</v>
      </c>
      <c r="AF444">
        <v>17.66</v>
      </c>
      <c r="AG444">
        <v>13.8</v>
      </c>
    </row>
    <row r="445" spans="1:33" hidden="1" x14ac:dyDescent="0.25">
      <c r="A445">
        <v>2025</v>
      </c>
      <c r="B445">
        <v>3</v>
      </c>
      <c r="C445" t="s">
        <v>28</v>
      </c>
      <c r="D445" t="s">
        <v>38</v>
      </c>
      <c r="E445">
        <v>4</v>
      </c>
      <c r="F445">
        <v>14</v>
      </c>
      <c r="G445">
        <v>2</v>
      </c>
      <c r="H445">
        <v>405</v>
      </c>
      <c r="I445" s="12">
        <v>45872</v>
      </c>
      <c r="J445">
        <v>214</v>
      </c>
      <c r="K445">
        <v>61</v>
      </c>
      <c r="L445" t="s">
        <v>26</v>
      </c>
      <c r="M445">
        <v>37000</v>
      </c>
      <c r="P445">
        <v>4.5999999999999999E-2</v>
      </c>
      <c r="Q445">
        <v>0.19900000000000001</v>
      </c>
      <c r="R445">
        <v>4290.4266958424505</v>
      </c>
      <c r="S445">
        <v>1</v>
      </c>
      <c r="T445" s="15">
        <v>0.91400000000000003</v>
      </c>
      <c r="U445" s="15">
        <v>0.91400000000000003</v>
      </c>
      <c r="V445">
        <v>207.87746170678335</v>
      </c>
      <c r="X445">
        <v>284.46389496717723</v>
      </c>
      <c r="Y445">
        <v>10.940919037199125</v>
      </c>
      <c r="AF445">
        <v>20.399999999999999</v>
      </c>
      <c r="AG445">
        <v>12.6</v>
      </c>
    </row>
    <row r="446" spans="1:33" hidden="1" x14ac:dyDescent="0.25">
      <c r="A446">
        <v>2025</v>
      </c>
      <c r="B446">
        <v>3</v>
      </c>
      <c r="C446" t="s">
        <v>24</v>
      </c>
      <c r="D446" t="s">
        <v>25</v>
      </c>
      <c r="E446">
        <v>5</v>
      </c>
      <c r="F446">
        <v>1</v>
      </c>
      <c r="G446">
        <v>3</v>
      </c>
      <c r="H446">
        <v>501</v>
      </c>
      <c r="I446" s="12">
        <v>45872</v>
      </c>
      <c r="J446">
        <v>214</v>
      </c>
      <c r="K446">
        <v>61</v>
      </c>
      <c r="L446" t="s">
        <v>26</v>
      </c>
      <c r="M446">
        <v>37000</v>
      </c>
      <c r="P446">
        <v>0.104</v>
      </c>
      <c r="Q446">
        <v>0.26300000000000001</v>
      </c>
      <c r="R446">
        <v>3667.9431072210064</v>
      </c>
      <c r="S446">
        <v>1</v>
      </c>
      <c r="T446" s="15">
        <v>0.91400000000000003</v>
      </c>
      <c r="U446" s="15">
        <v>0.91400000000000003</v>
      </c>
      <c r="V446">
        <v>481.40043763676147</v>
      </c>
      <c r="X446">
        <v>601.75054704595186</v>
      </c>
      <c r="Y446">
        <v>54.704595185995622</v>
      </c>
      <c r="AF446">
        <v>19.7</v>
      </c>
      <c r="AG446">
        <v>14.4</v>
      </c>
    </row>
    <row r="447" spans="1:33" hidden="1" x14ac:dyDescent="0.25">
      <c r="A447">
        <v>2025</v>
      </c>
      <c r="B447">
        <v>3</v>
      </c>
      <c r="C447" t="s">
        <v>29</v>
      </c>
      <c r="D447" t="s">
        <v>25</v>
      </c>
      <c r="E447">
        <v>5</v>
      </c>
      <c r="F447">
        <v>5</v>
      </c>
      <c r="G447">
        <v>3</v>
      </c>
      <c r="H447">
        <v>505</v>
      </c>
      <c r="I447" s="12">
        <v>45872</v>
      </c>
      <c r="J447">
        <v>214</v>
      </c>
      <c r="K447">
        <v>61</v>
      </c>
      <c r="L447" t="s">
        <v>26</v>
      </c>
      <c r="M447">
        <v>37000</v>
      </c>
      <c r="P447">
        <v>4.8000000000000001E-2</v>
      </c>
      <c r="Q447">
        <v>0.16500000000000001</v>
      </c>
      <c r="R447">
        <v>2988.4573304157548</v>
      </c>
      <c r="S447">
        <v>1</v>
      </c>
      <c r="T447" s="15">
        <v>0.91400000000000003</v>
      </c>
      <c r="U447" s="15">
        <v>0.91400000000000003</v>
      </c>
      <c r="V447">
        <v>240.70021881838073</v>
      </c>
      <c r="X447">
        <v>262.58205689277895</v>
      </c>
      <c r="Y447">
        <v>21.881838074398249</v>
      </c>
      <c r="AF447">
        <v>19.399999999999999</v>
      </c>
      <c r="AG447">
        <v>12.6</v>
      </c>
    </row>
    <row r="448" spans="1:33" hidden="1" x14ac:dyDescent="0.25">
      <c r="A448">
        <v>2025</v>
      </c>
      <c r="B448">
        <v>3</v>
      </c>
      <c r="C448" t="s">
        <v>28</v>
      </c>
      <c r="D448" t="s">
        <v>25</v>
      </c>
      <c r="E448">
        <v>5</v>
      </c>
      <c r="F448">
        <v>7</v>
      </c>
      <c r="G448">
        <v>3</v>
      </c>
      <c r="H448">
        <v>507</v>
      </c>
      <c r="I448" s="12">
        <v>45872</v>
      </c>
      <c r="J448">
        <v>214</v>
      </c>
      <c r="K448">
        <v>61</v>
      </c>
      <c r="L448" t="s">
        <v>26</v>
      </c>
      <c r="M448">
        <v>37000</v>
      </c>
      <c r="P448">
        <v>5.3999999999999999E-2</v>
      </c>
      <c r="Q448">
        <v>0.17</v>
      </c>
      <c r="R448">
        <v>2249.9452954048138</v>
      </c>
      <c r="S448">
        <v>1</v>
      </c>
      <c r="T448" s="15">
        <v>0.91400000000000003</v>
      </c>
      <c r="U448" s="15">
        <v>0.91400000000000003</v>
      </c>
      <c r="V448">
        <v>262.58205689277895</v>
      </c>
      <c r="X448">
        <v>317.28665207877458</v>
      </c>
      <c r="Y448">
        <v>10.940919037199125</v>
      </c>
      <c r="AF448">
        <v>18.399999999999999</v>
      </c>
      <c r="AG448">
        <v>12.6</v>
      </c>
    </row>
    <row r="449" spans="1:33" hidden="1" x14ac:dyDescent="0.25">
      <c r="A449">
        <v>2025</v>
      </c>
      <c r="B449">
        <v>3</v>
      </c>
      <c r="C449" t="s">
        <v>32</v>
      </c>
      <c r="D449" t="s">
        <v>25</v>
      </c>
      <c r="E449">
        <v>5</v>
      </c>
      <c r="F449">
        <v>9</v>
      </c>
      <c r="G449">
        <v>3</v>
      </c>
      <c r="H449">
        <v>509</v>
      </c>
      <c r="I449" s="12">
        <v>45872</v>
      </c>
      <c r="J449">
        <v>214</v>
      </c>
      <c r="K449">
        <v>61</v>
      </c>
      <c r="L449" t="s">
        <v>26</v>
      </c>
      <c r="M449">
        <v>37000</v>
      </c>
      <c r="P449">
        <v>4.2000000000000003E-2</v>
      </c>
      <c r="Q449">
        <v>0.17</v>
      </c>
      <c r="R449">
        <v>3307.9321663019691</v>
      </c>
      <c r="S449">
        <v>1</v>
      </c>
      <c r="T449" s="15">
        <v>0.91400000000000003</v>
      </c>
      <c r="U449" s="15">
        <v>0.91400000000000003</v>
      </c>
      <c r="V449">
        <v>218.81838074398249</v>
      </c>
      <c r="X449">
        <v>229.75929978118162</v>
      </c>
      <c r="Y449">
        <v>10.940919037199125</v>
      </c>
      <c r="AF449">
        <v>15</v>
      </c>
      <c r="AG449">
        <v>11.6</v>
      </c>
    </row>
    <row r="450" spans="1:33" hidden="1" x14ac:dyDescent="0.25">
      <c r="A450">
        <v>2025</v>
      </c>
      <c r="B450">
        <v>3</v>
      </c>
      <c r="C450" t="s">
        <v>29</v>
      </c>
      <c r="D450" t="s">
        <v>25</v>
      </c>
      <c r="E450">
        <v>7</v>
      </c>
      <c r="F450">
        <v>4</v>
      </c>
      <c r="G450">
        <v>4</v>
      </c>
      <c r="H450">
        <v>704</v>
      </c>
      <c r="I450" s="12">
        <v>45872</v>
      </c>
      <c r="J450">
        <v>214</v>
      </c>
      <c r="K450">
        <v>61</v>
      </c>
      <c r="L450" t="s">
        <v>26</v>
      </c>
      <c r="M450">
        <v>37000</v>
      </c>
      <c r="P450">
        <v>7.3999999999999996E-2</v>
      </c>
      <c r="Q450">
        <v>0.23499999999999999</v>
      </c>
      <c r="R450">
        <v>5102.2428884026258</v>
      </c>
      <c r="S450">
        <v>1</v>
      </c>
      <c r="T450" s="15">
        <v>0.91400000000000003</v>
      </c>
      <c r="U450" s="15">
        <v>0.91400000000000003</v>
      </c>
      <c r="V450">
        <v>306.34573304157544</v>
      </c>
      <c r="X450">
        <v>492.34135667396055</v>
      </c>
      <c r="Y450">
        <v>10.940919037199125</v>
      </c>
      <c r="AF450">
        <v>24.7</v>
      </c>
      <c r="AG450">
        <v>12.4</v>
      </c>
    </row>
    <row r="451" spans="1:33" hidden="1" x14ac:dyDescent="0.25">
      <c r="A451">
        <v>2025</v>
      </c>
      <c r="B451">
        <v>3</v>
      </c>
      <c r="C451" t="s">
        <v>24</v>
      </c>
      <c r="D451" t="s">
        <v>25</v>
      </c>
      <c r="E451">
        <v>7</v>
      </c>
      <c r="F451">
        <v>6</v>
      </c>
      <c r="G451">
        <v>4</v>
      </c>
      <c r="H451">
        <v>706</v>
      </c>
      <c r="I451" s="12">
        <v>45872</v>
      </c>
      <c r="J451">
        <v>214</v>
      </c>
      <c r="K451">
        <v>61</v>
      </c>
      <c r="L451" t="s">
        <v>26</v>
      </c>
      <c r="M451">
        <v>37000</v>
      </c>
      <c r="P451">
        <v>3.5999999999999997E-2</v>
      </c>
      <c r="Q451">
        <v>0.16200000000000001</v>
      </c>
      <c r="R451">
        <v>3782.8227571115972</v>
      </c>
      <c r="S451">
        <v>1</v>
      </c>
      <c r="T451" s="15">
        <v>0.91400000000000003</v>
      </c>
      <c r="U451" s="15">
        <v>0.91400000000000003</v>
      </c>
      <c r="V451">
        <v>185.9956236323851</v>
      </c>
      <c r="X451">
        <v>196.93654266958424</v>
      </c>
      <c r="Y451">
        <v>10.940919037199125</v>
      </c>
      <c r="AF451">
        <v>16.7</v>
      </c>
      <c r="AG451">
        <v>10.8</v>
      </c>
    </row>
    <row r="452" spans="1:33" hidden="1" x14ac:dyDescent="0.25">
      <c r="A452">
        <v>2025</v>
      </c>
      <c r="B452">
        <v>3</v>
      </c>
      <c r="C452" t="s">
        <v>28</v>
      </c>
      <c r="D452" t="s">
        <v>25</v>
      </c>
      <c r="E452">
        <v>7</v>
      </c>
      <c r="F452">
        <v>8</v>
      </c>
      <c r="G452">
        <v>4</v>
      </c>
      <c r="H452">
        <v>708</v>
      </c>
      <c r="I452" s="12">
        <v>45872</v>
      </c>
      <c r="J452">
        <v>214</v>
      </c>
      <c r="K452">
        <v>61</v>
      </c>
      <c r="L452" t="s">
        <v>26</v>
      </c>
      <c r="M452">
        <v>37000</v>
      </c>
      <c r="P452">
        <v>6.6000000000000003E-2</v>
      </c>
      <c r="Q452">
        <v>0.14099999999999999</v>
      </c>
      <c r="R452">
        <v>4806.8380743982489</v>
      </c>
      <c r="S452">
        <v>1</v>
      </c>
      <c r="T452" s="15">
        <v>0.91400000000000003</v>
      </c>
      <c r="U452" s="15">
        <v>0.91400000000000003</v>
      </c>
      <c r="V452">
        <v>317.28665207877458</v>
      </c>
      <c r="X452">
        <v>393.87308533916848</v>
      </c>
      <c r="Y452">
        <v>10.940919037199125</v>
      </c>
      <c r="AF452">
        <v>17.600000000000001</v>
      </c>
      <c r="AG452">
        <v>11.8</v>
      </c>
    </row>
    <row r="453" spans="1:33" hidden="1" x14ac:dyDescent="0.25">
      <c r="A453">
        <v>2025</v>
      </c>
      <c r="B453">
        <v>3</v>
      </c>
      <c r="C453" t="s">
        <v>32</v>
      </c>
      <c r="D453" t="s">
        <v>25</v>
      </c>
      <c r="E453">
        <v>7</v>
      </c>
      <c r="F453">
        <v>9</v>
      </c>
      <c r="G453">
        <v>4</v>
      </c>
      <c r="H453">
        <v>709</v>
      </c>
      <c r="I453" s="12">
        <v>45872</v>
      </c>
      <c r="J453">
        <v>214</v>
      </c>
      <c r="K453">
        <v>61</v>
      </c>
      <c r="L453" t="s">
        <v>26</v>
      </c>
      <c r="M453">
        <v>37000</v>
      </c>
      <c r="P453">
        <v>3.5999999999999997E-2</v>
      </c>
      <c r="Q453">
        <v>0.105</v>
      </c>
      <c r="R453">
        <v>4160.2844638949664</v>
      </c>
      <c r="S453">
        <v>1</v>
      </c>
      <c r="T453" s="15">
        <v>0.91400000000000003</v>
      </c>
      <c r="U453" s="15">
        <v>0.91400000000000003</v>
      </c>
      <c r="V453">
        <v>207.87746170678335</v>
      </c>
      <c r="X453">
        <v>175.054704595186</v>
      </c>
      <c r="Y453">
        <v>10.940919037199125</v>
      </c>
      <c r="AF453">
        <v>13.5</v>
      </c>
      <c r="AG453">
        <v>11</v>
      </c>
    </row>
    <row r="454" spans="1:33" hidden="1" x14ac:dyDescent="0.25">
      <c r="A454">
        <v>2025</v>
      </c>
      <c r="B454">
        <v>3</v>
      </c>
      <c r="C454" t="s">
        <v>24</v>
      </c>
      <c r="D454" t="s">
        <v>25</v>
      </c>
      <c r="E454">
        <v>8</v>
      </c>
      <c r="F454">
        <v>11</v>
      </c>
      <c r="G454">
        <v>4</v>
      </c>
      <c r="H454">
        <v>802</v>
      </c>
      <c r="I454" s="12">
        <v>45872</v>
      </c>
      <c r="J454">
        <v>214</v>
      </c>
      <c r="K454">
        <v>61</v>
      </c>
      <c r="L454" t="s">
        <v>26</v>
      </c>
      <c r="M454">
        <v>37000</v>
      </c>
      <c r="P454">
        <v>3.9E-2</v>
      </c>
      <c r="Q454">
        <v>0.13900000000000001</v>
      </c>
      <c r="R454">
        <v>8057.9321663019691</v>
      </c>
      <c r="S454">
        <v>1</v>
      </c>
      <c r="T454" s="15">
        <v>0.91400000000000003</v>
      </c>
      <c r="U454" s="15">
        <v>0.91400000000000003</v>
      </c>
      <c r="V454">
        <v>218.81838074398249</v>
      </c>
      <c r="X454">
        <v>185.9956236323851</v>
      </c>
      <c r="Y454">
        <v>21.881838074398249</v>
      </c>
      <c r="AF454">
        <v>13.1</v>
      </c>
      <c r="AG454">
        <v>10.8</v>
      </c>
    </row>
    <row r="455" spans="1:33" hidden="1" x14ac:dyDescent="0.25">
      <c r="A455">
        <v>2025</v>
      </c>
      <c r="B455">
        <v>3</v>
      </c>
      <c r="C455" t="s">
        <v>29</v>
      </c>
      <c r="D455" t="s">
        <v>25</v>
      </c>
      <c r="E455">
        <v>8</v>
      </c>
      <c r="F455">
        <v>12</v>
      </c>
      <c r="G455">
        <v>4</v>
      </c>
      <c r="H455">
        <v>803</v>
      </c>
      <c r="I455" s="12">
        <v>45872</v>
      </c>
      <c r="J455">
        <v>214</v>
      </c>
      <c r="K455">
        <v>61</v>
      </c>
      <c r="L455" t="s">
        <v>26</v>
      </c>
      <c r="M455">
        <v>37000</v>
      </c>
      <c r="P455">
        <v>4.7E-2</v>
      </c>
      <c r="Q455">
        <v>0.13300000000000001</v>
      </c>
      <c r="R455">
        <v>10911.870897155359</v>
      </c>
      <c r="S455">
        <v>1</v>
      </c>
      <c r="T455" s="15">
        <v>0.91400000000000003</v>
      </c>
      <c r="U455" s="15">
        <v>0.91400000000000003</v>
      </c>
      <c r="V455">
        <v>240.70021881838073</v>
      </c>
      <c r="X455">
        <v>262.58205689277895</v>
      </c>
      <c r="Y455">
        <v>10.940919037199125</v>
      </c>
      <c r="AF455">
        <v>17.5</v>
      </c>
      <c r="AG455">
        <v>11.4</v>
      </c>
    </row>
    <row r="456" spans="1:33" hidden="1" x14ac:dyDescent="0.25">
      <c r="A456">
        <v>2025</v>
      </c>
      <c r="B456">
        <v>3</v>
      </c>
      <c r="C456" t="s">
        <v>32</v>
      </c>
      <c r="D456" t="s">
        <v>25</v>
      </c>
      <c r="E456">
        <v>8</v>
      </c>
      <c r="F456">
        <v>13</v>
      </c>
      <c r="G456">
        <v>4</v>
      </c>
      <c r="H456">
        <v>804</v>
      </c>
      <c r="I456" s="12">
        <v>45872</v>
      </c>
      <c r="J456">
        <v>214</v>
      </c>
      <c r="K456">
        <v>61</v>
      </c>
      <c r="L456" t="s">
        <v>26</v>
      </c>
      <c r="M456">
        <v>37000</v>
      </c>
      <c r="P456">
        <v>8.2000000000000003E-2</v>
      </c>
      <c r="Q456">
        <v>8.2000000000000003E-2</v>
      </c>
      <c r="R456">
        <v>7388.8949671772434</v>
      </c>
      <c r="S456">
        <v>1</v>
      </c>
      <c r="T456" s="15">
        <v>0.91400000000000003</v>
      </c>
      <c r="U456" s="15">
        <v>0.91400000000000003</v>
      </c>
      <c r="V456">
        <v>448.57768052516411</v>
      </c>
      <c r="X456">
        <v>426.69584245076584</v>
      </c>
      <c r="Y456">
        <v>21.881838074398249</v>
      </c>
      <c r="AF456">
        <v>14.5</v>
      </c>
      <c r="AG456">
        <v>11.8</v>
      </c>
    </row>
    <row r="457" spans="1:33" hidden="1" x14ac:dyDescent="0.25">
      <c r="A457">
        <v>2025</v>
      </c>
      <c r="B457">
        <v>3</v>
      </c>
      <c r="C457" t="s">
        <v>28</v>
      </c>
      <c r="D457" t="s">
        <v>25</v>
      </c>
      <c r="E457" s="49">
        <v>8</v>
      </c>
      <c r="F457">
        <v>14</v>
      </c>
      <c r="G457" s="49">
        <v>4</v>
      </c>
      <c r="H457">
        <v>805</v>
      </c>
      <c r="I457" s="12">
        <v>45872</v>
      </c>
      <c r="J457">
        <v>214</v>
      </c>
      <c r="K457">
        <v>61</v>
      </c>
      <c r="L457" t="s">
        <v>26</v>
      </c>
      <c r="M457">
        <v>37000</v>
      </c>
      <c r="P457">
        <v>8.1000000000000003E-2</v>
      </c>
      <c r="Q457">
        <v>0.11799999999999999</v>
      </c>
      <c r="R457">
        <v>8386.1597374179419</v>
      </c>
      <c r="S457">
        <v>1</v>
      </c>
      <c r="T457" s="15">
        <v>0.91400000000000003</v>
      </c>
      <c r="U457" s="15">
        <v>0.91400000000000003</v>
      </c>
      <c r="V457">
        <v>404.81400437636762</v>
      </c>
      <c r="X457">
        <v>459.51859956236325</v>
      </c>
      <c r="Y457">
        <v>21.881838074398249</v>
      </c>
      <c r="AF457">
        <v>18.399999999999999</v>
      </c>
      <c r="AG457">
        <v>13.4</v>
      </c>
    </row>
    <row r="458" spans="1:33" hidden="1" x14ac:dyDescent="0.25">
      <c r="A458" s="15">
        <v>2025</v>
      </c>
      <c r="B458" s="15">
        <v>4</v>
      </c>
      <c r="C458" s="15" t="s">
        <v>24</v>
      </c>
      <c r="D458" s="15" t="s">
        <v>38</v>
      </c>
      <c r="E458">
        <v>1</v>
      </c>
      <c r="F458">
        <v>1</v>
      </c>
      <c r="G458">
        <v>1</v>
      </c>
      <c r="H458" s="15">
        <v>101</v>
      </c>
      <c r="I458" s="14">
        <v>45898</v>
      </c>
      <c r="J458" s="15">
        <v>240</v>
      </c>
      <c r="K458" s="15">
        <v>87</v>
      </c>
      <c r="L458" s="15" t="s">
        <v>26</v>
      </c>
      <c r="M458" s="15">
        <v>37000</v>
      </c>
      <c r="N458" s="15"/>
      <c r="O458" s="15"/>
      <c r="P458" s="15">
        <v>7.2999999999999995E-2</v>
      </c>
      <c r="Q458" s="15">
        <v>0.39700000000000002</v>
      </c>
      <c r="R458" s="15">
        <v>6843.4901531728665</v>
      </c>
      <c r="S458" s="15">
        <v>1</v>
      </c>
      <c r="T458">
        <v>0.91400000000000003</v>
      </c>
      <c r="U458">
        <v>0.91400000000000003</v>
      </c>
      <c r="V458" s="15">
        <v>240.70021881838073</v>
      </c>
      <c r="W458" s="15"/>
      <c r="X458" s="15">
        <v>415.7549234135667</v>
      </c>
      <c r="Y458" s="15">
        <v>142.23194748358861</v>
      </c>
      <c r="Z458" s="15"/>
      <c r="AA458" s="15"/>
      <c r="AB458" s="15"/>
      <c r="AC458" s="15"/>
      <c r="AD458" s="15"/>
      <c r="AE458" s="15"/>
      <c r="AF458" s="15">
        <v>29.3</v>
      </c>
      <c r="AG458">
        <v>14.6</v>
      </c>
    </row>
    <row r="459" spans="1:33" hidden="1" x14ac:dyDescent="0.25">
      <c r="A459">
        <v>2025</v>
      </c>
      <c r="B459">
        <v>4</v>
      </c>
      <c r="C459" t="s">
        <v>29</v>
      </c>
      <c r="D459" t="s">
        <v>38</v>
      </c>
      <c r="E459">
        <v>1</v>
      </c>
      <c r="F459">
        <v>5</v>
      </c>
      <c r="G459">
        <v>1</v>
      </c>
      <c r="H459">
        <v>105</v>
      </c>
      <c r="I459" s="12">
        <v>45898</v>
      </c>
      <c r="J459">
        <v>240</v>
      </c>
      <c r="K459">
        <v>87</v>
      </c>
      <c r="L459" t="s">
        <v>26</v>
      </c>
      <c r="M459">
        <v>37000</v>
      </c>
      <c r="P459">
        <v>9.6000000000000002E-2</v>
      </c>
      <c r="Q459">
        <v>0.34899999999999998</v>
      </c>
      <c r="R459">
        <v>9373.6323851203506</v>
      </c>
      <c r="S459">
        <v>1</v>
      </c>
      <c r="T459">
        <v>0.91400000000000003</v>
      </c>
      <c r="U459">
        <v>0.91400000000000003</v>
      </c>
      <c r="V459">
        <v>361.05032822757107</v>
      </c>
      <c r="X459">
        <v>678.33698030634571</v>
      </c>
      <c r="Y459">
        <v>10.940919037199125</v>
      </c>
      <c r="AF459">
        <v>35.6</v>
      </c>
      <c r="AG459">
        <v>13.8</v>
      </c>
    </row>
    <row r="460" spans="1:33" hidden="1" x14ac:dyDescent="0.25">
      <c r="A460">
        <v>2025</v>
      </c>
      <c r="B460">
        <v>4</v>
      </c>
      <c r="C460" t="s">
        <v>28</v>
      </c>
      <c r="D460" t="s">
        <v>38</v>
      </c>
      <c r="E460">
        <v>1</v>
      </c>
      <c r="F460">
        <v>7</v>
      </c>
      <c r="G460">
        <v>1</v>
      </c>
      <c r="H460">
        <v>107</v>
      </c>
      <c r="I460" s="12">
        <v>45898</v>
      </c>
      <c r="J460">
        <v>240</v>
      </c>
      <c r="K460">
        <v>87</v>
      </c>
      <c r="L460" t="s">
        <v>26</v>
      </c>
      <c r="M460">
        <v>37000</v>
      </c>
      <c r="P460">
        <v>0.108</v>
      </c>
      <c r="Q460">
        <v>0.22700000000000001</v>
      </c>
      <c r="R460">
        <v>7070.5689277899337</v>
      </c>
      <c r="S460">
        <v>1</v>
      </c>
      <c r="T460">
        <v>0.91400000000000003</v>
      </c>
      <c r="U460">
        <v>0.91400000000000003</v>
      </c>
      <c r="V460">
        <v>426.69584245076584</v>
      </c>
      <c r="X460">
        <v>700.21881838074398</v>
      </c>
      <c r="Y460">
        <v>54.704595185995622</v>
      </c>
      <c r="AF460">
        <v>27.8</v>
      </c>
      <c r="AG460">
        <v>15</v>
      </c>
    </row>
    <row r="461" spans="1:33" hidden="1" x14ac:dyDescent="0.25">
      <c r="A461">
        <v>2025</v>
      </c>
      <c r="B461">
        <v>4</v>
      </c>
      <c r="C461" t="s">
        <v>32</v>
      </c>
      <c r="D461" t="s">
        <v>38</v>
      </c>
      <c r="E461">
        <v>1</v>
      </c>
      <c r="F461">
        <v>9</v>
      </c>
      <c r="G461">
        <v>1</v>
      </c>
      <c r="H461">
        <v>109</v>
      </c>
      <c r="I461" s="12">
        <v>45898</v>
      </c>
      <c r="J461">
        <v>240</v>
      </c>
      <c r="K461">
        <v>87</v>
      </c>
      <c r="L461" t="s">
        <v>26</v>
      </c>
      <c r="M461">
        <v>37000</v>
      </c>
      <c r="P461">
        <v>0.16700000000000001</v>
      </c>
      <c r="Q461">
        <v>0.13700000000000001</v>
      </c>
      <c r="R461">
        <v>8481.9474835886213</v>
      </c>
      <c r="S461">
        <v>1</v>
      </c>
      <c r="T461">
        <v>0.91400000000000003</v>
      </c>
      <c r="U461">
        <v>0.91400000000000003</v>
      </c>
      <c r="V461">
        <v>722.10065645514214</v>
      </c>
      <c r="X461">
        <v>1083.1509846827134</v>
      </c>
      <c r="Y461">
        <v>21.881838074398249</v>
      </c>
      <c r="AF461">
        <v>27.5</v>
      </c>
      <c r="AG461">
        <v>13.6</v>
      </c>
    </row>
    <row r="462" spans="1:33" hidden="1" x14ac:dyDescent="0.25">
      <c r="A462">
        <v>2025</v>
      </c>
      <c r="B462">
        <v>4</v>
      </c>
      <c r="C462" t="s">
        <v>29</v>
      </c>
      <c r="D462" t="s">
        <v>38</v>
      </c>
      <c r="E462">
        <v>3</v>
      </c>
      <c r="F462">
        <v>4</v>
      </c>
      <c r="G462">
        <v>2</v>
      </c>
      <c r="H462">
        <v>304</v>
      </c>
      <c r="I462" s="12">
        <v>45898</v>
      </c>
      <c r="J462">
        <v>240</v>
      </c>
      <c r="K462">
        <v>87</v>
      </c>
      <c r="L462" t="s">
        <v>26</v>
      </c>
      <c r="M462">
        <v>37000</v>
      </c>
      <c r="P462">
        <v>8.5999999999999993E-2</v>
      </c>
      <c r="Q462">
        <v>0.17399999999999999</v>
      </c>
      <c r="R462">
        <v>6380.1422319474832</v>
      </c>
      <c r="S462">
        <v>1</v>
      </c>
      <c r="T462">
        <v>0.91400000000000003</v>
      </c>
      <c r="U462">
        <v>0.91400000000000003</v>
      </c>
      <c r="V462">
        <v>339.16849015317285</v>
      </c>
      <c r="X462">
        <v>579.86870897155359</v>
      </c>
      <c r="Y462">
        <v>21.881838074398249</v>
      </c>
      <c r="AF462">
        <v>30.8</v>
      </c>
      <c r="AG462">
        <v>11.8</v>
      </c>
    </row>
    <row r="463" spans="1:33" hidden="1" x14ac:dyDescent="0.25">
      <c r="A463">
        <v>2025</v>
      </c>
      <c r="B463">
        <v>4</v>
      </c>
      <c r="C463" t="s">
        <v>24</v>
      </c>
      <c r="D463" t="s">
        <v>38</v>
      </c>
      <c r="E463">
        <v>3</v>
      </c>
      <c r="F463">
        <v>6</v>
      </c>
      <c r="G463">
        <v>2</v>
      </c>
      <c r="H463">
        <v>306</v>
      </c>
      <c r="I463" s="12">
        <v>45898</v>
      </c>
      <c r="J463">
        <v>240</v>
      </c>
      <c r="K463">
        <v>87</v>
      </c>
      <c r="L463" t="s">
        <v>26</v>
      </c>
      <c r="M463">
        <v>37000</v>
      </c>
      <c r="P463">
        <v>0.127</v>
      </c>
      <c r="Q463">
        <v>0.30499999999999999</v>
      </c>
      <c r="R463">
        <v>4505.4157549234133</v>
      </c>
      <c r="S463">
        <v>1</v>
      </c>
      <c r="T463">
        <v>0.91400000000000003</v>
      </c>
      <c r="U463">
        <v>0.91400000000000003</v>
      </c>
      <c r="V463">
        <v>470.45951859956233</v>
      </c>
      <c r="X463">
        <v>733.04157549234128</v>
      </c>
      <c r="Y463">
        <v>185.9956236323851</v>
      </c>
      <c r="AF463">
        <v>30</v>
      </c>
      <c r="AG463">
        <v>14.8</v>
      </c>
    </row>
    <row r="464" spans="1:33" hidden="1" x14ac:dyDescent="0.25">
      <c r="A464">
        <v>2025</v>
      </c>
      <c r="B464">
        <v>4</v>
      </c>
      <c r="C464" t="s">
        <v>28</v>
      </c>
      <c r="D464" t="s">
        <v>38</v>
      </c>
      <c r="E464">
        <v>3</v>
      </c>
      <c r="F464">
        <v>8</v>
      </c>
      <c r="G464">
        <v>2</v>
      </c>
      <c r="H464">
        <v>308</v>
      </c>
      <c r="I464" s="12">
        <v>45898</v>
      </c>
      <c r="J464">
        <v>240</v>
      </c>
      <c r="K464">
        <v>87</v>
      </c>
      <c r="L464" t="s">
        <v>26</v>
      </c>
      <c r="M464">
        <v>37000</v>
      </c>
      <c r="P464">
        <v>9.7000000000000003E-2</v>
      </c>
      <c r="Q464">
        <v>0.36899999999999999</v>
      </c>
      <c r="R464">
        <v>5900.9299781181617</v>
      </c>
      <c r="S464">
        <v>1</v>
      </c>
      <c r="T464">
        <v>0.91400000000000003</v>
      </c>
      <c r="U464">
        <v>0.91400000000000003</v>
      </c>
      <c r="V464">
        <v>371.99124726477021</v>
      </c>
      <c r="X464">
        <v>634.57330415754916</v>
      </c>
      <c r="Y464">
        <v>54.704595185995622</v>
      </c>
      <c r="AF464">
        <v>37</v>
      </c>
      <c r="AG464">
        <v>12.6</v>
      </c>
    </row>
    <row r="465" spans="1:33" hidden="1" x14ac:dyDescent="0.25">
      <c r="A465">
        <v>2025</v>
      </c>
      <c r="B465">
        <v>4</v>
      </c>
      <c r="C465" t="s">
        <v>32</v>
      </c>
      <c r="D465" t="s">
        <v>38</v>
      </c>
      <c r="E465">
        <v>3</v>
      </c>
      <c r="F465">
        <v>9</v>
      </c>
      <c r="G465">
        <v>2</v>
      </c>
      <c r="H465">
        <v>309</v>
      </c>
      <c r="I465" s="12">
        <v>45898</v>
      </c>
      <c r="J465">
        <v>240</v>
      </c>
      <c r="K465">
        <v>87</v>
      </c>
      <c r="L465" t="s">
        <v>26</v>
      </c>
      <c r="M465">
        <v>37000</v>
      </c>
      <c r="P465">
        <v>6.7000000000000004E-2</v>
      </c>
      <c r="Q465">
        <v>0.28199999999999997</v>
      </c>
      <c r="R465">
        <v>6950.2188183807439</v>
      </c>
      <c r="S465">
        <v>1</v>
      </c>
      <c r="T465">
        <v>0.91400000000000003</v>
      </c>
      <c r="U465">
        <v>0.91400000000000003</v>
      </c>
      <c r="V465">
        <v>295.40481400437636</v>
      </c>
      <c r="X465">
        <v>415.7549234135667</v>
      </c>
      <c r="Y465">
        <v>21.881838074398249</v>
      </c>
      <c r="AF465">
        <v>27.5</v>
      </c>
      <c r="AG465">
        <v>12.8</v>
      </c>
    </row>
    <row r="466" spans="1:33" hidden="1" x14ac:dyDescent="0.25">
      <c r="A466">
        <v>2025</v>
      </c>
      <c r="B466">
        <v>4</v>
      </c>
      <c r="C466" t="s">
        <v>24</v>
      </c>
      <c r="D466" t="s">
        <v>38</v>
      </c>
      <c r="E466">
        <v>4</v>
      </c>
      <c r="F466">
        <v>11</v>
      </c>
      <c r="G466">
        <v>2</v>
      </c>
      <c r="H466">
        <v>402</v>
      </c>
      <c r="I466" s="12">
        <v>45898</v>
      </c>
      <c r="J466">
        <v>240</v>
      </c>
      <c r="K466">
        <v>87</v>
      </c>
      <c r="L466" t="s">
        <v>26</v>
      </c>
      <c r="M466">
        <v>37000</v>
      </c>
      <c r="P466">
        <v>5.0999999999999997E-2</v>
      </c>
      <c r="Q466">
        <v>0.23899999999999999</v>
      </c>
      <c r="R466">
        <v>6028.3916849015313</v>
      </c>
      <c r="S466">
        <v>1</v>
      </c>
      <c r="T466">
        <v>0.91400000000000003</v>
      </c>
      <c r="U466">
        <v>0.91400000000000003</v>
      </c>
      <c r="V466">
        <v>207.87746170678335</v>
      </c>
      <c r="X466">
        <v>273.52297592997814</v>
      </c>
      <c r="Y466">
        <v>76.586433260393861</v>
      </c>
      <c r="AF466">
        <v>25.2</v>
      </c>
      <c r="AG466">
        <v>12.2</v>
      </c>
    </row>
    <row r="467" spans="1:33" hidden="1" x14ac:dyDescent="0.25">
      <c r="A467">
        <v>2025</v>
      </c>
      <c r="B467">
        <v>4</v>
      </c>
      <c r="C467" t="s">
        <v>29</v>
      </c>
      <c r="D467" t="s">
        <v>38</v>
      </c>
      <c r="E467">
        <v>4</v>
      </c>
      <c r="F467">
        <v>12</v>
      </c>
      <c r="G467">
        <v>2</v>
      </c>
      <c r="H467">
        <v>403</v>
      </c>
      <c r="I467" s="12">
        <v>45898</v>
      </c>
      <c r="J467">
        <v>240</v>
      </c>
      <c r="K467">
        <v>87</v>
      </c>
      <c r="L467" t="s">
        <v>26</v>
      </c>
      <c r="M467">
        <v>37000</v>
      </c>
      <c r="P467">
        <v>0.113</v>
      </c>
      <c r="Q467">
        <v>0.24099999999999999</v>
      </c>
      <c r="R467">
        <v>10741.24726477024</v>
      </c>
      <c r="S467">
        <v>1</v>
      </c>
      <c r="T467">
        <v>0.91400000000000003</v>
      </c>
      <c r="U467">
        <v>0.91400000000000003</v>
      </c>
      <c r="V467">
        <v>426.69584245076584</v>
      </c>
      <c r="X467">
        <v>765.86433260393869</v>
      </c>
      <c r="Y467">
        <v>43.763676148796499</v>
      </c>
      <c r="AF467">
        <v>27.6</v>
      </c>
      <c r="AG467">
        <v>13.8</v>
      </c>
    </row>
    <row r="468" spans="1:33" hidden="1" x14ac:dyDescent="0.25">
      <c r="A468">
        <v>2025</v>
      </c>
      <c r="B468">
        <v>4</v>
      </c>
      <c r="C468" t="s">
        <v>32</v>
      </c>
      <c r="D468" t="s">
        <v>38</v>
      </c>
      <c r="E468">
        <v>4</v>
      </c>
      <c r="F468">
        <v>13</v>
      </c>
      <c r="G468">
        <v>2</v>
      </c>
      <c r="H468">
        <v>404</v>
      </c>
      <c r="I468" s="12">
        <v>45898</v>
      </c>
      <c r="J468">
        <v>240</v>
      </c>
      <c r="K468">
        <v>87</v>
      </c>
      <c r="L468" t="s">
        <v>26</v>
      </c>
      <c r="M468">
        <v>37000</v>
      </c>
      <c r="P468">
        <v>6.4000000000000001E-2</v>
      </c>
      <c r="Q468">
        <v>0.25800000000000001</v>
      </c>
      <c r="R468">
        <v>6664.6061269146612</v>
      </c>
      <c r="S468">
        <v>1</v>
      </c>
      <c r="T468">
        <v>0.91400000000000003</v>
      </c>
      <c r="U468">
        <v>0.91400000000000003</v>
      </c>
      <c r="V468">
        <v>295.40481400437636</v>
      </c>
      <c r="X468">
        <v>404.81400437636762</v>
      </c>
      <c r="Y468">
        <v>0</v>
      </c>
      <c r="AF468">
        <v>23.8</v>
      </c>
      <c r="AG468">
        <v>12.8</v>
      </c>
    </row>
    <row r="469" spans="1:33" hidden="1" x14ac:dyDescent="0.25">
      <c r="A469">
        <v>2025</v>
      </c>
      <c r="B469">
        <v>4</v>
      </c>
      <c r="C469" t="s">
        <v>28</v>
      </c>
      <c r="D469" t="s">
        <v>38</v>
      </c>
      <c r="E469">
        <v>4</v>
      </c>
      <c r="F469">
        <v>14</v>
      </c>
      <c r="G469">
        <v>2</v>
      </c>
      <c r="H469">
        <v>405</v>
      </c>
      <c r="I469" s="12">
        <v>45898</v>
      </c>
      <c r="J469">
        <v>240</v>
      </c>
      <c r="K469">
        <v>87</v>
      </c>
      <c r="L469" t="s">
        <v>26</v>
      </c>
      <c r="M469">
        <v>37000</v>
      </c>
      <c r="P469">
        <v>0.112</v>
      </c>
      <c r="Q469">
        <v>0.316</v>
      </c>
      <c r="R469">
        <v>9086.3785557986866</v>
      </c>
      <c r="S469">
        <v>1</v>
      </c>
      <c r="T469">
        <v>0.91400000000000003</v>
      </c>
      <c r="U469">
        <v>0.91400000000000003</v>
      </c>
      <c r="V469">
        <v>415.7549234135667</v>
      </c>
      <c r="X469">
        <v>776.80525164113783</v>
      </c>
      <c r="Y469">
        <v>32.822757111597369</v>
      </c>
      <c r="AF469">
        <v>29.6</v>
      </c>
      <c r="AG469">
        <v>15</v>
      </c>
    </row>
    <row r="470" spans="1:33" hidden="1" x14ac:dyDescent="0.25">
      <c r="A470">
        <v>2025</v>
      </c>
      <c r="B470">
        <v>4</v>
      </c>
      <c r="C470" t="s">
        <v>24</v>
      </c>
      <c r="D470" t="s">
        <v>25</v>
      </c>
      <c r="E470">
        <v>5</v>
      </c>
      <c r="F470">
        <v>1</v>
      </c>
      <c r="G470">
        <v>3</v>
      </c>
      <c r="H470">
        <v>501</v>
      </c>
      <c r="I470" s="12">
        <v>45898</v>
      </c>
      <c r="J470">
        <v>240</v>
      </c>
      <c r="K470">
        <v>87</v>
      </c>
      <c r="L470" t="s">
        <v>26</v>
      </c>
      <c r="M470">
        <v>37000</v>
      </c>
      <c r="P470">
        <v>0.123</v>
      </c>
      <c r="Q470">
        <v>0.32900000000000001</v>
      </c>
      <c r="R470">
        <v>9176.6958424507648</v>
      </c>
      <c r="S470">
        <v>1</v>
      </c>
      <c r="T470">
        <v>0.91400000000000003</v>
      </c>
      <c r="U470">
        <v>0.91400000000000003</v>
      </c>
      <c r="V470">
        <v>415.7549234135667</v>
      </c>
      <c r="X470">
        <v>711.15973741794312</v>
      </c>
      <c r="Y470">
        <v>218.81838074398249</v>
      </c>
      <c r="AF470">
        <v>31.8</v>
      </c>
      <c r="AG470">
        <v>17.2</v>
      </c>
    </row>
    <row r="471" spans="1:33" hidden="1" x14ac:dyDescent="0.25">
      <c r="A471">
        <v>2025</v>
      </c>
      <c r="B471">
        <v>4</v>
      </c>
      <c r="C471" t="s">
        <v>29</v>
      </c>
      <c r="D471" t="s">
        <v>25</v>
      </c>
      <c r="E471">
        <v>5</v>
      </c>
      <c r="F471">
        <v>5</v>
      </c>
      <c r="G471">
        <v>3</v>
      </c>
      <c r="H471">
        <v>505</v>
      </c>
      <c r="I471" s="12">
        <v>45898</v>
      </c>
      <c r="J471">
        <v>240</v>
      </c>
      <c r="K471">
        <v>87</v>
      </c>
      <c r="L471" t="s">
        <v>26</v>
      </c>
      <c r="M471">
        <v>37000</v>
      </c>
      <c r="P471">
        <v>8.8999999999999996E-2</v>
      </c>
      <c r="Q471">
        <v>0.152</v>
      </c>
      <c r="R471">
        <v>9987.3632385120363</v>
      </c>
      <c r="S471">
        <v>1</v>
      </c>
      <c r="T471">
        <v>0.91400000000000003</v>
      </c>
      <c r="U471">
        <v>0.91400000000000003</v>
      </c>
      <c r="V471">
        <v>339.16849015317285</v>
      </c>
      <c r="X471">
        <v>525.1641137855579</v>
      </c>
      <c r="Y471">
        <v>109.40919037199124</v>
      </c>
      <c r="AF471">
        <v>23.4</v>
      </c>
      <c r="AG471">
        <v>12.4</v>
      </c>
    </row>
    <row r="472" spans="1:33" hidden="1" x14ac:dyDescent="0.25">
      <c r="A472">
        <v>2025</v>
      </c>
      <c r="B472">
        <v>4</v>
      </c>
      <c r="C472" t="s">
        <v>28</v>
      </c>
      <c r="D472" t="s">
        <v>25</v>
      </c>
      <c r="E472">
        <v>5</v>
      </c>
      <c r="F472">
        <v>7</v>
      </c>
      <c r="G472">
        <v>3</v>
      </c>
      <c r="H472">
        <v>507</v>
      </c>
      <c r="I472" s="12">
        <v>45898</v>
      </c>
      <c r="J472">
        <v>240</v>
      </c>
      <c r="K472">
        <v>87</v>
      </c>
      <c r="L472" t="s">
        <v>26</v>
      </c>
      <c r="M472">
        <v>37000</v>
      </c>
      <c r="P472">
        <v>4.4999999999999998E-2</v>
      </c>
      <c r="Q472">
        <v>0.20599999999999999</v>
      </c>
      <c r="R472">
        <v>6876.3129102844623</v>
      </c>
      <c r="S472">
        <v>1</v>
      </c>
      <c r="T472">
        <v>0.91400000000000003</v>
      </c>
      <c r="U472">
        <v>0.91400000000000003</v>
      </c>
      <c r="V472">
        <v>185.9956236323851</v>
      </c>
      <c r="X472">
        <v>295.40481400437636</v>
      </c>
      <c r="Y472">
        <v>10.940919037199125</v>
      </c>
      <c r="AF472">
        <v>19.8</v>
      </c>
      <c r="AG472">
        <v>9.1999999999999993</v>
      </c>
    </row>
    <row r="473" spans="1:33" hidden="1" x14ac:dyDescent="0.25">
      <c r="A473">
        <v>2025</v>
      </c>
      <c r="B473">
        <v>4</v>
      </c>
      <c r="C473" t="s">
        <v>32</v>
      </c>
      <c r="D473" t="s">
        <v>25</v>
      </c>
      <c r="E473">
        <v>5</v>
      </c>
      <c r="F473">
        <v>9</v>
      </c>
      <c r="G473">
        <v>3</v>
      </c>
      <c r="H473">
        <v>509</v>
      </c>
      <c r="I473" s="12">
        <v>45898</v>
      </c>
      <c r="J473">
        <v>240</v>
      </c>
      <c r="K473">
        <v>87</v>
      </c>
      <c r="L473" t="s">
        <v>26</v>
      </c>
      <c r="M473">
        <v>37000</v>
      </c>
      <c r="P473">
        <v>7.2999999999999995E-2</v>
      </c>
      <c r="Q473">
        <v>0.19500000000000001</v>
      </c>
      <c r="R473">
        <v>6387.8008752735232</v>
      </c>
      <c r="S473">
        <v>1</v>
      </c>
      <c r="T473">
        <v>0.91400000000000003</v>
      </c>
      <c r="U473">
        <v>0.91400000000000003</v>
      </c>
      <c r="V473">
        <v>317.28665207877458</v>
      </c>
      <c r="X473">
        <v>470.45951859956233</v>
      </c>
      <c r="Y473">
        <v>10.940919037199125</v>
      </c>
      <c r="AF473">
        <v>24</v>
      </c>
      <c r="AG473">
        <v>14.6</v>
      </c>
    </row>
    <row r="474" spans="1:33" hidden="1" x14ac:dyDescent="0.25">
      <c r="A474">
        <v>2025</v>
      </c>
      <c r="B474">
        <v>4</v>
      </c>
      <c r="C474" t="s">
        <v>29</v>
      </c>
      <c r="D474" t="s">
        <v>25</v>
      </c>
      <c r="E474">
        <v>7</v>
      </c>
      <c r="F474">
        <v>4</v>
      </c>
      <c r="G474">
        <v>4</v>
      </c>
      <c r="H474">
        <v>704</v>
      </c>
      <c r="I474" s="12">
        <v>45898</v>
      </c>
      <c r="J474">
        <v>240</v>
      </c>
      <c r="K474">
        <v>87</v>
      </c>
      <c r="L474" t="s">
        <v>26</v>
      </c>
      <c r="M474">
        <v>37000</v>
      </c>
      <c r="P474">
        <v>0.188</v>
      </c>
      <c r="Q474">
        <v>0.314</v>
      </c>
      <c r="R474">
        <v>9013.6214442013134</v>
      </c>
      <c r="S474">
        <v>1</v>
      </c>
      <c r="T474">
        <v>0.91400000000000003</v>
      </c>
      <c r="U474">
        <v>0.91400000000000003</v>
      </c>
      <c r="V474">
        <v>689.27789934354485</v>
      </c>
      <c r="X474">
        <v>1247.2647702407</v>
      </c>
      <c r="Y474">
        <v>120.35010940919037</v>
      </c>
      <c r="AF474">
        <v>31.68</v>
      </c>
      <c r="AG474">
        <v>17.399999999999999</v>
      </c>
    </row>
    <row r="475" spans="1:33" hidden="1" x14ac:dyDescent="0.25">
      <c r="A475">
        <v>2025</v>
      </c>
      <c r="B475">
        <v>4</v>
      </c>
      <c r="C475" t="s">
        <v>24</v>
      </c>
      <c r="D475" t="s">
        <v>25</v>
      </c>
      <c r="E475">
        <v>7</v>
      </c>
      <c r="F475">
        <v>6</v>
      </c>
      <c r="G475">
        <v>4</v>
      </c>
      <c r="H475">
        <v>706</v>
      </c>
      <c r="I475" s="12">
        <v>45898</v>
      </c>
      <c r="J475">
        <v>240</v>
      </c>
      <c r="K475">
        <v>87</v>
      </c>
      <c r="L475" t="s">
        <v>26</v>
      </c>
      <c r="M475">
        <v>37000</v>
      </c>
      <c r="P475">
        <v>4.8000000000000001E-2</v>
      </c>
      <c r="Q475">
        <v>0.121</v>
      </c>
      <c r="R475">
        <v>5845.1859956236322</v>
      </c>
      <c r="S475">
        <v>1</v>
      </c>
      <c r="T475">
        <v>0.91400000000000003</v>
      </c>
      <c r="U475">
        <v>0.91400000000000003</v>
      </c>
      <c r="V475">
        <v>164.11378555798689</v>
      </c>
      <c r="X475">
        <v>273.52297592997814</v>
      </c>
      <c r="Y475">
        <v>87.527352297592998</v>
      </c>
      <c r="AF475">
        <v>17.600000000000001</v>
      </c>
      <c r="AG475">
        <v>11.2</v>
      </c>
    </row>
    <row r="476" spans="1:33" hidden="1" x14ac:dyDescent="0.25">
      <c r="A476">
        <v>2025</v>
      </c>
      <c r="B476">
        <v>4</v>
      </c>
      <c r="C476" t="s">
        <v>28</v>
      </c>
      <c r="D476" t="s">
        <v>25</v>
      </c>
      <c r="E476">
        <v>7</v>
      </c>
      <c r="F476">
        <v>8</v>
      </c>
      <c r="G476">
        <v>4</v>
      </c>
      <c r="H476">
        <v>708</v>
      </c>
      <c r="I476" s="12">
        <v>45898</v>
      </c>
      <c r="J476">
        <v>240</v>
      </c>
      <c r="K476">
        <v>87</v>
      </c>
      <c r="L476" t="s">
        <v>26</v>
      </c>
      <c r="M476">
        <v>37000</v>
      </c>
      <c r="P476">
        <v>4.7E-2</v>
      </c>
      <c r="Q476">
        <v>0.216</v>
      </c>
      <c r="R476">
        <v>8088.0743982494523</v>
      </c>
      <c r="S476">
        <v>1</v>
      </c>
      <c r="T476">
        <v>0.91400000000000003</v>
      </c>
      <c r="U476">
        <v>0.91400000000000003</v>
      </c>
      <c r="V476">
        <v>175.054704595186</v>
      </c>
      <c r="X476">
        <v>295.40481400437636</v>
      </c>
      <c r="Y476">
        <v>43.763676148796499</v>
      </c>
      <c r="AF476">
        <v>20.100000000000001</v>
      </c>
      <c r="AG476">
        <v>10.6</v>
      </c>
    </row>
    <row r="477" spans="1:33" hidden="1" x14ac:dyDescent="0.25">
      <c r="A477">
        <v>2025</v>
      </c>
      <c r="B477">
        <v>4</v>
      </c>
      <c r="C477" t="s">
        <v>32</v>
      </c>
      <c r="D477" t="s">
        <v>25</v>
      </c>
      <c r="E477">
        <v>7</v>
      </c>
      <c r="F477">
        <v>9</v>
      </c>
      <c r="G477">
        <v>4</v>
      </c>
      <c r="H477">
        <v>709</v>
      </c>
      <c r="I477" s="12">
        <v>45898</v>
      </c>
      <c r="J477">
        <v>240</v>
      </c>
      <c r="K477">
        <v>87</v>
      </c>
      <c r="L477" t="s">
        <v>26</v>
      </c>
      <c r="M477">
        <v>37000</v>
      </c>
      <c r="P477">
        <v>5.7000000000000002E-2</v>
      </c>
      <c r="Q477">
        <v>0.125</v>
      </c>
      <c r="R477">
        <v>7038.2385120350109</v>
      </c>
      <c r="S477">
        <v>1</v>
      </c>
      <c r="T477">
        <v>0.91400000000000003</v>
      </c>
      <c r="U477">
        <v>0.91400000000000003</v>
      </c>
      <c r="V477">
        <v>273.52297592997814</v>
      </c>
      <c r="X477">
        <v>328.22757111597377</v>
      </c>
      <c r="Y477">
        <v>21.881838074398249</v>
      </c>
      <c r="AF477">
        <v>18.100000000000001</v>
      </c>
      <c r="AG477">
        <v>11.6</v>
      </c>
    </row>
    <row r="478" spans="1:33" hidden="1" x14ac:dyDescent="0.25">
      <c r="A478">
        <v>2025</v>
      </c>
      <c r="B478">
        <v>4</v>
      </c>
      <c r="C478" t="s">
        <v>24</v>
      </c>
      <c r="D478" t="s">
        <v>25</v>
      </c>
      <c r="E478">
        <v>8</v>
      </c>
      <c r="F478">
        <v>11</v>
      </c>
      <c r="G478">
        <v>4</v>
      </c>
      <c r="H478">
        <v>802</v>
      </c>
      <c r="I478" s="12">
        <v>45898</v>
      </c>
      <c r="J478">
        <v>240</v>
      </c>
      <c r="K478">
        <v>87</v>
      </c>
      <c r="L478" t="s">
        <v>26</v>
      </c>
      <c r="M478">
        <v>37000</v>
      </c>
      <c r="P478">
        <v>0.06</v>
      </c>
      <c r="Q478">
        <v>0.114</v>
      </c>
      <c r="R478">
        <v>9500.4923413566739</v>
      </c>
      <c r="S478">
        <v>1</v>
      </c>
      <c r="T478">
        <v>0.91400000000000003</v>
      </c>
      <c r="U478">
        <v>0.91400000000000003</v>
      </c>
      <c r="V478">
        <v>251.64113785557987</v>
      </c>
      <c r="X478">
        <v>339.16849015317285</v>
      </c>
      <c r="Y478">
        <v>65.645514223194738</v>
      </c>
      <c r="AF478">
        <v>15.5</v>
      </c>
      <c r="AG478">
        <v>11.4</v>
      </c>
    </row>
    <row r="479" spans="1:33" hidden="1" x14ac:dyDescent="0.25">
      <c r="A479">
        <v>2025</v>
      </c>
      <c r="B479">
        <v>4</v>
      </c>
      <c r="C479" t="s">
        <v>29</v>
      </c>
      <c r="D479" t="s">
        <v>25</v>
      </c>
      <c r="E479">
        <v>8</v>
      </c>
      <c r="F479">
        <v>12</v>
      </c>
      <c r="G479">
        <v>4</v>
      </c>
      <c r="H479">
        <v>803</v>
      </c>
      <c r="I479" s="12">
        <v>45898</v>
      </c>
      <c r="J479">
        <v>240</v>
      </c>
      <c r="K479">
        <v>87</v>
      </c>
      <c r="L479" t="s">
        <v>26</v>
      </c>
      <c r="M479">
        <v>37000</v>
      </c>
      <c r="P479">
        <v>7.0000000000000007E-2</v>
      </c>
      <c r="Q479">
        <v>0.17399999999999999</v>
      </c>
      <c r="R479">
        <v>8017.9978118161916</v>
      </c>
      <c r="S479">
        <v>1</v>
      </c>
      <c r="T479">
        <v>0.91400000000000003</v>
      </c>
      <c r="U479">
        <v>0.91400000000000003</v>
      </c>
      <c r="V479">
        <v>273.52297592997814</v>
      </c>
      <c r="X479">
        <v>415.7549234135667</v>
      </c>
      <c r="Y479">
        <v>76.586433260393861</v>
      </c>
      <c r="AF479">
        <v>20.399999999999999</v>
      </c>
      <c r="AG479">
        <v>10.199999999999999</v>
      </c>
    </row>
    <row r="480" spans="1:33" hidden="1" x14ac:dyDescent="0.25">
      <c r="A480">
        <v>2025</v>
      </c>
      <c r="B480">
        <v>4</v>
      </c>
      <c r="C480" t="s">
        <v>32</v>
      </c>
      <c r="D480" t="s">
        <v>25</v>
      </c>
      <c r="E480">
        <v>8</v>
      </c>
      <c r="F480">
        <v>13</v>
      </c>
      <c r="G480">
        <v>4</v>
      </c>
      <c r="H480">
        <v>804</v>
      </c>
      <c r="I480" s="12">
        <v>45898</v>
      </c>
      <c r="J480">
        <v>240</v>
      </c>
      <c r="K480">
        <v>87</v>
      </c>
      <c r="L480" t="s">
        <v>26</v>
      </c>
      <c r="M480">
        <v>37000</v>
      </c>
      <c r="P480">
        <v>6.0999999999999999E-2</v>
      </c>
      <c r="Q480">
        <v>0.13600000000000001</v>
      </c>
      <c r="R480">
        <v>9647.155361050327</v>
      </c>
      <c r="S480">
        <v>1</v>
      </c>
      <c r="T480">
        <v>0.91400000000000003</v>
      </c>
      <c r="U480">
        <v>0.91400000000000003</v>
      </c>
      <c r="V480">
        <v>295.40481400437636</v>
      </c>
      <c r="X480">
        <v>350.10940919037199</v>
      </c>
      <c r="Y480">
        <v>21.881838074398249</v>
      </c>
      <c r="AF480">
        <v>20.5</v>
      </c>
      <c r="AG480">
        <v>12.8</v>
      </c>
    </row>
    <row r="481" spans="1:33" hidden="1" x14ac:dyDescent="0.25">
      <c r="A481">
        <v>2025</v>
      </c>
      <c r="B481">
        <v>4</v>
      </c>
      <c r="C481" t="s">
        <v>28</v>
      </c>
      <c r="D481" t="s">
        <v>25</v>
      </c>
      <c r="E481" s="49">
        <v>8</v>
      </c>
      <c r="F481">
        <v>14</v>
      </c>
      <c r="G481" s="49">
        <v>4</v>
      </c>
      <c r="H481">
        <v>805</v>
      </c>
      <c r="I481" s="12">
        <v>45898</v>
      </c>
      <c r="J481">
        <v>240</v>
      </c>
      <c r="K481">
        <v>87</v>
      </c>
      <c r="L481" t="s">
        <v>26</v>
      </c>
      <c r="M481">
        <v>37000</v>
      </c>
      <c r="P481">
        <v>0.109</v>
      </c>
      <c r="Q481">
        <v>0.14499999999999999</v>
      </c>
      <c r="R481">
        <v>6188.6761487964995</v>
      </c>
      <c r="S481">
        <v>1</v>
      </c>
      <c r="T481">
        <v>0.91400000000000003</v>
      </c>
      <c r="U481">
        <v>0.91400000000000003</v>
      </c>
      <c r="V481">
        <v>448.57768052516411</v>
      </c>
      <c r="X481">
        <v>645.5142231947483</v>
      </c>
      <c r="Y481">
        <v>98.468271334792121</v>
      </c>
      <c r="AF481">
        <v>22.1</v>
      </c>
      <c r="AG481">
        <v>13.4</v>
      </c>
    </row>
    <row r="482" spans="1:33" hidden="1" x14ac:dyDescent="0.25">
      <c r="A482">
        <v>2024</v>
      </c>
      <c r="B482" t="s">
        <v>103</v>
      </c>
      <c r="C482" s="59" t="s">
        <v>28</v>
      </c>
      <c r="D482" s="70" t="s">
        <v>38</v>
      </c>
      <c r="E482" s="15">
        <v>1</v>
      </c>
      <c r="H482">
        <v>12</v>
      </c>
      <c r="I482" s="12">
        <v>45581</v>
      </c>
      <c r="J482">
        <v>289</v>
      </c>
      <c r="K482" s="64">
        <f>+I482-'2024-selected'!$R$49</f>
        <v>152</v>
      </c>
      <c r="L482" t="s">
        <v>97</v>
      </c>
      <c r="M482">
        <v>37100</v>
      </c>
      <c r="N482">
        <v>552.4</v>
      </c>
      <c r="O482">
        <f t="shared" ref="O482:O505" si="8">+N482/1000</f>
        <v>0.5524</v>
      </c>
      <c r="Q482">
        <v>0.98629999999999995</v>
      </c>
      <c r="R482">
        <v>5110.3626943005183</v>
      </c>
      <c r="S482">
        <v>2</v>
      </c>
      <c r="T482">
        <v>0.96499999999999997</v>
      </c>
      <c r="U482">
        <v>1.93</v>
      </c>
      <c r="AA482">
        <v>2862.1761658031091</v>
      </c>
      <c r="AB482">
        <v>2862.1761658031087</v>
      </c>
      <c r="AD482">
        <v>0.56007300010138894</v>
      </c>
      <c r="AE482">
        <v>49.018879161455537</v>
      </c>
    </row>
    <row r="483" spans="1:33" hidden="1" x14ac:dyDescent="0.25">
      <c r="A483">
        <v>2024</v>
      </c>
      <c r="B483" t="s">
        <v>103</v>
      </c>
      <c r="C483" s="59" t="s">
        <v>31</v>
      </c>
      <c r="D483" s="70" t="s">
        <v>38</v>
      </c>
      <c r="E483">
        <v>1</v>
      </c>
      <c r="H483">
        <v>13</v>
      </c>
      <c r="I483" s="12">
        <v>45581</v>
      </c>
      <c r="J483">
        <v>289</v>
      </c>
      <c r="K483" s="64">
        <f>+I483-'2024-selected'!$R$49</f>
        <v>152</v>
      </c>
      <c r="L483" t="s">
        <v>97</v>
      </c>
      <c r="M483">
        <v>37100</v>
      </c>
      <c r="N483">
        <v>665.4</v>
      </c>
      <c r="O483">
        <f t="shared" si="8"/>
        <v>0.66539999999999999</v>
      </c>
      <c r="Q483">
        <v>1.2333000000000001</v>
      </c>
      <c r="R483">
        <v>6390.1554404145081</v>
      </c>
      <c r="S483">
        <v>2</v>
      </c>
      <c r="T483">
        <v>0.96499999999999997</v>
      </c>
      <c r="U483">
        <v>1.93</v>
      </c>
      <c r="AA483">
        <v>3447.6683937823832</v>
      </c>
      <c r="AB483">
        <v>3447.6683937823836</v>
      </c>
      <c r="AD483">
        <v>0.53952809535392854</v>
      </c>
      <c r="AE483">
        <v>59.046274790066107</v>
      </c>
    </row>
    <row r="484" spans="1:33" hidden="1" x14ac:dyDescent="0.25">
      <c r="A484">
        <v>2024</v>
      </c>
      <c r="B484" t="s">
        <v>103</v>
      </c>
      <c r="C484" s="59" t="s">
        <v>28</v>
      </c>
      <c r="D484" s="70" t="s">
        <v>38</v>
      </c>
      <c r="E484">
        <v>2</v>
      </c>
      <c r="H484">
        <v>3</v>
      </c>
      <c r="I484" s="12">
        <v>45581</v>
      </c>
      <c r="J484">
        <v>289</v>
      </c>
      <c r="K484" s="64">
        <f>+I484-'2024-selected'!$R$49</f>
        <v>152</v>
      </c>
      <c r="L484" t="s">
        <v>97</v>
      </c>
      <c r="M484">
        <v>37100</v>
      </c>
      <c r="N484">
        <v>741.69999999999993</v>
      </c>
      <c r="O484">
        <f t="shared" si="8"/>
        <v>0.74169999999999991</v>
      </c>
      <c r="Q484">
        <v>1.3873</v>
      </c>
      <c r="R484">
        <v>7188.0829015544041</v>
      </c>
      <c r="S484">
        <v>2</v>
      </c>
      <c r="T484">
        <v>0.96499999999999997</v>
      </c>
      <c r="U484">
        <v>1.93</v>
      </c>
      <c r="AA484">
        <v>3843.0051813471496</v>
      </c>
      <c r="AB484">
        <v>3843.00518134715</v>
      </c>
      <c r="AD484">
        <v>0.53463562315288693</v>
      </c>
      <c r="AE484">
        <v>65.81698528973854</v>
      </c>
    </row>
    <row r="485" spans="1:33" hidden="1" x14ac:dyDescent="0.25">
      <c r="A485">
        <v>2024</v>
      </c>
      <c r="B485" t="s">
        <v>103</v>
      </c>
      <c r="C485" s="59" t="s">
        <v>28</v>
      </c>
      <c r="D485" s="70" t="s">
        <v>38</v>
      </c>
      <c r="E485">
        <v>2</v>
      </c>
      <c r="H485">
        <v>24</v>
      </c>
      <c r="I485" s="12">
        <v>45581</v>
      </c>
      <c r="J485">
        <v>289</v>
      </c>
      <c r="K485" s="64">
        <f>+I485-'2024-selected'!$R$49</f>
        <v>152</v>
      </c>
      <c r="L485" t="s">
        <v>97</v>
      </c>
      <c r="M485">
        <v>37100</v>
      </c>
      <c r="N485">
        <v>607.59999999999991</v>
      </c>
      <c r="O485">
        <f t="shared" si="8"/>
        <v>0.60759999999999992</v>
      </c>
      <c r="Q485">
        <v>1.1402999999999999</v>
      </c>
      <c r="R485">
        <v>5908.2901554404134</v>
      </c>
      <c r="S485">
        <v>2</v>
      </c>
      <c r="T485">
        <v>0.96499999999999997</v>
      </c>
      <c r="U485">
        <v>1.93</v>
      </c>
      <c r="AA485">
        <v>3148.1865284974087</v>
      </c>
      <c r="AB485">
        <v>3148.1865284974087</v>
      </c>
      <c r="AD485">
        <v>0.53284223449969303</v>
      </c>
      <c r="AE485">
        <v>53.917217557024593</v>
      </c>
    </row>
    <row r="486" spans="1:33" hidden="1" x14ac:dyDescent="0.25">
      <c r="A486">
        <v>2024</v>
      </c>
      <c r="B486" t="s">
        <v>103</v>
      </c>
      <c r="C486" s="59" t="s">
        <v>27</v>
      </c>
      <c r="D486" s="70" t="s">
        <v>38</v>
      </c>
      <c r="E486">
        <v>2</v>
      </c>
      <c r="H486">
        <v>2</v>
      </c>
      <c r="I486" s="12">
        <v>45581</v>
      </c>
      <c r="J486">
        <v>289</v>
      </c>
      <c r="K486" s="64">
        <f>+I486-'2024-selected'!$R$49</f>
        <v>152</v>
      </c>
      <c r="L486" t="s">
        <v>97</v>
      </c>
      <c r="M486">
        <v>37100</v>
      </c>
      <c r="N486">
        <v>883.69999999999993</v>
      </c>
      <c r="O486">
        <f t="shared" si="8"/>
        <v>0.88369999999999993</v>
      </c>
      <c r="Q486">
        <v>1.7202999999999999</v>
      </c>
      <c r="R486">
        <v>8913.4715025906735</v>
      </c>
      <c r="S486">
        <v>2</v>
      </c>
      <c r="T486">
        <v>0.96499999999999997</v>
      </c>
      <c r="U486">
        <v>1.93</v>
      </c>
      <c r="AA486">
        <v>4578.7564766839369</v>
      </c>
      <c r="AB486">
        <v>4578.7564766839378</v>
      </c>
      <c r="AD486">
        <v>0.513689472766378</v>
      </c>
      <c r="AE486">
        <v>78.417783336311118</v>
      </c>
    </row>
    <row r="487" spans="1:33" hidden="1" x14ac:dyDescent="0.25">
      <c r="A487">
        <v>2024</v>
      </c>
      <c r="B487" t="s">
        <v>103</v>
      </c>
      <c r="C487" s="59" t="s">
        <v>24</v>
      </c>
      <c r="D487" s="70" t="s">
        <v>38</v>
      </c>
      <c r="E487">
        <v>2</v>
      </c>
      <c r="H487">
        <v>14</v>
      </c>
      <c r="I487" s="12">
        <v>45581</v>
      </c>
      <c r="J487">
        <v>289</v>
      </c>
      <c r="K487" s="64">
        <f>+I487-'2024-selected'!$R$49</f>
        <v>152</v>
      </c>
      <c r="L487" t="s">
        <v>97</v>
      </c>
      <c r="M487">
        <v>37100</v>
      </c>
      <c r="N487">
        <v>850.09999999999991</v>
      </c>
      <c r="O487">
        <f t="shared" si="8"/>
        <v>0.85009999999999986</v>
      </c>
      <c r="Q487">
        <v>1.6673</v>
      </c>
      <c r="R487">
        <v>8638.8601036269429</v>
      </c>
      <c r="S487">
        <v>2</v>
      </c>
      <c r="T487">
        <v>0.96499999999999997</v>
      </c>
      <c r="U487">
        <v>1.93</v>
      </c>
      <c r="AA487">
        <v>4404.6632124352318</v>
      </c>
      <c r="AB487">
        <v>4404.6632124352327</v>
      </c>
      <c r="AD487">
        <v>0.50986625082468662</v>
      </c>
      <c r="AE487">
        <v>75.436186052051696</v>
      </c>
    </row>
    <row r="488" spans="1:33" hidden="1" x14ac:dyDescent="0.25">
      <c r="A488">
        <v>2024</v>
      </c>
      <c r="B488" t="s">
        <v>103</v>
      </c>
      <c r="C488" s="59" t="s">
        <v>33</v>
      </c>
      <c r="D488" s="70" t="s">
        <v>38</v>
      </c>
      <c r="E488">
        <v>3</v>
      </c>
      <c r="H488">
        <v>10</v>
      </c>
      <c r="I488" s="12">
        <v>45581</v>
      </c>
      <c r="J488">
        <v>289</v>
      </c>
      <c r="K488" s="64">
        <f>+I488-'2024-selected'!$R$49</f>
        <v>152</v>
      </c>
      <c r="L488" t="s">
        <v>97</v>
      </c>
      <c r="M488">
        <v>37100</v>
      </c>
      <c r="N488">
        <v>652.09999999999991</v>
      </c>
      <c r="O488">
        <f t="shared" si="8"/>
        <v>0.6520999999999999</v>
      </c>
      <c r="Q488">
        <v>1.3015999999999999</v>
      </c>
      <c r="R488">
        <v>6744.0414507772011</v>
      </c>
      <c r="S488">
        <v>2</v>
      </c>
      <c r="T488">
        <v>0.96499999999999997</v>
      </c>
      <c r="U488">
        <v>1.93</v>
      </c>
      <c r="AA488">
        <v>3378.7564766839373</v>
      </c>
      <c r="AB488">
        <v>3378.7564766839373</v>
      </c>
      <c r="AD488">
        <v>0.50099877074370003</v>
      </c>
      <c r="AE488">
        <v>57.866059198380078</v>
      </c>
    </row>
    <row r="489" spans="1:33" hidden="1" x14ac:dyDescent="0.25">
      <c r="A489">
        <v>2024</v>
      </c>
      <c r="B489" t="s">
        <v>103</v>
      </c>
      <c r="C489" s="59" t="s">
        <v>31</v>
      </c>
      <c r="D489" s="70" t="s">
        <v>38</v>
      </c>
      <c r="E489">
        <v>3</v>
      </c>
      <c r="H489">
        <v>6</v>
      </c>
      <c r="I489" s="12">
        <v>45581</v>
      </c>
      <c r="J489">
        <v>289</v>
      </c>
      <c r="K489" s="64">
        <f>+I489-'2024-selected'!$R$49</f>
        <v>152</v>
      </c>
      <c r="L489" t="s">
        <v>97</v>
      </c>
      <c r="M489">
        <v>37100</v>
      </c>
      <c r="N489">
        <v>638.5</v>
      </c>
      <c r="O489">
        <f t="shared" si="8"/>
        <v>0.63849999999999996</v>
      </c>
      <c r="Q489">
        <v>1.2883</v>
      </c>
      <c r="R489">
        <v>6675.1295336787571</v>
      </c>
      <c r="S489">
        <v>2</v>
      </c>
      <c r="T489">
        <v>0.96499999999999997</v>
      </c>
      <c r="U489">
        <v>1.93</v>
      </c>
      <c r="AA489">
        <v>3308.2901554404143</v>
      </c>
      <c r="AB489">
        <v>3308.2901554404148</v>
      </c>
      <c r="AD489">
        <v>0.49561437553364901</v>
      </c>
      <c r="AE489">
        <v>56.659222202370323</v>
      </c>
    </row>
    <row r="490" spans="1:33" hidden="1" x14ac:dyDescent="0.25">
      <c r="A490">
        <v>2024</v>
      </c>
      <c r="B490" t="s">
        <v>103</v>
      </c>
      <c r="C490" s="59" t="s">
        <v>27</v>
      </c>
      <c r="D490" s="70" t="s">
        <v>38</v>
      </c>
      <c r="E490">
        <v>3</v>
      </c>
      <c r="H490">
        <v>18</v>
      </c>
      <c r="I490" s="12">
        <v>45581</v>
      </c>
      <c r="J490">
        <v>289</v>
      </c>
      <c r="K490" s="64">
        <f>+I490-'2024-selected'!$R$49</f>
        <v>152</v>
      </c>
      <c r="L490" t="s">
        <v>97</v>
      </c>
      <c r="M490">
        <v>37100</v>
      </c>
      <c r="N490">
        <v>618.79999999999995</v>
      </c>
      <c r="O490">
        <f t="shared" si="8"/>
        <v>0.61879999999999991</v>
      </c>
      <c r="Q490">
        <v>1.2752999999999999</v>
      </c>
      <c r="R490">
        <v>6607.7720207253878</v>
      </c>
      <c r="S490">
        <v>2</v>
      </c>
      <c r="T490">
        <v>0.96499999999999997</v>
      </c>
      <c r="U490">
        <v>1.93</v>
      </c>
      <c r="AA490">
        <v>3206.2176165803103</v>
      </c>
      <c r="AB490">
        <v>3206.2176165803107</v>
      </c>
      <c r="AD490">
        <v>0.48521916411824673</v>
      </c>
      <c r="AE490">
        <v>54.911083318444405</v>
      </c>
    </row>
    <row r="491" spans="1:33" hidden="1" x14ac:dyDescent="0.25">
      <c r="A491">
        <v>2024</v>
      </c>
      <c r="B491" t="s">
        <v>103</v>
      </c>
      <c r="C491" s="59" t="s">
        <v>30</v>
      </c>
      <c r="D491" s="70" t="s">
        <v>38</v>
      </c>
      <c r="E491">
        <v>4</v>
      </c>
      <c r="H491">
        <v>5</v>
      </c>
      <c r="I491" s="12">
        <v>45581</v>
      </c>
      <c r="J491">
        <v>289</v>
      </c>
      <c r="K491" s="64">
        <f>+I491-'2024-selected'!$R$49</f>
        <v>152</v>
      </c>
      <c r="L491" t="s">
        <v>97</v>
      </c>
      <c r="M491">
        <v>37100</v>
      </c>
      <c r="N491">
        <v>860.4</v>
      </c>
      <c r="O491">
        <f t="shared" si="8"/>
        <v>0.86039999999999994</v>
      </c>
      <c r="Q491">
        <v>1.7972999999999999</v>
      </c>
      <c r="R491">
        <v>9312.4352331606224</v>
      </c>
      <c r="S491">
        <v>2</v>
      </c>
      <c r="T491">
        <v>0.96499999999999997</v>
      </c>
      <c r="U491">
        <v>1.93</v>
      </c>
      <c r="AA491">
        <v>4458.031088082902</v>
      </c>
      <c r="AB491">
        <v>4458.031088082902</v>
      </c>
      <c r="AD491">
        <v>0.47871807711567355</v>
      </c>
      <c r="AE491">
        <v>76.350187600500263</v>
      </c>
    </row>
    <row r="492" spans="1:33" hidden="1" x14ac:dyDescent="0.25">
      <c r="A492">
        <v>2024</v>
      </c>
      <c r="B492" t="s">
        <v>103</v>
      </c>
      <c r="C492" s="59" t="s">
        <v>30</v>
      </c>
      <c r="D492" s="70" t="s">
        <v>38</v>
      </c>
      <c r="E492">
        <v>4</v>
      </c>
      <c r="H492">
        <v>21</v>
      </c>
      <c r="I492" s="12">
        <v>45581</v>
      </c>
      <c r="J492">
        <v>289</v>
      </c>
      <c r="K492" s="64">
        <f>+I492-'2024-selected'!$R$49</f>
        <v>152</v>
      </c>
      <c r="L492" t="s">
        <v>97</v>
      </c>
      <c r="M492">
        <v>37100</v>
      </c>
      <c r="N492">
        <v>448.40000000000003</v>
      </c>
      <c r="O492">
        <f t="shared" si="8"/>
        <v>0.44840000000000002</v>
      </c>
      <c r="Q492">
        <v>0.93729999999999991</v>
      </c>
      <c r="R492">
        <v>4856.4766839378244</v>
      </c>
      <c r="S492">
        <v>2</v>
      </c>
      <c r="T492">
        <v>0.96499999999999997</v>
      </c>
      <c r="U492">
        <v>1.93</v>
      </c>
      <c r="AA492">
        <v>2323.3160621761667</v>
      </c>
      <c r="AB492">
        <v>2323.3160621761658</v>
      </c>
      <c r="AD492">
        <v>0.47839539101675016</v>
      </c>
      <c r="AE492">
        <v>39.790125662557323</v>
      </c>
    </row>
    <row r="493" spans="1:33" hidden="1" x14ac:dyDescent="0.25">
      <c r="A493">
        <v>2024</v>
      </c>
      <c r="B493" t="s">
        <v>103</v>
      </c>
      <c r="C493" s="59" t="s">
        <v>29</v>
      </c>
      <c r="D493" s="70" t="s">
        <v>38</v>
      </c>
      <c r="E493">
        <v>4</v>
      </c>
      <c r="H493">
        <v>16</v>
      </c>
      <c r="I493" s="12">
        <v>45581</v>
      </c>
      <c r="J493">
        <v>289</v>
      </c>
      <c r="K493" s="64">
        <f>+I493-'2024-selected'!$R$49</f>
        <v>152</v>
      </c>
      <c r="L493" t="s">
        <v>97</v>
      </c>
      <c r="M493">
        <v>37100</v>
      </c>
      <c r="N493">
        <v>621.29999999999995</v>
      </c>
      <c r="O493">
        <f t="shared" si="8"/>
        <v>0.62129999999999996</v>
      </c>
      <c r="Q493">
        <v>1.3103</v>
      </c>
      <c r="R493">
        <v>6789.1191709844561</v>
      </c>
      <c r="S493">
        <v>2</v>
      </c>
      <c r="T493">
        <v>0.96499999999999997</v>
      </c>
      <c r="U493">
        <v>1.93</v>
      </c>
      <c r="AA493">
        <v>3219.1709844559587</v>
      </c>
      <c r="AB493">
        <v>3219.1709844559587</v>
      </c>
      <c r="AD493">
        <v>0.47416622147599785</v>
      </c>
      <c r="AE493">
        <v>55.132928354475617</v>
      </c>
    </row>
    <row r="494" spans="1:33" hidden="1" x14ac:dyDescent="0.25">
      <c r="A494">
        <v>2024</v>
      </c>
      <c r="B494" t="s">
        <v>103</v>
      </c>
      <c r="C494" s="59" t="s">
        <v>32</v>
      </c>
      <c r="D494" s="70" t="s">
        <v>38</v>
      </c>
      <c r="E494">
        <v>5</v>
      </c>
      <c r="H494">
        <v>11</v>
      </c>
      <c r="I494" s="12">
        <v>45581</v>
      </c>
      <c r="J494">
        <v>289</v>
      </c>
      <c r="K494" s="64">
        <f>+I494-'2024-selected'!$R$49</f>
        <v>152</v>
      </c>
      <c r="L494" t="s">
        <v>97</v>
      </c>
      <c r="M494">
        <v>37100</v>
      </c>
      <c r="N494">
        <v>646.79999999999995</v>
      </c>
      <c r="O494">
        <f t="shared" si="8"/>
        <v>0.64679999999999993</v>
      </c>
      <c r="Q494">
        <v>1.3722999999999999</v>
      </c>
      <c r="R494">
        <v>7110.3626943005174</v>
      </c>
      <c r="S494">
        <v>2</v>
      </c>
      <c r="T494">
        <v>0.96499999999999997</v>
      </c>
      <c r="U494">
        <v>1.93</v>
      </c>
      <c r="AA494">
        <v>3351.2953367875643</v>
      </c>
      <c r="AB494">
        <v>3351.2953367875643</v>
      </c>
      <c r="AD494">
        <v>0.47132551191430444</v>
      </c>
      <c r="AE494">
        <v>57.395747721993914</v>
      </c>
    </row>
    <row r="495" spans="1:33" hidden="1" x14ac:dyDescent="0.25">
      <c r="A495">
        <v>2024</v>
      </c>
      <c r="B495" t="s">
        <v>103</v>
      </c>
      <c r="C495" s="59" t="s">
        <v>29</v>
      </c>
      <c r="D495" s="70" t="s">
        <v>38</v>
      </c>
      <c r="E495">
        <v>5</v>
      </c>
      <c r="H495">
        <v>4</v>
      </c>
      <c r="I495" s="12">
        <v>45581</v>
      </c>
      <c r="J495">
        <v>289</v>
      </c>
      <c r="K495" s="64">
        <f>+I495-'2024-selected'!$R$49</f>
        <v>152</v>
      </c>
      <c r="L495" t="s">
        <v>97</v>
      </c>
      <c r="M495">
        <v>37100</v>
      </c>
      <c r="N495">
        <v>537.09999999999991</v>
      </c>
      <c r="O495">
        <f t="shared" si="8"/>
        <v>0.53709999999999991</v>
      </c>
      <c r="Q495">
        <v>1.1533</v>
      </c>
      <c r="R495">
        <v>5975.6476683937826</v>
      </c>
      <c r="S495">
        <v>2</v>
      </c>
      <c r="T495">
        <v>0.96499999999999997</v>
      </c>
      <c r="U495">
        <v>1.93</v>
      </c>
      <c r="AA495">
        <v>2782.9015544041449</v>
      </c>
      <c r="AB495">
        <v>2782.9015544041449</v>
      </c>
      <c r="AD495">
        <v>0.46570710136131099</v>
      </c>
      <c r="AE495">
        <v>47.661187540944546</v>
      </c>
    </row>
    <row r="496" spans="1:33" hidden="1" x14ac:dyDescent="0.25">
      <c r="A496">
        <v>2024</v>
      </c>
      <c r="B496" t="s">
        <v>103</v>
      </c>
      <c r="C496" s="59" t="s">
        <v>27</v>
      </c>
      <c r="D496" s="70" t="s">
        <v>38</v>
      </c>
      <c r="E496">
        <v>5</v>
      </c>
      <c r="H496">
        <v>9</v>
      </c>
      <c r="I496" s="12">
        <v>45581</v>
      </c>
      <c r="J496">
        <v>289</v>
      </c>
      <c r="K496" s="64">
        <f>+I496-'2024-selected'!$R$49</f>
        <v>152</v>
      </c>
      <c r="L496" t="s">
        <v>97</v>
      </c>
      <c r="M496">
        <v>37100</v>
      </c>
      <c r="N496">
        <v>701.3</v>
      </c>
      <c r="O496">
        <f t="shared" si="8"/>
        <v>0.70129999999999992</v>
      </c>
      <c r="Q496">
        <v>1.5112999999999999</v>
      </c>
      <c r="R496">
        <v>7830.5699481865277</v>
      </c>
      <c r="S496">
        <v>2</v>
      </c>
      <c r="T496">
        <v>0.96499999999999997</v>
      </c>
      <c r="U496">
        <v>1.93</v>
      </c>
      <c r="AA496">
        <v>3633.6787564766832</v>
      </c>
      <c r="AB496">
        <v>3633.6787564766837</v>
      </c>
      <c r="AD496">
        <v>0.46403758353735197</v>
      </c>
      <c r="AE496">
        <v>62.23196950747424</v>
      </c>
    </row>
    <row r="497" spans="1:33" hidden="1" x14ac:dyDescent="0.25">
      <c r="A497">
        <v>2024</v>
      </c>
      <c r="B497" t="s">
        <v>103</v>
      </c>
      <c r="C497" s="59" t="s">
        <v>24</v>
      </c>
      <c r="D497" s="70" t="s">
        <v>38</v>
      </c>
      <c r="E497">
        <v>5</v>
      </c>
      <c r="H497">
        <v>23</v>
      </c>
      <c r="I497" s="12">
        <v>45581</v>
      </c>
      <c r="J497">
        <v>289</v>
      </c>
      <c r="K497" s="64">
        <f>+I497-'2024-selected'!$R$49</f>
        <v>152</v>
      </c>
      <c r="L497" t="s">
        <v>97</v>
      </c>
      <c r="M497">
        <v>37100</v>
      </c>
      <c r="N497">
        <v>729.4</v>
      </c>
      <c r="O497">
        <f t="shared" si="8"/>
        <v>0.72939999999999994</v>
      </c>
      <c r="Q497">
        <v>1.5772999999999999</v>
      </c>
      <c r="R497">
        <v>8172.5388601036275</v>
      </c>
      <c r="S497">
        <v>2</v>
      </c>
      <c r="T497">
        <v>0.96499999999999997</v>
      </c>
      <c r="U497">
        <v>1.93</v>
      </c>
      <c r="AA497">
        <v>3779.2746113989638</v>
      </c>
      <c r="AB497">
        <v>3779.2746113989633</v>
      </c>
      <c r="AD497">
        <v>0.46243580802637413</v>
      </c>
      <c r="AE497">
        <v>64.725507712465003</v>
      </c>
    </row>
    <row r="498" spans="1:33" hidden="1" x14ac:dyDescent="0.25">
      <c r="A498">
        <v>2024</v>
      </c>
      <c r="B498" t="s">
        <v>103</v>
      </c>
      <c r="C498" s="59" t="s">
        <v>32</v>
      </c>
      <c r="D498" s="70" t="s">
        <v>38</v>
      </c>
      <c r="E498">
        <v>5</v>
      </c>
      <c r="H498">
        <v>22</v>
      </c>
      <c r="I498" s="12">
        <v>45581</v>
      </c>
      <c r="J498">
        <v>289</v>
      </c>
      <c r="K498" s="64">
        <f>+I498-'2024-selected'!$R$49</f>
        <v>152</v>
      </c>
      <c r="L498" t="s">
        <v>97</v>
      </c>
      <c r="M498">
        <v>37100</v>
      </c>
      <c r="N498">
        <v>602.19999999999993</v>
      </c>
      <c r="O498">
        <f t="shared" si="8"/>
        <v>0.60219999999999996</v>
      </c>
      <c r="Q498">
        <v>1.3023</v>
      </c>
      <c r="R498">
        <v>6747.6683937823836</v>
      </c>
      <c r="S498">
        <v>2</v>
      </c>
      <c r="T498">
        <v>0.96499999999999997</v>
      </c>
      <c r="U498">
        <v>1.93</v>
      </c>
      <c r="AA498">
        <v>3120.2072538860102</v>
      </c>
      <c r="AB498">
        <v>3120.2072538860107</v>
      </c>
      <c r="AD498">
        <v>0.46241265453428554</v>
      </c>
      <c r="AE498">
        <v>53.438032279197202</v>
      </c>
    </row>
    <row r="499" spans="1:33" hidden="1" x14ac:dyDescent="0.25">
      <c r="A499">
        <v>2024</v>
      </c>
      <c r="B499" t="s">
        <v>103</v>
      </c>
      <c r="C499" s="59" t="s">
        <v>24</v>
      </c>
      <c r="D499" s="70" t="s">
        <v>38</v>
      </c>
      <c r="E499">
        <v>5</v>
      </c>
      <c r="H499">
        <v>1</v>
      </c>
      <c r="I499" s="12">
        <v>45581</v>
      </c>
      <c r="J499">
        <v>289</v>
      </c>
      <c r="K499" s="64">
        <f>+I499-'2024-selected'!$R$49</f>
        <v>152</v>
      </c>
      <c r="L499" t="s">
        <v>97</v>
      </c>
      <c r="M499">
        <v>37100</v>
      </c>
      <c r="N499">
        <v>1008.8</v>
      </c>
      <c r="O499">
        <f t="shared" si="8"/>
        <v>1.0087999999999999</v>
      </c>
      <c r="Q499">
        <v>2.1823000000000001</v>
      </c>
      <c r="R499">
        <v>11307.2538860104</v>
      </c>
      <c r="S499">
        <v>2</v>
      </c>
      <c r="T499">
        <v>0.96499999999999997</v>
      </c>
      <c r="U499">
        <v>1.93</v>
      </c>
      <c r="AA499">
        <v>5226.9430051813633</v>
      </c>
      <c r="AB499">
        <v>5226.943005181347</v>
      </c>
      <c r="AD499">
        <v>0.46226458323786679</v>
      </c>
      <c r="AE499">
        <v>89.518908939312738</v>
      </c>
    </row>
    <row r="500" spans="1:33" hidden="1" x14ac:dyDescent="0.25">
      <c r="A500">
        <v>2024</v>
      </c>
      <c r="B500" t="s">
        <v>103</v>
      </c>
      <c r="C500" s="59" t="s">
        <v>32</v>
      </c>
      <c r="D500" s="70" t="s">
        <v>38</v>
      </c>
      <c r="E500">
        <v>5</v>
      </c>
      <c r="H500">
        <v>7</v>
      </c>
      <c r="I500" s="12">
        <v>45581</v>
      </c>
      <c r="J500">
        <v>289</v>
      </c>
      <c r="K500" s="64">
        <f>+I500-'2024-selected'!$R$49</f>
        <v>152</v>
      </c>
      <c r="L500" t="s">
        <v>97</v>
      </c>
      <c r="M500">
        <v>37100</v>
      </c>
      <c r="N500">
        <v>644.09999999999991</v>
      </c>
      <c r="O500">
        <f t="shared" si="8"/>
        <v>0.64409999999999989</v>
      </c>
      <c r="Q500">
        <v>1.3953</v>
      </c>
      <c r="R500">
        <v>7229.5336787564765</v>
      </c>
      <c r="S500">
        <v>2</v>
      </c>
      <c r="T500">
        <v>0.96499999999999997</v>
      </c>
      <c r="U500">
        <v>1.93</v>
      </c>
      <c r="AA500">
        <v>3337.3056994818648</v>
      </c>
      <c r="AB500">
        <v>3337.3056994818648</v>
      </c>
      <c r="AD500">
        <v>0.46162115674048587</v>
      </c>
      <c r="AE500">
        <v>57.156155083080215</v>
      </c>
    </row>
    <row r="501" spans="1:33" hidden="1" x14ac:dyDescent="0.25">
      <c r="A501">
        <v>2024</v>
      </c>
      <c r="B501" t="s">
        <v>103</v>
      </c>
      <c r="C501" s="59" t="s">
        <v>33</v>
      </c>
      <c r="D501" s="70" t="s">
        <v>38</v>
      </c>
      <c r="E501">
        <v>6</v>
      </c>
      <c r="H501">
        <v>17</v>
      </c>
      <c r="I501" s="12">
        <v>45581</v>
      </c>
      <c r="J501">
        <v>289</v>
      </c>
      <c r="K501" s="64">
        <f>+I501-'2024-selected'!$R$49</f>
        <v>152</v>
      </c>
      <c r="L501" t="s">
        <v>97</v>
      </c>
      <c r="M501">
        <v>37100</v>
      </c>
      <c r="N501">
        <v>595.9</v>
      </c>
      <c r="O501">
        <f t="shared" si="8"/>
        <v>0.59589999999999999</v>
      </c>
      <c r="Q501">
        <v>1.3032999999999999</v>
      </c>
      <c r="R501">
        <v>6752.8497409326419</v>
      </c>
      <c r="S501">
        <v>2</v>
      </c>
      <c r="T501">
        <v>0.96499999999999997</v>
      </c>
      <c r="U501">
        <v>1.93</v>
      </c>
      <c r="AA501">
        <v>3087.5647668393781</v>
      </c>
      <c r="AB501">
        <v>3087.5647668393785</v>
      </c>
      <c r="AD501">
        <v>0.45722396992250447</v>
      </c>
      <c r="AE501">
        <v>52.878982788398552</v>
      </c>
    </row>
    <row r="502" spans="1:33" hidden="1" x14ac:dyDescent="0.25">
      <c r="A502">
        <v>2024</v>
      </c>
      <c r="B502" t="s">
        <v>103</v>
      </c>
      <c r="C502" s="59" t="s">
        <v>30</v>
      </c>
      <c r="D502" s="70" t="s">
        <v>38</v>
      </c>
      <c r="E502">
        <v>6</v>
      </c>
      <c r="H502">
        <v>15</v>
      </c>
      <c r="I502" s="12">
        <v>45581</v>
      </c>
      <c r="J502">
        <v>289</v>
      </c>
      <c r="K502" s="64">
        <f>+I502-'2024-selected'!$R$49</f>
        <v>152</v>
      </c>
      <c r="L502" t="s">
        <v>97</v>
      </c>
      <c r="M502">
        <v>37100</v>
      </c>
      <c r="N502">
        <v>544.29999999999995</v>
      </c>
      <c r="O502">
        <f t="shared" si="8"/>
        <v>0.54430000000000001</v>
      </c>
      <c r="Q502">
        <v>1.1913</v>
      </c>
      <c r="R502">
        <v>6172.5388601036275</v>
      </c>
      <c r="S502">
        <v>2</v>
      </c>
      <c r="T502">
        <v>0.96499999999999997</v>
      </c>
      <c r="U502">
        <v>1.93</v>
      </c>
      <c r="AA502">
        <v>2820.2072538860107</v>
      </c>
      <c r="AB502">
        <v>2820.2072538860107</v>
      </c>
      <c r="AD502">
        <v>0.45689582808696383</v>
      </c>
      <c r="AE502">
        <v>48.300101244714433</v>
      </c>
    </row>
    <row r="503" spans="1:33" hidden="1" x14ac:dyDescent="0.25">
      <c r="A503">
        <v>2024</v>
      </c>
      <c r="B503" t="s">
        <v>103</v>
      </c>
      <c r="C503" s="59" t="s">
        <v>31</v>
      </c>
      <c r="D503" s="70" t="s">
        <v>38</v>
      </c>
      <c r="E503">
        <v>6</v>
      </c>
      <c r="H503">
        <v>20</v>
      </c>
      <c r="I503" s="12">
        <v>45581</v>
      </c>
      <c r="J503">
        <v>289</v>
      </c>
      <c r="K503" s="64">
        <f>+I503-'2024-selected'!$R$49</f>
        <v>152</v>
      </c>
      <c r="L503" t="s">
        <v>97</v>
      </c>
      <c r="M503">
        <v>37100</v>
      </c>
      <c r="N503">
        <v>530.5</v>
      </c>
      <c r="O503">
        <f t="shared" si="8"/>
        <v>0.53049999999999997</v>
      </c>
      <c r="Q503">
        <v>1.1913</v>
      </c>
      <c r="R503">
        <v>6172.5388601036275</v>
      </c>
      <c r="S503">
        <v>2</v>
      </c>
      <c r="T503">
        <v>0.96499999999999997</v>
      </c>
      <c r="U503">
        <v>1.93</v>
      </c>
      <c r="AA503">
        <v>2748.7046632124352</v>
      </c>
      <c r="AB503">
        <v>2748.7046632124352</v>
      </c>
      <c r="AD503">
        <v>0.44531184420381092</v>
      </c>
      <c r="AE503">
        <v>47.075516645822169</v>
      </c>
    </row>
    <row r="504" spans="1:33" hidden="1" x14ac:dyDescent="0.25">
      <c r="A504">
        <v>2024</v>
      </c>
      <c r="B504" t="s">
        <v>103</v>
      </c>
      <c r="C504" s="59" t="s">
        <v>33</v>
      </c>
      <c r="D504" s="70" t="s">
        <v>38</v>
      </c>
      <c r="E504">
        <v>6</v>
      </c>
      <c r="H504">
        <v>8</v>
      </c>
      <c r="I504" s="12">
        <v>45581</v>
      </c>
      <c r="J504">
        <v>289</v>
      </c>
      <c r="K504" s="64">
        <f>+I504-'2024-selected'!$R$49</f>
        <v>152</v>
      </c>
      <c r="L504" t="s">
        <v>97</v>
      </c>
      <c r="M504">
        <v>37100</v>
      </c>
      <c r="N504">
        <v>457.2</v>
      </c>
      <c r="O504">
        <f t="shared" si="8"/>
        <v>0.4572</v>
      </c>
      <c r="Q504">
        <v>1.0532999999999999</v>
      </c>
      <c r="R504">
        <v>5457.5129533678746</v>
      </c>
      <c r="S504">
        <v>2</v>
      </c>
      <c r="T504">
        <v>0.96499999999999997</v>
      </c>
      <c r="U504">
        <v>1.93</v>
      </c>
      <c r="AA504">
        <v>2368.9119170984454</v>
      </c>
      <c r="AB504">
        <v>2368.9119170984459</v>
      </c>
      <c r="AD504">
        <v>0.43406436912560536</v>
      </c>
      <c r="AE504">
        <v>40.571020189387177</v>
      </c>
    </row>
    <row r="505" spans="1:33" hidden="1" x14ac:dyDescent="0.25">
      <c r="A505">
        <v>2024</v>
      </c>
      <c r="B505" t="s">
        <v>103</v>
      </c>
      <c r="C505" s="59" t="s">
        <v>29</v>
      </c>
      <c r="D505" s="70" t="s">
        <v>38</v>
      </c>
      <c r="E505">
        <v>3</v>
      </c>
      <c r="H505">
        <v>19</v>
      </c>
      <c r="I505" s="12">
        <v>45581</v>
      </c>
      <c r="J505">
        <v>289</v>
      </c>
      <c r="K505" s="64">
        <f>+I505-'2024-selected'!$R$49</f>
        <v>152</v>
      </c>
      <c r="L505" t="s">
        <v>97</v>
      </c>
      <c r="M505">
        <v>37100</v>
      </c>
      <c r="N505">
        <v>502.59999999999991</v>
      </c>
      <c r="O505">
        <f t="shared" si="8"/>
        <v>0.50259999999999994</v>
      </c>
      <c r="Q505">
        <v>1.2863</v>
      </c>
      <c r="R505">
        <v>6664.7668393782387</v>
      </c>
      <c r="S505">
        <v>2</v>
      </c>
      <c r="T505">
        <v>0.96499999999999997</v>
      </c>
      <c r="U505">
        <v>1.93</v>
      </c>
      <c r="AA505">
        <v>2604.1450777202072</v>
      </c>
      <c r="AB505">
        <v>2604.1450777202067</v>
      </c>
      <c r="AD505">
        <v>0.39073311047189602</v>
      </c>
      <c r="AE505">
        <v>44.599726043713886</v>
      </c>
    </row>
    <row r="506" spans="1:33" hidden="1" x14ac:dyDescent="0.25">
      <c r="A506">
        <v>2024</v>
      </c>
      <c r="B506" s="19" t="s">
        <v>103</v>
      </c>
      <c r="C506" s="59" t="s">
        <v>27</v>
      </c>
      <c r="D506" s="70" t="s">
        <v>38</v>
      </c>
      <c r="E506" s="15">
        <v>1</v>
      </c>
      <c r="F506">
        <v>5</v>
      </c>
      <c r="G506">
        <v>1</v>
      </c>
      <c r="H506" s="19">
        <v>18</v>
      </c>
      <c r="I506" s="25">
        <v>45574</v>
      </c>
      <c r="J506" s="18">
        <v>282</v>
      </c>
      <c r="K506" s="62">
        <f>+I506-'2024-selected'!$R$48</f>
        <v>146</v>
      </c>
      <c r="L506" s="19" t="s">
        <v>107</v>
      </c>
      <c r="M506" s="19">
        <v>40800</v>
      </c>
      <c r="N506" s="19"/>
      <c r="O506" s="19"/>
      <c r="P506" s="19"/>
      <c r="Q506" s="19">
        <v>1.1910000000000001</v>
      </c>
      <c r="R506" s="19">
        <v>6170.984455958549</v>
      </c>
      <c r="S506" s="19">
        <v>1</v>
      </c>
      <c r="T506" s="19">
        <v>0.96499999999999997</v>
      </c>
      <c r="U506" s="27">
        <f t="shared" ref="U506:U524" si="9">T506*S506</f>
        <v>0.96499999999999997</v>
      </c>
      <c r="V506" s="19"/>
      <c r="W506" s="19"/>
      <c r="X506" s="19"/>
      <c r="Y506" s="19"/>
      <c r="Z506" s="19"/>
      <c r="AA506" s="19">
        <v>3411.3989637305699</v>
      </c>
      <c r="AB506" s="19">
        <v>3411.3989637305699</v>
      </c>
      <c r="AC506" s="19"/>
      <c r="AD506" s="19">
        <v>0.55281276238455079</v>
      </c>
      <c r="AE506" s="19">
        <v>58.425108689178721</v>
      </c>
      <c r="AF506" s="19"/>
      <c r="AG506" s="19"/>
    </row>
    <row r="507" spans="1:33" hidden="1" x14ac:dyDescent="0.25">
      <c r="A507">
        <v>2024</v>
      </c>
      <c r="B507" s="19" t="s">
        <v>103</v>
      </c>
      <c r="C507" s="59" t="s">
        <v>33</v>
      </c>
      <c r="D507" s="70" t="s">
        <v>38</v>
      </c>
      <c r="E507">
        <v>3</v>
      </c>
      <c r="F507">
        <v>11</v>
      </c>
      <c r="G507">
        <v>3</v>
      </c>
      <c r="H507" s="19">
        <v>8</v>
      </c>
      <c r="I507" s="25">
        <v>45574</v>
      </c>
      <c r="J507" s="18">
        <v>282</v>
      </c>
      <c r="K507" s="62">
        <f>+I507-'2024-selected'!$R$48</f>
        <v>146</v>
      </c>
      <c r="L507" s="19" t="s">
        <v>107</v>
      </c>
      <c r="M507" s="19">
        <v>40800</v>
      </c>
      <c r="N507" s="19"/>
      <c r="O507" s="19"/>
      <c r="P507" s="19"/>
      <c r="Q507" s="19">
        <v>1.4604999999999999</v>
      </c>
      <c r="R507" s="19">
        <v>7567.3575129533683</v>
      </c>
      <c r="S507" s="19">
        <v>1</v>
      </c>
      <c r="T507" s="19">
        <v>0.96499999999999997</v>
      </c>
      <c r="U507" s="27">
        <f t="shared" si="9"/>
        <v>0.96499999999999997</v>
      </c>
      <c r="V507" s="19"/>
      <c r="W507" s="19"/>
      <c r="X507" s="19"/>
      <c r="Y507" s="19"/>
      <c r="Z507" s="19"/>
      <c r="AA507" s="19">
        <v>3676.1658031088091</v>
      </c>
      <c r="AB507" s="19">
        <v>3676.1658031088086</v>
      </c>
      <c r="AC507" s="19"/>
      <c r="AD507" s="19">
        <v>0.48579253680246492</v>
      </c>
      <c r="AE507" s="19">
        <v>62.959621225656605</v>
      </c>
      <c r="AF507" s="19"/>
      <c r="AG507" s="19"/>
    </row>
    <row r="508" spans="1:33" hidden="1" x14ac:dyDescent="0.25">
      <c r="A508">
        <v>2024</v>
      </c>
      <c r="B508" s="19" t="s">
        <v>103</v>
      </c>
      <c r="C508" s="59" t="s">
        <v>31</v>
      </c>
      <c r="D508" s="70" t="s">
        <v>38</v>
      </c>
      <c r="E508">
        <v>4</v>
      </c>
      <c r="F508">
        <v>3</v>
      </c>
      <c r="G508">
        <v>4</v>
      </c>
      <c r="H508" s="19">
        <v>6</v>
      </c>
      <c r="I508" s="25">
        <v>45574</v>
      </c>
      <c r="J508" s="18">
        <v>282</v>
      </c>
      <c r="K508" s="62">
        <f>+I508-'2024-selected'!$R$48</f>
        <v>146</v>
      </c>
      <c r="L508" s="19" t="s">
        <v>107</v>
      </c>
      <c r="M508" s="19">
        <v>40800</v>
      </c>
      <c r="N508" s="19"/>
      <c r="O508" s="19"/>
      <c r="P508" s="19"/>
      <c r="Q508" s="19">
        <v>1.2044999999999999</v>
      </c>
      <c r="R508" s="19">
        <v>6240.932642487046</v>
      </c>
      <c r="S508" s="19">
        <v>1</v>
      </c>
      <c r="T508" s="19">
        <v>0.96499999999999997</v>
      </c>
      <c r="U508" s="27">
        <f t="shared" si="9"/>
        <v>0.96499999999999997</v>
      </c>
      <c r="V508" s="19"/>
      <c r="W508" s="19"/>
      <c r="X508" s="19"/>
      <c r="Y508" s="19"/>
      <c r="Z508" s="19"/>
      <c r="AA508" s="19">
        <v>2994.3005181347148</v>
      </c>
      <c r="AB508" s="19">
        <v>2994.3005181347153</v>
      </c>
      <c r="AC508" s="19"/>
      <c r="AD508" s="19">
        <v>0.47978414279784154</v>
      </c>
      <c r="AE508" s="19">
        <v>51.281698528973862</v>
      </c>
      <c r="AF508" s="19"/>
      <c r="AG508" s="19"/>
    </row>
    <row r="509" spans="1:33" hidden="1" x14ac:dyDescent="0.25">
      <c r="A509">
        <v>2024</v>
      </c>
      <c r="B509" s="19" t="s">
        <v>103</v>
      </c>
      <c r="C509" s="59" t="s">
        <v>33</v>
      </c>
      <c r="D509" s="70" t="s">
        <v>38</v>
      </c>
      <c r="E509">
        <v>4</v>
      </c>
      <c r="F509">
        <v>8</v>
      </c>
      <c r="G509">
        <v>4</v>
      </c>
      <c r="H509" s="19">
        <v>17</v>
      </c>
      <c r="I509" s="25">
        <v>45574</v>
      </c>
      <c r="J509" s="18">
        <v>282</v>
      </c>
      <c r="K509" s="62">
        <f>+I509-'2024-selected'!$R$48</f>
        <v>146</v>
      </c>
      <c r="L509" s="19" t="s">
        <v>107</v>
      </c>
      <c r="M509" s="19">
        <v>40800</v>
      </c>
      <c r="N509" s="19"/>
      <c r="O509" s="19"/>
      <c r="P509" s="19"/>
      <c r="Q509" s="19">
        <v>1.7965</v>
      </c>
      <c r="R509" s="19">
        <v>9308.2901554404143</v>
      </c>
      <c r="S509" s="19">
        <v>1</v>
      </c>
      <c r="T509" s="19">
        <v>0.96499999999999997</v>
      </c>
      <c r="U509" s="27">
        <f t="shared" si="9"/>
        <v>0.96499999999999997</v>
      </c>
      <c r="V509" s="19"/>
      <c r="W509" s="19"/>
      <c r="X509" s="19"/>
      <c r="Y509" s="19"/>
      <c r="Z509" s="19"/>
      <c r="AA509" s="19">
        <v>4432.6424870466326</v>
      </c>
      <c r="AB509" s="19">
        <v>4432.6424870466326</v>
      </c>
      <c r="AC509" s="19"/>
      <c r="AD509" s="19">
        <v>0.47620372947397721</v>
      </c>
      <c r="AE509" s="19">
        <v>75.915371329879108</v>
      </c>
      <c r="AF509" s="19"/>
      <c r="AG509" s="19"/>
    </row>
    <row r="510" spans="1:33" hidden="1" x14ac:dyDescent="0.25">
      <c r="A510">
        <v>2024</v>
      </c>
      <c r="B510" s="19" t="s">
        <v>103</v>
      </c>
      <c r="C510" s="59" t="s">
        <v>28</v>
      </c>
      <c r="D510" s="70" t="s">
        <v>38</v>
      </c>
      <c r="E510">
        <v>4</v>
      </c>
      <c r="F510">
        <v>9</v>
      </c>
      <c r="G510">
        <v>4</v>
      </c>
      <c r="H510" s="19">
        <v>24</v>
      </c>
      <c r="I510" s="25">
        <v>45574</v>
      </c>
      <c r="J510" s="18">
        <v>282</v>
      </c>
      <c r="K510" s="62">
        <f>+I510-'2024-selected'!$R$48</f>
        <v>146</v>
      </c>
      <c r="L510" s="19" t="s">
        <v>107</v>
      </c>
      <c r="M510" s="19">
        <v>40800</v>
      </c>
      <c r="N510" s="19"/>
      <c r="O510" s="19"/>
      <c r="P510" s="19"/>
      <c r="Q510" s="19">
        <v>1.359</v>
      </c>
      <c r="R510" s="19">
        <v>7041.4507772020725</v>
      </c>
      <c r="S510" s="19">
        <v>1</v>
      </c>
      <c r="T510" s="19">
        <v>0.96499999999999997</v>
      </c>
      <c r="U510" s="27">
        <f t="shared" si="9"/>
        <v>0.96499999999999997</v>
      </c>
      <c r="V510" s="19"/>
      <c r="W510" s="19"/>
      <c r="X510" s="19"/>
      <c r="Y510" s="19"/>
      <c r="Z510" s="19"/>
      <c r="AA510" s="19">
        <v>3338.8601036269429</v>
      </c>
      <c r="AB510" s="19">
        <v>3338.8601036269433</v>
      </c>
      <c r="AC510" s="19"/>
      <c r="AD510" s="19">
        <v>0.47417218543046363</v>
      </c>
      <c r="AE510" s="19">
        <v>57.18277648740397</v>
      </c>
      <c r="AF510" s="19"/>
      <c r="AG510" s="19"/>
    </row>
    <row r="511" spans="1:33" hidden="1" x14ac:dyDescent="0.25">
      <c r="A511">
        <v>2024</v>
      </c>
      <c r="B511" s="19" t="s">
        <v>103</v>
      </c>
      <c r="C511" s="59" t="s">
        <v>27</v>
      </c>
      <c r="D511" s="70" t="s">
        <v>38</v>
      </c>
      <c r="E511">
        <v>4</v>
      </c>
      <c r="F511">
        <v>11</v>
      </c>
      <c r="G511">
        <v>4</v>
      </c>
      <c r="H511" s="19">
        <v>9</v>
      </c>
      <c r="I511" s="25">
        <v>45574</v>
      </c>
      <c r="J511" s="18">
        <v>282</v>
      </c>
      <c r="K511" s="62">
        <f>+I511-'2024-selected'!$R$48</f>
        <v>146</v>
      </c>
      <c r="L511" s="19" t="s">
        <v>107</v>
      </c>
      <c r="M511" s="19">
        <v>40800</v>
      </c>
      <c r="N511" s="19"/>
      <c r="O511" s="19"/>
      <c r="P511" s="19"/>
      <c r="Q511" s="19">
        <v>1.4245000000000001</v>
      </c>
      <c r="R511" s="19">
        <v>7380.8290155440427</v>
      </c>
      <c r="S511" s="19">
        <v>1</v>
      </c>
      <c r="T511" s="19">
        <v>0.96499999999999997</v>
      </c>
      <c r="U511" s="27">
        <f t="shared" si="9"/>
        <v>0.96499999999999997</v>
      </c>
      <c r="V511" s="19"/>
      <c r="W511" s="19"/>
      <c r="X511" s="19"/>
      <c r="Y511" s="19"/>
      <c r="Z511" s="19"/>
      <c r="AA511" s="19">
        <v>3482.9015544041449</v>
      </c>
      <c r="AB511" s="19">
        <v>3482.9015544041449</v>
      </c>
      <c r="AC511" s="19"/>
      <c r="AD511" s="19">
        <v>0.47188487188487177</v>
      </c>
      <c r="AE511" s="19">
        <v>59.649693288070985</v>
      </c>
      <c r="AF511" s="19"/>
      <c r="AG511" s="19"/>
    </row>
    <row r="512" spans="1:33" hidden="1" x14ac:dyDescent="0.25">
      <c r="A512">
        <v>2024</v>
      </c>
      <c r="B512" s="19" t="s">
        <v>103</v>
      </c>
      <c r="C512" s="59" t="s">
        <v>24</v>
      </c>
      <c r="D512" s="70" t="s">
        <v>38</v>
      </c>
      <c r="E512">
        <v>5</v>
      </c>
      <c r="F512">
        <v>2</v>
      </c>
      <c r="G512">
        <v>5</v>
      </c>
      <c r="H512" s="19">
        <v>23</v>
      </c>
      <c r="I512" s="25">
        <v>45574</v>
      </c>
      <c r="J512" s="18">
        <v>282</v>
      </c>
      <c r="K512" s="62">
        <f>+I512-'2024-selected'!$R$48</f>
        <v>146</v>
      </c>
      <c r="L512" s="19" t="s">
        <v>107</v>
      </c>
      <c r="M512" s="19">
        <v>40800</v>
      </c>
      <c r="N512" s="19"/>
      <c r="O512" s="19"/>
      <c r="P512" s="19"/>
      <c r="Q512" s="19">
        <v>1.5395000000000001</v>
      </c>
      <c r="R512" s="19">
        <v>7976.6839378238346</v>
      </c>
      <c r="S512" s="19">
        <v>1</v>
      </c>
      <c r="T512" s="19">
        <v>0.96499999999999997</v>
      </c>
      <c r="U512" s="27">
        <f t="shared" si="9"/>
        <v>0.96499999999999997</v>
      </c>
      <c r="V512" s="19"/>
      <c r="W512" s="19"/>
      <c r="X512" s="19"/>
      <c r="Y512" s="19"/>
      <c r="Z512" s="19"/>
      <c r="AA512" s="19">
        <v>3748.1865284974087</v>
      </c>
      <c r="AB512" s="19">
        <v>3748.1865284974092</v>
      </c>
      <c r="AC512" s="19"/>
      <c r="AD512" s="19">
        <v>0.46989282234491714</v>
      </c>
      <c r="AE512" s="19">
        <v>64.193079625990109</v>
      </c>
      <c r="AF512" s="19"/>
      <c r="AG512" s="19"/>
    </row>
    <row r="513" spans="1:33" hidden="1" x14ac:dyDescent="0.25">
      <c r="A513">
        <v>2024</v>
      </c>
      <c r="B513" s="19" t="s">
        <v>103</v>
      </c>
      <c r="C513" s="59" t="s">
        <v>29</v>
      </c>
      <c r="D513" s="70" t="s">
        <v>38</v>
      </c>
      <c r="E513">
        <v>6</v>
      </c>
      <c r="F513">
        <v>1</v>
      </c>
      <c r="G513">
        <v>6</v>
      </c>
      <c r="H513" s="19">
        <v>19</v>
      </c>
      <c r="I513" s="25">
        <v>45574</v>
      </c>
      <c r="J513" s="18">
        <v>282</v>
      </c>
      <c r="K513" s="62">
        <f>+I513-'2024-selected'!$R$48</f>
        <v>146</v>
      </c>
      <c r="L513" s="19" t="s">
        <v>107</v>
      </c>
      <c r="M513" s="19">
        <v>40800</v>
      </c>
      <c r="N513" s="19"/>
      <c r="O513" s="19"/>
      <c r="P513" s="19"/>
      <c r="Q513" s="19">
        <v>1.2695000000000001</v>
      </c>
      <c r="R513" s="19">
        <v>6577.7202072538867</v>
      </c>
      <c r="S513" s="19">
        <v>1</v>
      </c>
      <c r="T513" s="19">
        <v>0.96499999999999997</v>
      </c>
      <c r="U513" s="27">
        <f t="shared" si="9"/>
        <v>0.96499999999999997</v>
      </c>
      <c r="V513" s="19"/>
      <c r="W513" s="19"/>
      <c r="X513" s="19"/>
      <c r="Y513" s="19"/>
      <c r="Z513" s="19"/>
      <c r="AA513" s="19">
        <v>3033.1606217616586</v>
      </c>
      <c r="AB513" s="19">
        <v>3033.1606217616581</v>
      </c>
      <c r="AC513" s="19"/>
      <c r="AD513" s="19">
        <v>0.46112642772745172</v>
      </c>
      <c r="AE513" s="19">
        <v>51.947233637067477</v>
      </c>
      <c r="AF513" s="19"/>
      <c r="AG513" s="19"/>
    </row>
    <row r="514" spans="1:33" hidden="1" x14ac:dyDescent="0.25">
      <c r="A514">
        <v>2024</v>
      </c>
      <c r="B514" s="19" t="s">
        <v>103</v>
      </c>
      <c r="C514" s="59" t="s">
        <v>31</v>
      </c>
      <c r="D514" s="70" t="s">
        <v>38</v>
      </c>
      <c r="E514">
        <v>6</v>
      </c>
      <c r="F514">
        <v>4</v>
      </c>
      <c r="G514">
        <v>6</v>
      </c>
      <c r="H514" s="19">
        <v>20</v>
      </c>
      <c r="I514" s="25">
        <v>45574</v>
      </c>
      <c r="J514" s="18">
        <v>282</v>
      </c>
      <c r="K514" s="62">
        <f>+I514-'2024-selected'!$R$48</f>
        <v>146</v>
      </c>
      <c r="L514" s="19" t="s">
        <v>107</v>
      </c>
      <c r="M514" s="19">
        <v>40800</v>
      </c>
      <c r="N514" s="19"/>
      <c r="O514" s="19"/>
      <c r="P514" s="19"/>
      <c r="Q514" s="19">
        <v>1.1975</v>
      </c>
      <c r="R514" s="19">
        <v>6204.6632124352336</v>
      </c>
      <c r="S514" s="19">
        <v>1</v>
      </c>
      <c r="T514" s="19">
        <v>0.96499999999999997</v>
      </c>
      <c r="U514" s="27">
        <f t="shared" si="9"/>
        <v>0.96499999999999997</v>
      </c>
      <c r="V514" s="19"/>
      <c r="W514" s="19"/>
      <c r="X514" s="19"/>
      <c r="Y514" s="19"/>
      <c r="Z514" s="19"/>
      <c r="AA514" s="19">
        <v>2832.1243523316057</v>
      </c>
      <c r="AB514" s="19">
        <v>2832.1243523316057</v>
      </c>
      <c r="AC514" s="19"/>
      <c r="AD514" s="19">
        <v>0.45645093945720239</v>
      </c>
      <c r="AE514" s="19">
        <v>48.50419867786313</v>
      </c>
      <c r="AF514" s="19"/>
      <c r="AG514" s="19"/>
    </row>
    <row r="515" spans="1:33" hidden="1" x14ac:dyDescent="0.25">
      <c r="A515">
        <v>2024</v>
      </c>
      <c r="B515" s="19" t="s">
        <v>103</v>
      </c>
      <c r="C515" s="59" t="s">
        <v>27</v>
      </c>
      <c r="D515" s="70" t="s">
        <v>38</v>
      </c>
      <c r="E515">
        <v>6</v>
      </c>
      <c r="F515">
        <v>5</v>
      </c>
      <c r="G515">
        <v>6</v>
      </c>
      <c r="H515" s="19">
        <v>2</v>
      </c>
      <c r="I515" s="25">
        <v>45574</v>
      </c>
      <c r="J515" s="18">
        <v>282</v>
      </c>
      <c r="K515" s="62">
        <f>+I515-'2024-selected'!$R$48</f>
        <v>146</v>
      </c>
      <c r="L515" s="19" t="s">
        <v>107</v>
      </c>
      <c r="M515" s="19">
        <v>40800</v>
      </c>
      <c r="N515" s="19"/>
      <c r="O515" s="19"/>
      <c r="P515" s="19"/>
      <c r="Q515" s="19">
        <v>1.2925</v>
      </c>
      <c r="R515" s="19">
        <v>6696.8911917098449</v>
      </c>
      <c r="S515" s="19">
        <v>1</v>
      </c>
      <c r="T515" s="19">
        <v>0.96499999999999997</v>
      </c>
      <c r="U515" s="27">
        <f t="shared" si="9"/>
        <v>0.96499999999999997</v>
      </c>
      <c r="V515" s="19"/>
      <c r="W515" s="19"/>
      <c r="X515" s="19"/>
      <c r="Y515" s="19"/>
      <c r="Z515" s="19"/>
      <c r="AA515" s="19">
        <v>3054.9222797927459</v>
      </c>
      <c r="AB515" s="19">
        <v>3054.9222797927459</v>
      </c>
      <c r="AC515" s="19"/>
      <c r="AD515" s="19">
        <v>0.45617021276595743</v>
      </c>
      <c r="AE515" s="19">
        <v>52.319933297599896</v>
      </c>
      <c r="AF515" s="19"/>
      <c r="AG515" s="19"/>
    </row>
    <row r="516" spans="1:33" hidden="1" x14ac:dyDescent="0.25">
      <c r="A516">
        <v>2024</v>
      </c>
      <c r="B516" s="19" t="s">
        <v>103</v>
      </c>
      <c r="C516" s="59" t="s">
        <v>28</v>
      </c>
      <c r="D516" s="70" t="s">
        <v>38</v>
      </c>
      <c r="E516">
        <v>6</v>
      </c>
      <c r="F516">
        <v>6</v>
      </c>
      <c r="G516">
        <v>6</v>
      </c>
      <c r="H516" s="19">
        <v>3</v>
      </c>
      <c r="I516" s="25">
        <v>45574</v>
      </c>
      <c r="J516" s="18">
        <v>282</v>
      </c>
      <c r="K516" s="62">
        <f>+I516-'2024-selected'!$R$48</f>
        <v>146</v>
      </c>
      <c r="L516" s="19" t="s">
        <v>107</v>
      </c>
      <c r="M516" s="19">
        <v>40800</v>
      </c>
      <c r="N516" s="19"/>
      <c r="O516" s="19"/>
      <c r="P516" s="19"/>
      <c r="Q516" s="19">
        <v>1.3634999999999999</v>
      </c>
      <c r="R516" s="19">
        <v>7064.7668393782387</v>
      </c>
      <c r="S516" s="19">
        <v>1</v>
      </c>
      <c r="T516" s="19">
        <v>0.96499999999999997</v>
      </c>
      <c r="U516" s="27">
        <f t="shared" si="9"/>
        <v>0.96499999999999997</v>
      </c>
      <c r="V516" s="19"/>
      <c r="W516" s="19"/>
      <c r="X516" s="19"/>
      <c r="Y516" s="19"/>
      <c r="Z516" s="19"/>
      <c r="AA516" s="19">
        <v>3214.5077720207255</v>
      </c>
      <c r="AB516" s="19">
        <v>3214.507772020725</v>
      </c>
      <c r="AC516" s="19"/>
      <c r="AD516" s="19">
        <v>0.45500550055005495</v>
      </c>
      <c r="AE516" s="19">
        <v>55.053064141504372</v>
      </c>
      <c r="AF516" s="19"/>
      <c r="AG516" s="19"/>
    </row>
    <row r="517" spans="1:33" hidden="1" x14ac:dyDescent="0.25">
      <c r="A517">
        <v>2024</v>
      </c>
      <c r="B517" s="19" t="s">
        <v>103</v>
      </c>
      <c r="C517" s="59" t="s">
        <v>29</v>
      </c>
      <c r="D517" s="70" t="s">
        <v>38</v>
      </c>
      <c r="E517">
        <v>6</v>
      </c>
      <c r="F517">
        <v>7</v>
      </c>
      <c r="G517">
        <v>6</v>
      </c>
      <c r="H517" s="19">
        <v>4</v>
      </c>
      <c r="I517" s="25">
        <v>45574</v>
      </c>
      <c r="J517" s="18">
        <v>282</v>
      </c>
      <c r="K517" s="62">
        <f>+I517-'2024-selected'!$R$48</f>
        <v>146</v>
      </c>
      <c r="L517" s="19" t="s">
        <v>107</v>
      </c>
      <c r="M517" s="19">
        <v>40800</v>
      </c>
      <c r="N517" s="19"/>
      <c r="O517" s="19"/>
      <c r="P517" s="19"/>
      <c r="Q517" s="19">
        <v>1.6285000000000001</v>
      </c>
      <c r="R517" s="19">
        <v>8437.8238341968918</v>
      </c>
      <c r="S517" s="19">
        <v>1</v>
      </c>
      <c r="T517" s="19">
        <v>0.96499999999999997</v>
      </c>
      <c r="U517" s="27">
        <f t="shared" si="9"/>
        <v>0.96499999999999997</v>
      </c>
      <c r="V517" s="19"/>
      <c r="W517" s="19"/>
      <c r="X517" s="19"/>
      <c r="Y517" s="19"/>
      <c r="Z517" s="19"/>
      <c r="AA517" s="19">
        <v>3826.4248704663214</v>
      </c>
      <c r="AB517" s="19">
        <v>3826.4248704663214</v>
      </c>
      <c r="AC517" s="19"/>
      <c r="AD517" s="19">
        <v>0.45348480196499846</v>
      </c>
      <c r="AE517" s="19">
        <v>65.533023643618606</v>
      </c>
      <c r="AF517" s="19"/>
      <c r="AG517" s="19"/>
    </row>
    <row r="518" spans="1:33" hidden="1" x14ac:dyDescent="0.25">
      <c r="A518">
        <v>2024</v>
      </c>
      <c r="B518" s="19" t="s">
        <v>103</v>
      </c>
      <c r="C518" s="59" t="s">
        <v>32</v>
      </c>
      <c r="D518" s="70" t="s">
        <v>38</v>
      </c>
      <c r="E518">
        <v>6</v>
      </c>
      <c r="F518">
        <v>8</v>
      </c>
      <c r="G518">
        <v>6</v>
      </c>
      <c r="H518" s="19">
        <v>22</v>
      </c>
      <c r="I518" s="25">
        <v>45574</v>
      </c>
      <c r="J518" s="18">
        <v>282</v>
      </c>
      <c r="K518" s="62">
        <f>+I518-'2024-selected'!$R$48</f>
        <v>146</v>
      </c>
      <c r="L518" s="19" t="s">
        <v>107</v>
      </c>
      <c r="M518" s="19">
        <v>40800</v>
      </c>
      <c r="N518" s="19"/>
      <c r="O518" s="19"/>
      <c r="P518" s="19"/>
      <c r="Q518" s="19">
        <v>1.0865</v>
      </c>
      <c r="R518" s="19">
        <v>5629.5336787564765</v>
      </c>
      <c r="S518" s="19">
        <v>1</v>
      </c>
      <c r="T518" s="19">
        <v>0.96499999999999997</v>
      </c>
      <c r="U518" s="27">
        <f t="shared" si="9"/>
        <v>0.96499999999999997</v>
      </c>
      <c r="V518" s="19"/>
      <c r="W518" s="19"/>
      <c r="X518" s="19"/>
      <c r="Y518" s="19"/>
      <c r="Z518" s="19"/>
      <c r="AA518" s="19">
        <v>2523.8341968911918</v>
      </c>
      <c r="AB518" s="19">
        <v>2523.8341968911918</v>
      </c>
      <c r="AC518" s="19"/>
      <c r="AD518" s="19">
        <v>0.44832029452369998</v>
      </c>
      <c r="AE518" s="19">
        <v>43.224286820320408</v>
      </c>
      <c r="AF518" s="19"/>
      <c r="AG518" s="19"/>
    </row>
    <row r="519" spans="1:33" hidden="1" x14ac:dyDescent="0.25">
      <c r="A519">
        <v>2024</v>
      </c>
      <c r="B519" s="19" t="s">
        <v>103</v>
      </c>
      <c r="C519" s="59" t="s">
        <v>32</v>
      </c>
      <c r="D519" s="70" t="s">
        <v>38</v>
      </c>
      <c r="E519">
        <v>6</v>
      </c>
      <c r="F519">
        <v>9</v>
      </c>
      <c r="G519">
        <v>6</v>
      </c>
      <c r="H519" s="19">
        <v>7</v>
      </c>
      <c r="I519" s="25">
        <v>45574</v>
      </c>
      <c r="J519" s="18">
        <v>282</v>
      </c>
      <c r="K519" s="62">
        <f>+I519-'2024-selected'!$R$48</f>
        <v>146</v>
      </c>
      <c r="L519" s="19" t="s">
        <v>107</v>
      </c>
      <c r="M519" s="19">
        <v>40800</v>
      </c>
      <c r="N519" s="19"/>
      <c r="O519" s="19"/>
      <c r="P519" s="19"/>
      <c r="Q519" s="19">
        <v>1.3574999999999999</v>
      </c>
      <c r="R519" s="19">
        <v>7033.6787564766846</v>
      </c>
      <c r="S519" s="19">
        <v>1</v>
      </c>
      <c r="T519" s="19">
        <v>0.96499999999999997</v>
      </c>
      <c r="U519" s="27">
        <f t="shared" si="9"/>
        <v>0.96499999999999997</v>
      </c>
      <c r="V519" s="19"/>
      <c r="W519" s="19"/>
      <c r="X519" s="19"/>
      <c r="Y519" s="19"/>
      <c r="Z519" s="19"/>
      <c r="AA519" s="19">
        <v>3138.8601036269433</v>
      </c>
      <c r="AB519" s="19">
        <v>3138.8601036269433</v>
      </c>
      <c r="AC519" s="19"/>
      <c r="AD519" s="19">
        <v>0.44626151012891346</v>
      </c>
      <c r="AE519" s="19">
        <v>53.757489131082139</v>
      </c>
      <c r="AF519" s="19"/>
      <c r="AG519" s="19"/>
    </row>
    <row r="520" spans="1:33" hidden="1" x14ac:dyDescent="0.25">
      <c r="A520">
        <v>2024</v>
      </c>
      <c r="B520" s="19" t="s">
        <v>103</v>
      </c>
      <c r="C520" s="59" t="s">
        <v>30</v>
      </c>
      <c r="D520" s="70" t="s">
        <v>38</v>
      </c>
      <c r="E520">
        <v>6</v>
      </c>
      <c r="F520">
        <v>11</v>
      </c>
      <c r="G520">
        <v>6</v>
      </c>
      <c r="H520" s="19">
        <v>21</v>
      </c>
      <c r="I520" s="25">
        <v>45574</v>
      </c>
      <c r="J520" s="18">
        <v>282</v>
      </c>
      <c r="K520" s="62">
        <f>+I520-'2024-selected'!$R$48</f>
        <v>146</v>
      </c>
      <c r="L520" s="19" t="s">
        <v>107</v>
      </c>
      <c r="M520" s="19">
        <v>40800</v>
      </c>
      <c r="N520" s="19"/>
      <c r="O520" s="19"/>
      <c r="P520" s="19"/>
      <c r="Q520" s="19">
        <v>1.671</v>
      </c>
      <c r="R520" s="19">
        <v>8658.031088082902</v>
      </c>
      <c r="S520" s="19">
        <v>1</v>
      </c>
      <c r="T520" s="19">
        <v>0.96499999999999997</v>
      </c>
      <c r="U520" s="27">
        <f t="shared" si="9"/>
        <v>0.96499999999999997</v>
      </c>
      <c r="V520" s="19"/>
      <c r="W520" s="19"/>
      <c r="X520" s="19"/>
      <c r="Y520" s="19"/>
      <c r="Z520" s="19"/>
      <c r="AA520" s="19">
        <v>3780.8290155440409</v>
      </c>
      <c r="AB520" s="19">
        <v>3780.8290155440409</v>
      </c>
      <c r="AC520" s="19"/>
      <c r="AD520" s="19">
        <v>0.43668461998803104</v>
      </c>
      <c r="AE520" s="19">
        <v>64.752129116788751</v>
      </c>
      <c r="AF520" s="19"/>
      <c r="AG520" s="19"/>
    </row>
    <row r="521" spans="1:33" hidden="1" x14ac:dyDescent="0.25">
      <c r="A521">
        <v>2024</v>
      </c>
      <c r="B521" s="19" t="s">
        <v>103</v>
      </c>
      <c r="C521" s="59" t="s">
        <v>30</v>
      </c>
      <c r="D521" s="70" t="s">
        <v>38</v>
      </c>
      <c r="E521" s="24">
        <v>1</v>
      </c>
      <c r="F521" s="24"/>
      <c r="G521" s="24"/>
      <c r="H521" s="19">
        <v>5</v>
      </c>
      <c r="I521" s="25">
        <v>45574</v>
      </c>
      <c r="J521" s="18">
        <v>282</v>
      </c>
      <c r="K521" s="62">
        <f>+I521-'2024-selected'!$R$48</f>
        <v>146</v>
      </c>
      <c r="L521" s="19" t="s">
        <v>107</v>
      </c>
      <c r="M521" s="19">
        <v>40800</v>
      </c>
      <c r="N521" s="19"/>
      <c r="O521" s="19"/>
      <c r="P521" s="19"/>
      <c r="Q521" s="19">
        <v>1.2685</v>
      </c>
      <c r="R521" s="19">
        <v>6572.5388601036275</v>
      </c>
      <c r="S521" s="19">
        <v>1</v>
      </c>
      <c r="T521" s="19">
        <v>0.96499999999999997</v>
      </c>
      <c r="U521" s="27">
        <f t="shared" si="9"/>
        <v>0.96499999999999997</v>
      </c>
      <c r="V521" s="19"/>
      <c r="W521" s="19"/>
      <c r="X521" s="19"/>
      <c r="Y521" s="19"/>
      <c r="Z521" s="19"/>
      <c r="AA521" s="19">
        <v>2821.7616580310878</v>
      </c>
      <c r="AB521" s="19">
        <v>2821.7616580310873</v>
      </c>
      <c r="AC521" s="19"/>
      <c r="AD521" s="19">
        <v>0.42932597556168689</v>
      </c>
      <c r="AE521" s="19">
        <v>48.326722649038167</v>
      </c>
      <c r="AF521" s="19"/>
      <c r="AG521" s="19"/>
    </row>
    <row r="522" spans="1:33" hidden="1" x14ac:dyDescent="0.25">
      <c r="A522">
        <v>2024</v>
      </c>
      <c r="B522" s="19" t="s">
        <v>103</v>
      </c>
      <c r="C522" s="59" t="s">
        <v>32</v>
      </c>
      <c r="D522" s="70" t="s">
        <v>38</v>
      </c>
      <c r="E522" s="24">
        <v>2</v>
      </c>
      <c r="F522" s="24"/>
      <c r="G522" s="24"/>
      <c r="H522" s="19">
        <v>11</v>
      </c>
      <c r="I522" s="25">
        <v>45574</v>
      </c>
      <c r="J522" s="18">
        <v>282</v>
      </c>
      <c r="K522" s="62">
        <f>+I522-'2024-selected'!$R$48</f>
        <v>146</v>
      </c>
      <c r="L522" s="19" t="s">
        <v>107</v>
      </c>
      <c r="M522" s="19">
        <v>40800</v>
      </c>
      <c r="N522" s="19"/>
      <c r="O522" s="19"/>
      <c r="P522" s="19"/>
      <c r="Q522" s="19">
        <v>1.3280000000000001</v>
      </c>
      <c r="R522" s="19">
        <v>6880.8290155440418</v>
      </c>
      <c r="S522" s="19">
        <v>1</v>
      </c>
      <c r="T522" s="19">
        <v>0.96499999999999997</v>
      </c>
      <c r="U522" s="27">
        <f t="shared" si="9"/>
        <v>0.96499999999999997</v>
      </c>
      <c r="V522" s="19"/>
      <c r="W522" s="19"/>
      <c r="X522" s="19"/>
      <c r="Y522" s="19"/>
      <c r="Z522" s="19"/>
      <c r="AA522" s="19">
        <v>2423.3160621761654</v>
      </c>
      <c r="AB522" s="19">
        <v>2423.3160621761654</v>
      </c>
      <c r="AC522" s="19"/>
      <c r="AD522" s="19">
        <v>0.35218373493975896</v>
      </c>
      <c r="AE522" s="19">
        <v>41.502769340718238</v>
      </c>
      <c r="AF522" s="19"/>
      <c r="AG522" s="19"/>
    </row>
    <row r="523" spans="1:33" hidden="1" x14ac:dyDescent="0.25">
      <c r="A523">
        <v>2024</v>
      </c>
      <c r="B523" s="19" t="s">
        <v>103</v>
      </c>
      <c r="C523" s="59" t="s">
        <v>31</v>
      </c>
      <c r="D523" s="70" t="s">
        <v>38</v>
      </c>
      <c r="E523" s="24">
        <v>2</v>
      </c>
      <c r="F523" s="24"/>
      <c r="G523" s="24"/>
      <c r="H523" s="19">
        <v>13</v>
      </c>
      <c r="I523" s="25">
        <v>45574</v>
      </c>
      <c r="J523" s="18">
        <v>282</v>
      </c>
      <c r="K523" s="62">
        <f>+I523-'2024-selected'!$R$48</f>
        <v>146</v>
      </c>
      <c r="L523" s="19" t="s">
        <v>107</v>
      </c>
      <c r="M523" s="19">
        <v>40800</v>
      </c>
      <c r="N523" s="19"/>
      <c r="O523" s="19"/>
      <c r="P523" s="19"/>
      <c r="Q523" s="19">
        <v>1.0825</v>
      </c>
      <c r="R523" s="19">
        <v>5608.8082901554408</v>
      </c>
      <c r="S523" s="19">
        <v>1</v>
      </c>
      <c r="T523" s="19">
        <v>0.96499999999999997</v>
      </c>
      <c r="U523" s="27">
        <f t="shared" si="9"/>
        <v>0.96499999999999997</v>
      </c>
      <c r="V523" s="19"/>
      <c r="W523" s="19"/>
      <c r="X523" s="19"/>
      <c r="Y523" s="19"/>
      <c r="Z523" s="19"/>
      <c r="AA523" s="19">
        <v>1831.6062176165801</v>
      </c>
      <c r="AB523" s="19">
        <v>1831.6062176165799</v>
      </c>
      <c r="AC523" s="19"/>
      <c r="AD523" s="19">
        <v>0.32655889145496525</v>
      </c>
      <c r="AE523" s="19">
        <v>31.368888094812689</v>
      </c>
      <c r="AF523" s="19"/>
      <c r="AG523" s="19"/>
    </row>
    <row r="524" spans="1:33" hidden="1" x14ac:dyDescent="0.25">
      <c r="A524">
        <v>2024</v>
      </c>
      <c r="B524" s="19" t="s">
        <v>103</v>
      </c>
      <c r="C524" s="59" t="s">
        <v>28</v>
      </c>
      <c r="D524" s="70" t="s">
        <v>38</v>
      </c>
      <c r="E524" s="24">
        <v>2</v>
      </c>
      <c r="F524" s="24"/>
      <c r="G524" s="24"/>
      <c r="H524" s="19">
        <v>12</v>
      </c>
      <c r="I524" s="25">
        <v>45574</v>
      </c>
      <c r="J524" s="18">
        <v>282</v>
      </c>
      <c r="K524" s="62">
        <f>+I524-'2024-selected'!$R$48</f>
        <v>146</v>
      </c>
      <c r="L524" s="19" t="s">
        <v>107</v>
      </c>
      <c r="M524" s="19">
        <v>40800</v>
      </c>
      <c r="N524" s="19"/>
      <c r="O524" s="19"/>
      <c r="P524" s="19"/>
      <c r="Q524" s="19"/>
      <c r="R524" s="19"/>
      <c r="S524" s="19">
        <v>1</v>
      </c>
      <c r="T524" s="19">
        <v>0.96499999999999997</v>
      </c>
      <c r="U524" s="27">
        <f t="shared" si="9"/>
        <v>0.96499999999999997</v>
      </c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spans="1:33" hidden="1" x14ac:dyDescent="0.25">
      <c r="A525">
        <v>2024</v>
      </c>
      <c r="B525" s="19" t="s">
        <v>103</v>
      </c>
      <c r="C525" s="59" t="s">
        <v>33</v>
      </c>
      <c r="D525" s="70" t="s">
        <v>38</v>
      </c>
      <c r="E525" s="24">
        <v>2</v>
      </c>
      <c r="F525" s="24"/>
      <c r="G525" s="24"/>
      <c r="H525" s="19">
        <v>10</v>
      </c>
      <c r="I525" s="25">
        <v>45574</v>
      </c>
      <c r="J525" s="18">
        <v>282</v>
      </c>
      <c r="K525" s="62">
        <f>+I525-'2024-selected'!$R$48</f>
        <v>146</v>
      </c>
      <c r="L525" s="19" t="s">
        <v>107</v>
      </c>
      <c r="M525" s="19">
        <v>40800</v>
      </c>
      <c r="N525" s="19"/>
      <c r="O525" s="19"/>
      <c r="P525" s="19"/>
      <c r="Q525" s="19"/>
      <c r="R525" s="19"/>
      <c r="S525" s="19"/>
      <c r="T525" s="19"/>
      <c r="U525" s="27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spans="1:33" hidden="1" x14ac:dyDescent="0.25">
      <c r="A526" s="29">
        <v>2024</v>
      </c>
      <c r="B526" s="30" t="s">
        <v>103</v>
      </c>
      <c r="C526" s="60" t="s">
        <v>24</v>
      </c>
      <c r="D526" s="70" t="s">
        <v>38</v>
      </c>
      <c r="E526" s="31">
        <v>1</v>
      </c>
      <c r="F526" s="31"/>
      <c r="G526" s="31"/>
      <c r="H526" s="30">
        <v>1</v>
      </c>
      <c r="I526" s="51">
        <v>45574</v>
      </c>
      <c r="J526" s="32">
        <v>282</v>
      </c>
      <c r="K526" s="62">
        <f>+I526-'2024-selected'!$R$48</f>
        <v>146</v>
      </c>
      <c r="L526" s="30" t="s">
        <v>107</v>
      </c>
      <c r="M526" s="30">
        <v>40800</v>
      </c>
      <c r="N526" s="30"/>
      <c r="O526" s="30"/>
      <c r="P526" s="30"/>
      <c r="Q526" s="30"/>
      <c r="R526" s="30"/>
      <c r="S526" s="30">
        <v>1</v>
      </c>
      <c r="T526" s="30">
        <v>0.96499999999999997</v>
      </c>
      <c r="U526" s="33">
        <f>T526*S526</f>
        <v>0.96499999999999997</v>
      </c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</row>
    <row r="527" spans="1:33" hidden="1" x14ac:dyDescent="0.25">
      <c r="A527" s="29">
        <v>2024</v>
      </c>
      <c r="B527" s="30" t="s">
        <v>103</v>
      </c>
      <c r="C527" s="60" t="s">
        <v>30</v>
      </c>
      <c r="D527" s="71" t="s">
        <v>38</v>
      </c>
      <c r="E527" s="31">
        <v>2</v>
      </c>
      <c r="F527" s="31"/>
      <c r="G527" s="31"/>
      <c r="H527" s="30">
        <v>15</v>
      </c>
      <c r="I527" s="51">
        <v>45574</v>
      </c>
      <c r="J527" s="32">
        <v>282</v>
      </c>
      <c r="K527" s="62">
        <f>+I527-'2024-selected'!$R$48</f>
        <v>146</v>
      </c>
      <c r="L527" s="30" t="s">
        <v>107</v>
      </c>
      <c r="M527" s="30">
        <v>40800</v>
      </c>
      <c r="N527" s="30"/>
      <c r="O527" s="30"/>
      <c r="P527" s="30"/>
      <c r="Q527" s="30"/>
      <c r="R527" s="30"/>
      <c r="S527" s="30">
        <v>1</v>
      </c>
      <c r="T527" s="30">
        <v>0.96499999999999997</v>
      </c>
      <c r="U527" s="33">
        <f>T527*S527</f>
        <v>0.96499999999999997</v>
      </c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</row>
    <row r="528" spans="1:33" hidden="1" x14ac:dyDescent="0.25">
      <c r="A528" s="29">
        <v>2024</v>
      </c>
      <c r="B528" s="30" t="s">
        <v>103</v>
      </c>
      <c r="C528" s="60" t="s">
        <v>29</v>
      </c>
      <c r="D528" s="71" t="s">
        <v>38</v>
      </c>
      <c r="E528" s="31">
        <v>2</v>
      </c>
      <c r="F528" s="31"/>
      <c r="G528" s="31"/>
      <c r="H528" s="30">
        <v>16</v>
      </c>
      <c r="I528" s="51">
        <v>45574</v>
      </c>
      <c r="J528" s="32">
        <v>282</v>
      </c>
      <c r="K528" s="62">
        <f>+I528-'2024-selected'!$R$48</f>
        <v>146</v>
      </c>
      <c r="L528" s="30" t="s">
        <v>107</v>
      </c>
      <c r="M528" s="30">
        <v>40800</v>
      </c>
      <c r="N528" s="30"/>
      <c r="O528" s="30"/>
      <c r="P528" s="30"/>
      <c r="Q528" s="30"/>
      <c r="R528" s="30"/>
      <c r="S528" s="30">
        <v>1</v>
      </c>
      <c r="T528" s="30">
        <v>0.96499999999999997</v>
      </c>
      <c r="U528" s="33">
        <f>T528*S528</f>
        <v>0.96499999999999997</v>
      </c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</row>
    <row r="529" spans="1:33" hidden="1" x14ac:dyDescent="0.25">
      <c r="A529" s="29">
        <v>2024</v>
      </c>
      <c r="B529" s="30" t="s">
        <v>103</v>
      </c>
      <c r="C529" s="60" t="s">
        <v>24</v>
      </c>
      <c r="D529" s="71" t="s">
        <v>38</v>
      </c>
      <c r="E529" s="31">
        <v>2</v>
      </c>
      <c r="F529" s="31"/>
      <c r="G529" s="31"/>
      <c r="H529" s="30">
        <v>14</v>
      </c>
      <c r="I529" s="51">
        <v>45574</v>
      </c>
      <c r="J529" s="32">
        <v>282</v>
      </c>
      <c r="K529" s="62">
        <f>+I529-'2024-selected'!$R$48</f>
        <v>146</v>
      </c>
      <c r="L529" s="30" t="s">
        <v>107</v>
      </c>
      <c r="M529" s="30">
        <v>40800</v>
      </c>
      <c r="N529" s="30"/>
      <c r="O529" s="30"/>
      <c r="P529" s="30"/>
      <c r="Q529" s="30"/>
      <c r="R529" s="30"/>
      <c r="S529" s="30">
        <v>1</v>
      </c>
      <c r="T529" s="30">
        <v>0.96499999999999997</v>
      </c>
      <c r="U529" s="33">
        <f>T529*S529</f>
        <v>0.96499999999999997</v>
      </c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</row>
    <row r="530" spans="1:33" hidden="1" x14ac:dyDescent="0.25">
      <c r="A530">
        <v>2025</v>
      </c>
      <c r="B530">
        <v>5</v>
      </c>
      <c r="C530" t="s">
        <v>24</v>
      </c>
      <c r="D530" t="s">
        <v>38</v>
      </c>
      <c r="E530">
        <v>1</v>
      </c>
      <c r="F530">
        <v>1</v>
      </c>
      <c r="G530">
        <v>1</v>
      </c>
      <c r="H530">
        <v>101</v>
      </c>
      <c r="I530" s="12">
        <v>45902</v>
      </c>
      <c r="J530">
        <v>244</v>
      </c>
      <c r="K530">
        <v>91</v>
      </c>
      <c r="L530" t="s">
        <v>26</v>
      </c>
      <c r="M530">
        <v>37000</v>
      </c>
      <c r="P530">
        <v>0.16689999999999999</v>
      </c>
      <c r="Q530">
        <v>0.42099999999999999</v>
      </c>
      <c r="R530">
        <v>8306.8927789934351</v>
      </c>
      <c r="S530">
        <v>1</v>
      </c>
      <c r="T530">
        <v>0.91400000000000003</v>
      </c>
      <c r="U530">
        <v>0.91400000000000003</v>
      </c>
      <c r="V530">
        <v>393.87308533916848</v>
      </c>
      <c r="X530">
        <v>634.57330415754916</v>
      </c>
      <c r="Y530">
        <v>450.21881838074404</v>
      </c>
      <c r="Z530">
        <v>347.37417943107226</v>
      </c>
      <c r="AF530">
        <v>28.1</v>
      </c>
      <c r="AG530">
        <v>17.8</v>
      </c>
    </row>
    <row r="531" spans="1:33" hidden="1" x14ac:dyDescent="0.25">
      <c r="A531">
        <v>2025</v>
      </c>
      <c r="B531">
        <v>5</v>
      </c>
      <c r="C531" t="s">
        <v>29</v>
      </c>
      <c r="D531" t="s">
        <v>38</v>
      </c>
      <c r="E531">
        <v>1</v>
      </c>
      <c r="F531">
        <v>5</v>
      </c>
      <c r="G531">
        <v>1</v>
      </c>
      <c r="H531">
        <v>105</v>
      </c>
      <c r="I531" s="12">
        <v>45902</v>
      </c>
      <c r="J531">
        <v>244</v>
      </c>
      <c r="K531">
        <v>91</v>
      </c>
      <c r="L531" t="s">
        <v>26</v>
      </c>
      <c r="M531">
        <v>37000</v>
      </c>
      <c r="P531">
        <v>0.16670000000000001</v>
      </c>
      <c r="Q531">
        <v>0.35399999999999998</v>
      </c>
      <c r="R531">
        <v>6199.6170678336985</v>
      </c>
      <c r="S531">
        <v>1</v>
      </c>
      <c r="T531">
        <v>0.91400000000000003</v>
      </c>
      <c r="U531">
        <v>0.91400000000000003</v>
      </c>
      <c r="V531">
        <v>448.57768052516411</v>
      </c>
      <c r="X531">
        <v>973.74179431072207</v>
      </c>
      <c r="Y531">
        <v>334.24507658643324</v>
      </c>
      <c r="Z531">
        <v>67.286652078774637</v>
      </c>
      <c r="AF531">
        <v>33.799999999999997</v>
      </c>
      <c r="AG531">
        <v>18.399999999999999</v>
      </c>
    </row>
    <row r="532" spans="1:33" hidden="1" x14ac:dyDescent="0.25">
      <c r="A532">
        <v>2025</v>
      </c>
      <c r="B532">
        <v>5</v>
      </c>
      <c r="C532" t="s">
        <v>28</v>
      </c>
      <c r="D532" t="s">
        <v>38</v>
      </c>
      <c r="E532">
        <v>1</v>
      </c>
      <c r="F532">
        <v>7</v>
      </c>
      <c r="G532">
        <v>1</v>
      </c>
      <c r="H532">
        <v>107</v>
      </c>
      <c r="I532" s="12">
        <v>45902</v>
      </c>
      <c r="J532">
        <v>244</v>
      </c>
      <c r="K532">
        <v>91</v>
      </c>
      <c r="L532" t="s">
        <v>26</v>
      </c>
      <c r="M532">
        <v>37000</v>
      </c>
      <c r="P532">
        <v>0.28949999999999998</v>
      </c>
      <c r="Q532">
        <v>0.186</v>
      </c>
      <c r="R532">
        <v>6229.1575492341353</v>
      </c>
      <c r="S532">
        <v>1</v>
      </c>
      <c r="T532">
        <v>0.91400000000000003</v>
      </c>
      <c r="U532">
        <v>0.91400000000000003</v>
      </c>
      <c r="V532">
        <v>820.56892778993438</v>
      </c>
      <c r="X532">
        <v>1553.6105032822757</v>
      </c>
      <c r="Y532">
        <v>617.61487964989055</v>
      </c>
      <c r="Z532">
        <v>175.60175054704595</v>
      </c>
      <c r="AF532">
        <v>28.52</v>
      </c>
      <c r="AG532">
        <v>17.8</v>
      </c>
    </row>
    <row r="533" spans="1:33" hidden="1" x14ac:dyDescent="0.25">
      <c r="A533">
        <v>2025</v>
      </c>
      <c r="B533">
        <v>5</v>
      </c>
      <c r="C533" t="s">
        <v>32</v>
      </c>
      <c r="D533" t="s">
        <v>38</v>
      </c>
      <c r="E533">
        <v>1</v>
      </c>
      <c r="F533">
        <v>9</v>
      </c>
      <c r="G533">
        <v>1</v>
      </c>
      <c r="H533">
        <v>109</v>
      </c>
      <c r="I533" s="12">
        <v>45902</v>
      </c>
      <c r="J533">
        <v>244</v>
      </c>
      <c r="K533">
        <v>91</v>
      </c>
      <c r="L533" t="s">
        <v>26</v>
      </c>
      <c r="M533">
        <v>37000</v>
      </c>
      <c r="P533">
        <v>0.1263</v>
      </c>
      <c r="Q533">
        <v>0.38100000000000001</v>
      </c>
      <c r="R533">
        <v>8606.6192560175059</v>
      </c>
      <c r="S533">
        <v>1</v>
      </c>
      <c r="T533">
        <v>0.91400000000000003</v>
      </c>
      <c r="U533">
        <v>0.91400000000000003</v>
      </c>
      <c r="V533">
        <v>393.87308533916848</v>
      </c>
      <c r="X533">
        <v>656.45514223194755</v>
      </c>
      <c r="Y533">
        <v>288.29321663019692</v>
      </c>
      <c r="Z533">
        <v>43.216630196936528</v>
      </c>
      <c r="AF533">
        <v>33.1</v>
      </c>
      <c r="AG533">
        <v>18.600000000000001</v>
      </c>
    </row>
    <row r="534" spans="1:33" hidden="1" x14ac:dyDescent="0.25">
      <c r="A534">
        <v>2025</v>
      </c>
      <c r="B534">
        <v>5</v>
      </c>
      <c r="C534" t="s">
        <v>29</v>
      </c>
      <c r="D534" t="s">
        <v>38</v>
      </c>
      <c r="E534">
        <v>3</v>
      </c>
      <c r="F534">
        <v>4</v>
      </c>
      <c r="G534">
        <v>2</v>
      </c>
      <c r="H534">
        <v>304</v>
      </c>
      <c r="I534" s="12">
        <v>45902</v>
      </c>
      <c r="J534">
        <v>244</v>
      </c>
      <c r="K534">
        <v>91</v>
      </c>
      <c r="L534" t="s">
        <v>26</v>
      </c>
      <c r="M534">
        <v>37000</v>
      </c>
      <c r="P534">
        <v>0.17119999999999999</v>
      </c>
      <c r="Q534">
        <v>0.41599999999999998</v>
      </c>
      <c r="R534">
        <v>7038.785557986871</v>
      </c>
      <c r="S534">
        <v>1</v>
      </c>
      <c r="T534">
        <v>0.91400000000000003</v>
      </c>
      <c r="U534">
        <v>0.91400000000000003</v>
      </c>
      <c r="V534">
        <v>448.57768052516411</v>
      </c>
      <c r="X534">
        <v>886.21444201312909</v>
      </c>
      <c r="Y534">
        <v>336.43326039387313</v>
      </c>
      <c r="Z534">
        <v>201.85995623632382</v>
      </c>
      <c r="AF534">
        <v>36</v>
      </c>
      <c r="AG534">
        <v>15.4</v>
      </c>
    </row>
    <row r="535" spans="1:33" hidden="1" x14ac:dyDescent="0.25">
      <c r="A535">
        <v>2025</v>
      </c>
      <c r="B535">
        <v>5</v>
      </c>
      <c r="C535" t="s">
        <v>24</v>
      </c>
      <c r="D535" t="s">
        <v>38</v>
      </c>
      <c r="E535">
        <v>3</v>
      </c>
      <c r="F535">
        <v>6</v>
      </c>
      <c r="G535">
        <v>2</v>
      </c>
      <c r="H535">
        <v>306</v>
      </c>
      <c r="I535" s="12">
        <v>45902</v>
      </c>
      <c r="J535">
        <v>244</v>
      </c>
      <c r="K535">
        <v>91</v>
      </c>
      <c r="L535" t="s">
        <v>26</v>
      </c>
      <c r="M535">
        <v>37000</v>
      </c>
      <c r="P535">
        <v>0.13140000000000002</v>
      </c>
      <c r="Q535">
        <v>0.38400000000000001</v>
      </c>
      <c r="R535">
        <v>7201.8599562363233</v>
      </c>
      <c r="S535">
        <v>1</v>
      </c>
      <c r="T535">
        <v>0.91400000000000003</v>
      </c>
      <c r="U535">
        <v>0.91400000000000003</v>
      </c>
      <c r="V535">
        <v>328.22757111597377</v>
      </c>
      <c r="X535">
        <v>601.75054704595186</v>
      </c>
      <c r="Y535">
        <v>415.20787746170674</v>
      </c>
      <c r="Z535">
        <v>92.450765864332595</v>
      </c>
      <c r="AF535">
        <v>30.1</v>
      </c>
      <c r="AG535">
        <v>17.2</v>
      </c>
    </row>
    <row r="536" spans="1:33" hidden="1" x14ac:dyDescent="0.25">
      <c r="A536">
        <v>2025</v>
      </c>
      <c r="B536">
        <v>5</v>
      </c>
      <c r="C536" t="s">
        <v>28</v>
      </c>
      <c r="D536" t="s">
        <v>38</v>
      </c>
      <c r="E536">
        <v>3</v>
      </c>
      <c r="F536">
        <v>8</v>
      </c>
      <c r="G536">
        <v>2</v>
      </c>
      <c r="H536">
        <v>308</v>
      </c>
      <c r="I536" s="12">
        <v>45902</v>
      </c>
      <c r="J536">
        <v>244</v>
      </c>
      <c r="K536">
        <v>91</v>
      </c>
      <c r="L536" t="s">
        <v>26</v>
      </c>
      <c r="M536">
        <v>37000</v>
      </c>
      <c r="P536">
        <v>0.19929999999999998</v>
      </c>
      <c r="Q536">
        <v>0.41699999999999998</v>
      </c>
      <c r="R536">
        <v>8829.2669584245068</v>
      </c>
      <c r="S536">
        <v>1</v>
      </c>
      <c r="T536">
        <v>0.91400000000000003</v>
      </c>
      <c r="U536">
        <v>0.91400000000000003</v>
      </c>
      <c r="V536">
        <v>536.10503282275715</v>
      </c>
      <c r="X536">
        <v>1094.0919037199126</v>
      </c>
      <c r="Y536">
        <v>381.29102844638942</v>
      </c>
      <c r="Z536">
        <v>169.03719912472647</v>
      </c>
      <c r="AF536">
        <v>37.799999999999997</v>
      </c>
      <c r="AG536">
        <v>20.6</v>
      </c>
    </row>
    <row r="537" spans="1:33" hidden="1" x14ac:dyDescent="0.25">
      <c r="A537">
        <v>2025</v>
      </c>
      <c r="B537">
        <v>5</v>
      </c>
      <c r="C537" t="s">
        <v>32</v>
      </c>
      <c r="D537" t="s">
        <v>38</v>
      </c>
      <c r="E537">
        <v>3</v>
      </c>
      <c r="F537">
        <v>9</v>
      </c>
      <c r="G537">
        <v>2</v>
      </c>
      <c r="H537">
        <v>309</v>
      </c>
      <c r="I537" s="12">
        <v>45902</v>
      </c>
      <c r="J537">
        <v>244</v>
      </c>
      <c r="K537">
        <v>91</v>
      </c>
      <c r="L537" t="s">
        <v>26</v>
      </c>
      <c r="M537">
        <v>37000</v>
      </c>
      <c r="P537">
        <v>0.14620000000000002</v>
      </c>
      <c r="Q537">
        <v>0.41199999999999998</v>
      </c>
      <c r="R537">
        <v>7896.6083150984678</v>
      </c>
      <c r="S537">
        <v>1</v>
      </c>
      <c r="T537">
        <v>0.91400000000000003</v>
      </c>
      <c r="U537">
        <v>0.91400000000000003</v>
      </c>
      <c r="V537">
        <v>437.63676148796498</v>
      </c>
      <c r="X537">
        <v>809.62800875273524</v>
      </c>
      <c r="Y537">
        <v>307.98687089715537</v>
      </c>
      <c r="Z537">
        <v>44.310722100656463</v>
      </c>
      <c r="AF537">
        <v>37.4</v>
      </c>
      <c r="AG537">
        <v>19</v>
      </c>
    </row>
    <row r="538" spans="1:33" hidden="1" x14ac:dyDescent="0.25">
      <c r="A538">
        <v>2025</v>
      </c>
      <c r="B538">
        <v>5</v>
      </c>
      <c r="C538" t="s">
        <v>24</v>
      </c>
      <c r="D538" t="s">
        <v>38</v>
      </c>
      <c r="E538">
        <v>4</v>
      </c>
      <c r="F538">
        <v>11</v>
      </c>
      <c r="G538">
        <v>2</v>
      </c>
      <c r="H538">
        <v>402</v>
      </c>
      <c r="I538" s="12">
        <v>45902</v>
      </c>
      <c r="J538">
        <v>244</v>
      </c>
      <c r="K538">
        <v>91</v>
      </c>
      <c r="L538" t="s">
        <v>26</v>
      </c>
      <c r="M538">
        <v>37000</v>
      </c>
      <c r="P538">
        <v>0.1638</v>
      </c>
      <c r="Q538">
        <v>0.32800000000000001</v>
      </c>
      <c r="R538">
        <v>5380.7439824945295</v>
      </c>
      <c r="S538">
        <v>1</v>
      </c>
      <c r="T538">
        <v>0.91400000000000003</v>
      </c>
      <c r="U538">
        <v>0.91400000000000003</v>
      </c>
      <c r="V538">
        <v>393.87308533916848</v>
      </c>
      <c r="X538">
        <v>612.69146608315089</v>
      </c>
      <c r="Y538">
        <v>484.13566739606125</v>
      </c>
      <c r="Z538">
        <v>301.42231947483589</v>
      </c>
      <c r="AF538">
        <v>20.5</v>
      </c>
      <c r="AG538">
        <v>16</v>
      </c>
    </row>
    <row r="539" spans="1:33" hidden="1" x14ac:dyDescent="0.25">
      <c r="A539">
        <v>2025</v>
      </c>
      <c r="B539">
        <v>5</v>
      </c>
      <c r="C539" t="s">
        <v>29</v>
      </c>
      <c r="D539" t="s">
        <v>38</v>
      </c>
      <c r="E539">
        <v>4</v>
      </c>
      <c r="F539">
        <v>12</v>
      </c>
      <c r="G539">
        <v>2</v>
      </c>
      <c r="H539">
        <v>403</v>
      </c>
      <c r="I539" s="12">
        <v>45902</v>
      </c>
      <c r="J539">
        <v>244</v>
      </c>
      <c r="K539">
        <v>91</v>
      </c>
      <c r="L539" t="s">
        <v>26</v>
      </c>
      <c r="M539">
        <v>37000</v>
      </c>
      <c r="P539">
        <v>0.20150000000000001</v>
      </c>
      <c r="Q539">
        <v>0.29699999999999999</v>
      </c>
      <c r="R539">
        <v>5454.0481400437639</v>
      </c>
      <c r="S539">
        <v>1</v>
      </c>
      <c r="T539">
        <v>0.91400000000000003</v>
      </c>
      <c r="U539">
        <v>0.91400000000000003</v>
      </c>
      <c r="V539">
        <v>568.92778993435445</v>
      </c>
      <c r="X539">
        <v>1083.1509846827134</v>
      </c>
      <c r="Y539">
        <v>439.2778993435449</v>
      </c>
      <c r="Z539">
        <v>113.23851203501096</v>
      </c>
      <c r="AF539">
        <v>33.1</v>
      </c>
      <c r="AG539">
        <v>16.600000000000001</v>
      </c>
    </row>
    <row r="540" spans="1:33" hidden="1" x14ac:dyDescent="0.25">
      <c r="A540">
        <v>2025</v>
      </c>
      <c r="B540">
        <v>5</v>
      </c>
      <c r="C540" t="s">
        <v>32</v>
      </c>
      <c r="D540" t="s">
        <v>38</v>
      </c>
      <c r="E540">
        <v>4</v>
      </c>
      <c r="F540">
        <v>13</v>
      </c>
      <c r="G540">
        <v>2</v>
      </c>
      <c r="H540">
        <v>404</v>
      </c>
      <c r="I540" s="12">
        <v>45902</v>
      </c>
      <c r="J540">
        <v>244</v>
      </c>
      <c r="K540">
        <v>91</v>
      </c>
      <c r="L540" t="s">
        <v>26</v>
      </c>
      <c r="M540">
        <v>37000</v>
      </c>
      <c r="P540">
        <v>0.20695</v>
      </c>
      <c r="Q540">
        <v>0.309</v>
      </c>
      <c r="R540">
        <v>5644.9671772428883</v>
      </c>
      <c r="S540">
        <v>1</v>
      </c>
      <c r="T540">
        <v>0.91400000000000003</v>
      </c>
      <c r="U540">
        <v>0.91400000000000003</v>
      </c>
      <c r="V540">
        <v>722.10065645514214</v>
      </c>
      <c r="X540">
        <v>1148.796498905908</v>
      </c>
      <c r="Y540">
        <v>393.32603938730853</v>
      </c>
      <c r="Z540">
        <v>0</v>
      </c>
      <c r="AF540">
        <v>32.4</v>
      </c>
      <c r="AG540">
        <v>19.2</v>
      </c>
    </row>
    <row r="541" spans="1:33" hidden="1" x14ac:dyDescent="0.25">
      <c r="A541">
        <v>2025</v>
      </c>
      <c r="B541">
        <v>5</v>
      </c>
      <c r="C541" t="s">
        <v>28</v>
      </c>
      <c r="D541" t="s">
        <v>38</v>
      </c>
      <c r="E541">
        <v>4</v>
      </c>
      <c r="F541">
        <v>14</v>
      </c>
      <c r="G541">
        <v>2</v>
      </c>
      <c r="H541">
        <v>405</v>
      </c>
      <c r="I541" s="12">
        <v>45902</v>
      </c>
      <c r="J541">
        <v>244</v>
      </c>
      <c r="K541">
        <v>91</v>
      </c>
      <c r="L541" t="s">
        <v>26</v>
      </c>
      <c r="M541">
        <v>37000</v>
      </c>
      <c r="P541">
        <v>0.24789999999999998</v>
      </c>
      <c r="Q541">
        <v>0.36599999999999999</v>
      </c>
      <c r="R541">
        <v>6716.6301969365422</v>
      </c>
      <c r="S541">
        <v>1</v>
      </c>
      <c r="T541">
        <v>0.91400000000000003</v>
      </c>
      <c r="U541">
        <v>0.91400000000000003</v>
      </c>
      <c r="V541">
        <v>656.45514223194755</v>
      </c>
      <c r="X541">
        <v>1444.2013129102843</v>
      </c>
      <c r="Y541">
        <v>502.73522975929978</v>
      </c>
      <c r="Z541">
        <v>108.86214442013129</v>
      </c>
      <c r="AF541">
        <v>35</v>
      </c>
      <c r="AG541">
        <v>20.2</v>
      </c>
    </row>
    <row r="542" spans="1:33" hidden="1" x14ac:dyDescent="0.25">
      <c r="A542">
        <v>2025</v>
      </c>
      <c r="B542">
        <v>5</v>
      </c>
      <c r="C542" t="s">
        <v>24</v>
      </c>
      <c r="D542" t="s">
        <v>25</v>
      </c>
      <c r="E542">
        <v>5</v>
      </c>
      <c r="F542">
        <v>1</v>
      </c>
      <c r="G542">
        <v>3</v>
      </c>
      <c r="H542">
        <v>501</v>
      </c>
      <c r="I542" s="12">
        <v>45902</v>
      </c>
      <c r="J542">
        <v>244</v>
      </c>
      <c r="K542">
        <v>91</v>
      </c>
      <c r="L542" t="s">
        <v>26</v>
      </c>
      <c r="M542">
        <v>37000</v>
      </c>
      <c r="P542">
        <v>0.11610000000000001</v>
      </c>
      <c r="Q542">
        <v>0.53600000000000003</v>
      </c>
      <c r="R542">
        <v>7134.5733041575486</v>
      </c>
      <c r="S542">
        <v>1</v>
      </c>
      <c r="T542">
        <v>0.91400000000000003</v>
      </c>
      <c r="U542">
        <v>0.91400000000000003</v>
      </c>
      <c r="V542">
        <v>229.75929978118162</v>
      </c>
      <c r="X542">
        <v>503.28227571115974</v>
      </c>
      <c r="Y542">
        <v>316.73960612691468</v>
      </c>
      <c r="Z542">
        <v>220.45951859956239</v>
      </c>
      <c r="AF542">
        <v>30.9</v>
      </c>
      <c r="AG542">
        <v>15.8</v>
      </c>
    </row>
    <row r="543" spans="1:33" hidden="1" x14ac:dyDescent="0.25">
      <c r="A543">
        <v>2025</v>
      </c>
      <c r="B543">
        <v>5</v>
      </c>
      <c r="C543" t="s">
        <v>29</v>
      </c>
      <c r="D543" t="s">
        <v>25</v>
      </c>
      <c r="E543">
        <v>5</v>
      </c>
      <c r="F543">
        <v>5</v>
      </c>
      <c r="G543">
        <v>3</v>
      </c>
      <c r="H543">
        <v>505</v>
      </c>
      <c r="I543" s="12">
        <v>45902</v>
      </c>
      <c r="J543">
        <v>244</v>
      </c>
      <c r="K543">
        <v>91</v>
      </c>
      <c r="L543" t="s">
        <v>26</v>
      </c>
      <c r="M543">
        <v>37000</v>
      </c>
      <c r="P543">
        <v>0.12909999999999999</v>
      </c>
      <c r="Q543">
        <v>0.23200000000000001</v>
      </c>
      <c r="R543">
        <v>3950.7658643326035</v>
      </c>
      <c r="S543">
        <v>1</v>
      </c>
      <c r="T543">
        <v>0.91400000000000003</v>
      </c>
      <c r="U543">
        <v>0.91400000000000003</v>
      </c>
      <c r="V543">
        <v>393.87308533916848</v>
      </c>
      <c r="X543">
        <v>623.63238512035002</v>
      </c>
      <c r="Y543">
        <v>234.68271334792121</v>
      </c>
      <c r="Z543">
        <v>160.28446389496719</v>
      </c>
      <c r="AF543">
        <v>24.080000000000002</v>
      </c>
      <c r="AG543">
        <v>13.8</v>
      </c>
    </row>
    <row r="544" spans="1:33" hidden="1" x14ac:dyDescent="0.25">
      <c r="A544">
        <v>2025</v>
      </c>
      <c r="B544">
        <v>5</v>
      </c>
      <c r="C544" t="s">
        <v>28</v>
      </c>
      <c r="D544" t="s">
        <v>25</v>
      </c>
      <c r="E544">
        <v>5</v>
      </c>
      <c r="F544">
        <v>7</v>
      </c>
      <c r="G544">
        <v>3</v>
      </c>
      <c r="H544">
        <v>507</v>
      </c>
      <c r="I544" s="12">
        <v>45902</v>
      </c>
      <c r="J544">
        <v>244</v>
      </c>
      <c r="K544">
        <v>91</v>
      </c>
      <c r="L544" t="s">
        <v>26</v>
      </c>
      <c r="M544">
        <v>37000</v>
      </c>
      <c r="P544">
        <v>9.6100000000000005E-2</v>
      </c>
      <c r="Q544">
        <v>0.25</v>
      </c>
      <c r="R544">
        <v>3786.6520787746172</v>
      </c>
      <c r="S544">
        <v>1</v>
      </c>
      <c r="T544">
        <v>0.91400000000000003</v>
      </c>
      <c r="U544">
        <v>0.91400000000000003</v>
      </c>
      <c r="V544">
        <v>306.34573304157544</v>
      </c>
      <c r="X544">
        <v>470.45951859956233</v>
      </c>
      <c r="Y544">
        <v>163.5667396061269</v>
      </c>
      <c r="Z544">
        <v>111.05032822757113</v>
      </c>
      <c r="AF544">
        <v>23.9</v>
      </c>
      <c r="AG544">
        <v>16</v>
      </c>
    </row>
    <row r="545" spans="1:33" hidden="1" x14ac:dyDescent="0.25">
      <c r="A545">
        <v>2025</v>
      </c>
      <c r="B545">
        <v>5</v>
      </c>
      <c r="C545" t="s">
        <v>32</v>
      </c>
      <c r="D545" t="s">
        <v>25</v>
      </c>
      <c r="E545">
        <v>5</v>
      </c>
      <c r="F545">
        <v>9</v>
      </c>
      <c r="G545">
        <v>3</v>
      </c>
      <c r="H545">
        <v>509</v>
      </c>
      <c r="I545" s="12">
        <v>45902</v>
      </c>
      <c r="J545">
        <v>244</v>
      </c>
      <c r="K545">
        <v>91</v>
      </c>
      <c r="L545" t="s">
        <v>26</v>
      </c>
      <c r="M545">
        <v>37000</v>
      </c>
      <c r="P545">
        <v>9.7800000000000012E-2</v>
      </c>
      <c r="Q545">
        <v>0.33800000000000002</v>
      </c>
      <c r="R545">
        <v>4768.0525164113778</v>
      </c>
      <c r="S545">
        <v>1</v>
      </c>
      <c r="T545">
        <v>0.91400000000000003</v>
      </c>
      <c r="U545">
        <v>0.91400000000000003</v>
      </c>
      <c r="V545">
        <v>317.28665207877458</v>
      </c>
      <c r="X545">
        <v>536.10503282275715</v>
      </c>
      <c r="Y545">
        <v>185.44857768052518</v>
      </c>
      <c r="Z545">
        <v>31.18161925601752</v>
      </c>
      <c r="AF545">
        <v>25.3</v>
      </c>
      <c r="AG545">
        <v>16.600000000000001</v>
      </c>
    </row>
    <row r="546" spans="1:33" hidden="1" x14ac:dyDescent="0.25">
      <c r="A546">
        <v>2025</v>
      </c>
      <c r="B546">
        <v>5</v>
      </c>
      <c r="C546" t="s">
        <v>29</v>
      </c>
      <c r="D546" t="s">
        <v>25</v>
      </c>
      <c r="E546">
        <v>7</v>
      </c>
      <c r="F546">
        <v>4</v>
      </c>
      <c r="G546">
        <v>4</v>
      </c>
      <c r="H546">
        <v>704</v>
      </c>
      <c r="I546" s="12">
        <v>45902</v>
      </c>
      <c r="J546">
        <v>244</v>
      </c>
      <c r="K546">
        <v>91</v>
      </c>
      <c r="L546" t="s">
        <v>26</v>
      </c>
      <c r="M546">
        <v>37000</v>
      </c>
      <c r="P546">
        <v>9.9800000000000014E-2</v>
      </c>
      <c r="Q546">
        <v>0.45100000000000001</v>
      </c>
      <c r="R546">
        <v>6026.2582056892779</v>
      </c>
      <c r="S546">
        <v>1</v>
      </c>
      <c r="T546">
        <v>0.91400000000000003</v>
      </c>
      <c r="U546">
        <v>0.91400000000000003</v>
      </c>
      <c r="V546">
        <v>273.52297592997814</v>
      </c>
      <c r="X546">
        <v>525.1641137855579</v>
      </c>
      <c r="Y546">
        <v>204.04814004376371</v>
      </c>
      <c r="Z546">
        <v>89.168490153172883</v>
      </c>
      <c r="AF546">
        <v>32.4</v>
      </c>
      <c r="AG546">
        <v>14.4</v>
      </c>
    </row>
    <row r="547" spans="1:33" hidden="1" x14ac:dyDescent="0.25">
      <c r="A547">
        <v>2025</v>
      </c>
      <c r="B547">
        <v>5</v>
      </c>
      <c r="C547" t="s">
        <v>24</v>
      </c>
      <c r="D547" t="s">
        <v>25</v>
      </c>
      <c r="E547">
        <v>7</v>
      </c>
      <c r="F547">
        <v>6</v>
      </c>
      <c r="G547">
        <v>4</v>
      </c>
      <c r="H547">
        <v>706</v>
      </c>
      <c r="I547" s="12">
        <v>45902</v>
      </c>
      <c r="J547">
        <v>244</v>
      </c>
      <c r="K547">
        <v>91</v>
      </c>
      <c r="L547" t="s">
        <v>26</v>
      </c>
      <c r="M547">
        <v>37000</v>
      </c>
      <c r="P547">
        <v>9.7799999999999998E-2</v>
      </c>
      <c r="Q547">
        <v>0.28299999999999997</v>
      </c>
      <c r="R547">
        <v>4166.301969365426</v>
      </c>
      <c r="S547">
        <v>1</v>
      </c>
      <c r="T547">
        <v>0.91400000000000003</v>
      </c>
      <c r="U547">
        <v>0.91400000000000003</v>
      </c>
      <c r="V547">
        <v>262.58205689277895</v>
      </c>
      <c r="X547">
        <v>382.93216630196935</v>
      </c>
      <c r="Y547">
        <v>201.85995623632382</v>
      </c>
      <c r="Z547">
        <v>222.64770240700216</v>
      </c>
      <c r="AF547">
        <v>20.6</v>
      </c>
      <c r="AG547">
        <v>16.2</v>
      </c>
    </row>
    <row r="548" spans="1:33" hidden="1" x14ac:dyDescent="0.25">
      <c r="A548">
        <v>2025</v>
      </c>
      <c r="B548">
        <v>5</v>
      </c>
      <c r="C548" t="s">
        <v>28</v>
      </c>
      <c r="D548" t="s">
        <v>25</v>
      </c>
      <c r="E548">
        <v>7</v>
      </c>
      <c r="F548">
        <v>8</v>
      </c>
      <c r="G548">
        <v>4</v>
      </c>
      <c r="H548">
        <v>708</v>
      </c>
      <c r="I548" s="12">
        <v>45902</v>
      </c>
      <c r="J548">
        <v>244</v>
      </c>
      <c r="K548">
        <v>91</v>
      </c>
      <c r="L548" t="s">
        <v>26</v>
      </c>
      <c r="M548">
        <v>37000</v>
      </c>
      <c r="P548">
        <v>0.14730000000000001</v>
      </c>
      <c r="Q548">
        <v>0.215</v>
      </c>
      <c r="R548">
        <v>3963.8949671772425</v>
      </c>
      <c r="S548">
        <v>1</v>
      </c>
      <c r="T548">
        <v>0.91400000000000003</v>
      </c>
      <c r="U548">
        <v>0.91400000000000003</v>
      </c>
      <c r="V548">
        <v>448.57768052516411</v>
      </c>
      <c r="X548">
        <v>722.10065645514214</v>
      </c>
      <c r="Y548">
        <v>324.39824945295402</v>
      </c>
      <c r="Z548">
        <v>116.5207877461707</v>
      </c>
      <c r="AF548">
        <v>21.6</v>
      </c>
      <c r="AG548">
        <v>14.2</v>
      </c>
    </row>
    <row r="549" spans="1:33" hidden="1" x14ac:dyDescent="0.25">
      <c r="A549">
        <v>2025</v>
      </c>
      <c r="B549">
        <v>5</v>
      </c>
      <c r="C549" t="s">
        <v>32</v>
      </c>
      <c r="D549" t="s">
        <v>25</v>
      </c>
      <c r="E549">
        <v>7</v>
      </c>
      <c r="F549">
        <v>9</v>
      </c>
      <c r="G549">
        <v>4</v>
      </c>
      <c r="H549">
        <v>709</v>
      </c>
      <c r="I549" s="12">
        <v>45902</v>
      </c>
      <c r="J549">
        <v>244</v>
      </c>
      <c r="K549">
        <v>91</v>
      </c>
      <c r="L549" t="s">
        <v>26</v>
      </c>
      <c r="M549">
        <v>37000</v>
      </c>
      <c r="P549">
        <v>5.45E-2</v>
      </c>
      <c r="Q549">
        <v>0.24099999999999999</v>
      </c>
      <c r="R549">
        <v>3233.0415754923411</v>
      </c>
      <c r="S549">
        <v>1</v>
      </c>
      <c r="T549">
        <v>0.91400000000000003</v>
      </c>
      <c r="U549">
        <v>0.91400000000000003</v>
      </c>
      <c r="V549">
        <v>175.054704595186</v>
      </c>
      <c r="X549">
        <v>262.58205689277895</v>
      </c>
      <c r="Y549">
        <v>104.48577680525163</v>
      </c>
      <c r="Z549">
        <v>54.157549234135658</v>
      </c>
      <c r="AF549">
        <v>22.2</v>
      </c>
      <c r="AG549">
        <v>13.6</v>
      </c>
    </row>
    <row r="550" spans="1:33" hidden="1" x14ac:dyDescent="0.25">
      <c r="A550">
        <v>2025</v>
      </c>
      <c r="B550">
        <v>5</v>
      </c>
      <c r="C550" t="s">
        <v>24</v>
      </c>
      <c r="D550" t="s">
        <v>25</v>
      </c>
      <c r="E550">
        <v>8</v>
      </c>
      <c r="F550">
        <v>11</v>
      </c>
      <c r="G550">
        <v>4</v>
      </c>
      <c r="H550">
        <v>802</v>
      </c>
      <c r="I550" s="12">
        <v>45902</v>
      </c>
      <c r="J550">
        <v>244</v>
      </c>
      <c r="K550">
        <v>91</v>
      </c>
      <c r="L550" t="s">
        <v>26</v>
      </c>
      <c r="M550">
        <v>37000</v>
      </c>
      <c r="P550">
        <v>0.13800000000000001</v>
      </c>
      <c r="Q550">
        <v>0.14399999999999999</v>
      </c>
      <c r="R550">
        <v>3085.3391684901535</v>
      </c>
      <c r="S550">
        <v>1</v>
      </c>
      <c r="T550">
        <v>0.91400000000000003</v>
      </c>
      <c r="U550">
        <v>0.91400000000000003</v>
      </c>
      <c r="V550">
        <v>393.87308533916848</v>
      </c>
      <c r="X550">
        <v>525.1641137855579</v>
      </c>
      <c r="Y550">
        <v>268.59956236323848</v>
      </c>
      <c r="Z550">
        <v>322.21006564551425</v>
      </c>
      <c r="AF550">
        <v>17.600000000000001</v>
      </c>
      <c r="AG550">
        <v>12</v>
      </c>
    </row>
    <row r="551" spans="1:33" hidden="1" x14ac:dyDescent="0.25">
      <c r="A551">
        <v>2025</v>
      </c>
      <c r="B551">
        <v>5</v>
      </c>
      <c r="C551" t="s">
        <v>29</v>
      </c>
      <c r="D551" t="s">
        <v>25</v>
      </c>
      <c r="E551">
        <v>8</v>
      </c>
      <c r="F551">
        <v>12</v>
      </c>
      <c r="G551">
        <v>4</v>
      </c>
      <c r="H551">
        <v>803</v>
      </c>
      <c r="I551" s="12">
        <v>45902</v>
      </c>
      <c r="J551">
        <v>244</v>
      </c>
      <c r="K551">
        <v>91</v>
      </c>
      <c r="L551" t="s">
        <v>26</v>
      </c>
      <c r="M551">
        <v>37000</v>
      </c>
      <c r="P551">
        <v>5.8000000000000003E-2</v>
      </c>
      <c r="Q551">
        <v>0.22600000000000001</v>
      </c>
      <c r="R551">
        <v>3107.2210065645513</v>
      </c>
      <c r="S551">
        <v>1</v>
      </c>
      <c r="T551">
        <v>0.91400000000000003</v>
      </c>
      <c r="U551">
        <v>0.91400000000000003</v>
      </c>
      <c r="V551">
        <v>175.054704595186</v>
      </c>
      <c r="X551">
        <v>262.58205689277895</v>
      </c>
      <c r="Y551">
        <v>93.544857768052523</v>
      </c>
      <c r="Z551">
        <v>103.39168490153173</v>
      </c>
      <c r="AF551">
        <v>21</v>
      </c>
      <c r="AG551">
        <v>14.8</v>
      </c>
    </row>
    <row r="552" spans="1:33" hidden="1" x14ac:dyDescent="0.25">
      <c r="A552">
        <v>2025</v>
      </c>
      <c r="B552">
        <v>5</v>
      </c>
      <c r="C552" t="s">
        <v>32</v>
      </c>
      <c r="D552" t="s">
        <v>25</v>
      </c>
      <c r="E552">
        <v>8</v>
      </c>
      <c r="F552">
        <v>13</v>
      </c>
      <c r="G552">
        <v>4</v>
      </c>
      <c r="H552">
        <v>804</v>
      </c>
      <c r="I552" s="12">
        <v>45902</v>
      </c>
      <c r="J552">
        <v>244</v>
      </c>
      <c r="K552">
        <v>91</v>
      </c>
      <c r="L552" t="s">
        <v>26</v>
      </c>
      <c r="M552">
        <v>37000</v>
      </c>
      <c r="P552">
        <v>9.7800000000000012E-2</v>
      </c>
      <c r="Q552">
        <v>0.151</v>
      </c>
      <c r="R552">
        <v>2722.1006564551421</v>
      </c>
      <c r="S552">
        <v>1</v>
      </c>
      <c r="T552">
        <v>0.91400000000000003</v>
      </c>
      <c r="U552">
        <v>0.91400000000000003</v>
      </c>
      <c r="V552">
        <v>361.05032822757107</v>
      </c>
      <c r="X552">
        <v>448.57768052516411</v>
      </c>
      <c r="Y552">
        <v>198.57768052516414</v>
      </c>
      <c r="Z552">
        <v>61.816192560175075</v>
      </c>
      <c r="AF552">
        <v>21.1</v>
      </c>
      <c r="AG552">
        <v>13.2</v>
      </c>
    </row>
    <row r="553" spans="1:33" hidden="1" x14ac:dyDescent="0.25">
      <c r="A553">
        <v>2025</v>
      </c>
      <c r="B553">
        <v>5</v>
      </c>
      <c r="C553" t="s">
        <v>28</v>
      </c>
      <c r="D553" t="s">
        <v>25</v>
      </c>
      <c r="E553" s="49">
        <v>8</v>
      </c>
      <c r="F553">
        <v>14</v>
      </c>
      <c r="G553" s="49">
        <v>4</v>
      </c>
      <c r="H553">
        <v>805</v>
      </c>
      <c r="I553" s="12">
        <v>45902</v>
      </c>
      <c r="J553">
        <v>244</v>
      </c>
      <c r="K553">
        <v>91</v>
      </c>
      <c r="L553" t="s">
        <v>26</v>
      </c>
      <c r="M553">
        <v>37000</v>
      </c>
      <c r="P553">
        <v>5.8200000000000002E-2</v>
      </c>
      <c r="Q553">
        <v>0.26700000000000002</v>
      </c>
      <c r="R553">
        <v>3557.9868708971553</v>
      </c>
      <c r="S553">
        <v>1</v>
      </c>
      <c r="T553">
        <v>0.91400000000000003</v>
      </c>
      <c r="U553">
        <v>0.91400000000000003</v>
      </c>
      <c r="V553">
        <v>196.93654266958424</v>
      </c>
      <c r="X553">
        <v>273.52297592997814</v>
      </c>
      <c r="Y553">
        <v>118.70897155361052</v>
      </c>
      <c r="Z553">
        <v>47.592997811816204</v>
      </c>
      <c r="AF553">
        <v>21.1</v>
      </c>
      <c r="AG553">
        <v>18.600000000000001</v>
      </c>
    </row>
    <row r="554" spans="1:33" hidden="1" x14ac:dyDescent="0.25">
      <c r="A554">
        <v>2025</v>
      </c>
      <c r="B554">
        <v>6</v>
      </c>
      <c r="C554" t="s">
        <v>24</v>
      </c>
      <c r="D554" t="s">
        <v>38</v>
      </c>
      <c r="E554">
        <v>1</v>
      </c>
      <c r="F554">
        <v>1</v>
      </c>
      <c r="G554">
        <v>1</v>
      </c>
      <c r="H554">
        <v>101</v>
      </c>
      <c r="I554" s="12">
        <v>45916</v>
      </c>
      <c r="J554">
        <v>258</v>
      </c>
      <c r="K554">
        <v>105</v>
      </c>
      <c r="L554" t="s">
        <v>26</v>
      </c>
      <c r="M554">
        <v>37000</v>
      </c>
      <c r="P554">
        <v>0.19030000000000002</v>
      </c>
      <c r="Q554">
        <v>0.57799999999999996</v>
      </c>
      <c r="R554">
        <v>8405.9080962800872</v>
      </c>
      <c r="S554">
        <v>1</v>
      </c>
      <c r="T554">
        <v>0.91400000000000003</v>
      </c>
      <c r="U554">
        <v>0.91400000000000003</v>
      </c>
      <c r="V554">
        <v>284.46389496717723</v>
      </c>
      <c r="X554">
        <v>514.22319474835888</v>
      </c>
      <c r="Y554">
        <v>467.72428884026255</v>
      </c>
      <c r="Z554">
        <v>815.64551422319471</v>
      </c>
      <c r="AF554">
        <v>29.2</v>
      </c>
      <c r="AG554">
        <v>11.4</v>
      </c>
    </row>
    <row r="555" spans="1:33" hidden="1" x14ac:dyDescent="0.25">
      <c r="A555">
        <v>2025</v>
      </c>
      <c r="B555">
        <v>6</v>
      </c>
      <c r="C555" t="s">
        <v>29</v>
      </c>
      <c r="D555" t="s">
        <v>38</v>
      </c>
      <c r="E555">
        <v>1</v>
      </c>
      <c r="F555">
        <v>5</v>
      </c>
      <c r="G555">
        <v>1</v>
      </c>
      <c r="H555">
        <v>105</v>
      </c>
      <c r="I555" s="12">
        <v>45916</v>
      </c>
      <c r="J555">
        <v>258</v>
      </c>
      <c r="K555">
        <v>105</v>
      </c>
      <c r="L555" t="s">
        <v>26</v>
      </c>
      <c r="M555">
        <v>37000</v>
      </c>
      <c r="P555">
        <v>0.17010000000000003</v>
      </c>
      <c r="Q555">
        <v>0.59899999999999998</v>
      </c>
      <c r="R555">
        <v>8414.6608315098474</v>
      </c>
      <c r="S555">
        <v>1</v>
      </c>
      <c r="T555">
        <v>0.91400000000000003</v>
      </c>
      <c r="U555">
        <v>0.91400000000000003</v>
      </c>
      <c r="V555">
        <v>350.10940919037199</v>
      </c>
      <c r="X555">
        <v>689.27789934354485</v>
      </c>
      <c r="Y555">
        <v>384.57330415754927</v>
      </c>
      <c r="Z555">
        <v>437.08971553610502</v>
      </c>
      <c r="AF555">
        <v>34.200000000000003</v>
      </c>
      <c r="AG555">
        <v>13.6</v>
      </c>
    </row>
    <row r="556" spans="1:33" hidden="1" x14ac:dyDescent="0.25">
      <c r="A556">
        <v>2025</v>
      </c>
      <c r="B556">
        <v>6</v>
      </c>
      <c r="C556" t="s">
        <v>28</v>
      </c>
      <c r="D556" t="s">
        <v>38</v>
      </c>
      <c r="E556">
        <v>1</v>
      </c>
      <c r="F556">
        <v>7</v>
      </c>
      <c r="G556">
        <v>1</v>
      </c>
      <c r="H556">
        <v>107</v>
      </c>
      <c r="I556" s="12">
        <v>45916</v>
      </c>
      <c r="J556">
        <v>258</v>
      </c>
      <c r="K556">
        <v>105</v>
      </c>
      <c r="L556" t="s">
        <v>26</v>
      </c>
      <c r="M556">
        <v>37000</v>
      </c>
      <c r="P556">
        <v>0.19910000000000003</v>
      </c>
      <c r="Q556">
        <v>0.40799999999999997</v>
      </c>
      <c r="R556">
        <v>6642.2319474835876</v>
      </c>
      <c r="S556">
        <v>1</v>
      </c>
      <c r="T556">
        <v>0.91400000000000003</v>
      </c>
      <c r="U556">
        <v>0.91400000000000003</v>
      </c>
      <c r="V556">
        <v>350.10940919037199</v>
      </c>
      <c r="X556">
        <v>754.92341356673955</v>
      </c>
      <c r="Y556">
        <v>487.41794310722099</v>
      </c>
      <c r="Z556">
        <v>585.88621444201306</v>
      </c>
      <c r="AF556">
        <v>35</v>
      </c>
      <c r="AG556">
        <v>12.2</v>
      </c>
    </row>
    <row r="557" spans="1:33" hidden="1" x14ac:dyDescent="0.25">
      <c r="A557">
        <v>2025</v>
      </c>
      <c r="B557">
        <v>6</v>
      </c>
      <c r="C557" t="s">
        <v>32</v>
      </c>
      <c r="D557" t="s">
        <v>38</v>
      </c>
      <c r="E557">
        <v>1</v>
      </c>
      <c r="F557">
        <v>9</v>
      </c>
      <c r="G557">
        <v>1</v>
      </c>
      <c r="H557">
        <v>109</v>
      </c>
      <c r="I557" s="12">
        <v>45916</v>
      </c>
      <c r="J557">
        <v>258</v>
      </c>
      <c r="K557">
        <v>105</v>
      </c>
      <c r="L557" t="s">
        <v>26</v>
      </c>
      <c r="M557">
        <v>37000</v>
      </c>
      <c r="P557">
        <v>0.16440000000000002</v>
      </c>
      <c r="Q557">
        <v>0.60199999999999998</v>
      </c>
      <c r="R557">
        <v>8385.1203501094078</v>
      </c>
      <c r="S557">
        <v>1</v>
      </c>
      <c r="T557">
        <v>0.91400000000000003</v>
      </c>
      <c r="U557">
        <v>0.91400000000000003</v>
      </c>
      <c r="V557">
        <v>306.34573304157544</v>
      </c>
      <c r="X557">
        <v>612.69146608315089</v>
      </c>
      <c r="Y557">
        <v>365.97374179431068</v>
      </c>
      <c r="Z557">
        <v>513.67614879649886</v>
      </c>
      <c r="AF557">
        <v>36.5</v>
      </c>
      <c r="AG557">
        <v>16</v>
      </c>
    </row>
    <row r="558" spans="1:33" hidden="1" x14ac:dyDescent="0.25">
      <c r="A558">
        <v>2025</v>
      </c>
      <c r="B558">
        <v>6</v>
      </c>
      <c r="C558" t="s">
        <v>29</v>
      </c>
      <c r="D558" t="s">
        <v>38</v>
      </c>
      <c r="E558">
        <v>3</v>
      </c>
      <c r="F558">
        <v>4</v>
      </c>
      <c r="G558">
        <v>2</v>
      </c>
      <c r="H558">
        <v>304</v>
      </c>
      <c r="I558" s="12">
        <v>45916</v>
      </c>
      <c r="J558">
        <v>258</v>
      </c>
      <c r="K558">
        <v>105</v>
      </c>
      <c r="L558" t="s">
        <v>26</v>
      </c>
      <c r="M558">
        <v>37000</v>
      </c>
      <c r="P558">
        <v>0.18439999999999998</v>
      </c>
      <c r="Q558">
        <v>0.73399999999999999</v>
      </c>
      <c r="R558">
        <v>10048.140043763677</v>
      </c>
      <c r="S558">
        <v>1</v>
      </c>
      <c r="T558">
        <v>0.91400000000000003</v>
      </c>
      <c r="U558">
        <v>0.91400000000000003</v>
      </c>
      <c r="V558">
        <v>382.93216630196935</v>
      </c>
      <c r="X558">
        <v>700.21881838074398</v>
      </c>
      <c r="Y558">
        <v>387.85557986870896</v>
      </c>
      <c r="Z558">
        <v>546.49890590809628</v>
      </c>
      <c r="AF558">
        <v>37.799999999999997</v>
      </c>
      <c r="AG558">
        <v>13.8</v>
      </c>
    </row>
    <row r="559" spans="1:33" hidden="1" x14ac:dyDescent="0.25">
      <c r="A559">
        <v>2025</v>
      </c>
      <c r="B559">
        <v>6</v>
      </c>
      <c r="C559" t="s">
        <v>24</v>
      </c>
      <c r="D559" t="s">
        <v>38</v>
      </c>
      <c r="E559">
        <v>3</v>
      </c>
      <c r="F559">
        <v>6</v>
      </c>
      <c r="G559">
        <v>2</v>
      </c>
      <c r="H559">
        <v>306</v>
      </c>
      <c r="I559" s="12">
        <v>45916</v>
      </c>
      <c r="J559">
        <v>258</v>
      </c>
      <c r="K559">
        <v>105</v>
      </c>
      <c r="L559" t="s">
        <v>26</v>
      </c>
      <c r="M559">
        <v>37000</v>
      </c>
      <c r="P559">
        <v>0.193</v>
      </c>
      <c r="Q559">
        <v>0.48199999999999998</v>
      </c>
      <c r="R559">
        <v>7385.1203501094087</v>
      </c>
      <c r="S559">
        <v>1</v>
      </c>
      <c r="T559">
        <v>0.91400000000000003</v>
      </c>
      <c r="U559">
        <v>0.91400000000000003</v>
      </c>
      <c r="V559">
        <v>273.52297592997814</v>
      </c>
      <c r="X559">
        <v>536.10503282275715</v>
      </c>
      <c r="Y559">
        <v>440.3719912472647</v>
      </c>
      <c r="Z559">
        <v>861.59737417943097</v>
      </c>
      <c r="AF559">
        <v>33.700000000000003</v>
      </c>
      <c r="AG559">
        <v>15</v>
      </c>
    </row>
    <row r="560" spans="1:33" hidden="1" x14ac:dyDescent="0.25">
      <c r="A560">
        <v>2025</v>
      </c>
      <c r="B560">
        <v>6</v>
      </c>
      <c r="C560" t="s">
        <v>28</v>
      </c>
      <c r="D560" t="s">
        <v>38</v>
      </c>
      <c r="E560">
        <v>3</v>
      </c>
      <c r="F560">
        <v>8</v>
      </c>
      <c r="G560">
        <v>2</v>
      </c>
      <c r="H560">
        <v>308</v>
      </c>
      <c r="I560" s="12">
        <v>45916</v>
      </c>
      <c r="J560">
        <v>258</v>
      </c>
      <c r="K560">
        <v>105</v>
      </c>
      <c r="L560" t="s">
        <v>26</v>
      </c>
      <c r="M560">
        <v>37000</v>
      </c>
      <c r="P560">
        <v>0.13600000000000001</v>
      </c>
      <c r="Q560">
        <v>0.59</v>
      </c>
      <c r="R560">
        <v>7943.107221006564</v>
      </c>
      <c r="S560">
        <v>1</v>
      </c>
      <c r="T560">
        <v>0.91400000000000003</v>
      </c>
      <c r="U560">
        <v>0.91400000000000003</v>
      </c>
      <c r="V560">
        <v>240.70021881838073</v>
      </c>
      <c r="X560">
        <v>568.92778993435445</v>
      </c>
      <c r="Y560">
        <v>263.12910284463891</v>
      </c>
      <c r="Z560">
        <v>415.20787746170674</v>
      </c>
      <c r="AF560">
        <v>39.9</v>
      </c>
      <c r="AG560">
        <v>15</v>
      </c>
    </row>
    <row r="561" spans="1:33" hidden="1" x14ac:dyDescent="0.25">
      <c r="A561">
        <v>2025</v>
      </c>
      <c r="B561">
        <v>6</v>
      </c>
      <c r="C561" t="s">
        <v>32</v>
      </c>
      <c r="D561" t="s">
        <v>38</v>
      </c>
      <c r="E561">
        <v>3</v>
      </c>
      <c r="F561">
        <v>9</v>
      </c>
      <c r="G561">
        <v>2</v>
      </c>
      <c r="H561">
        <v>309</v>
      </c>
      <c r="I561" s="12">
        <v>45916</v>
      </c>
      <c r="J561">
        <v>258</v>
      </c>
      <c r="K561">
        <v>105</v>
      </c>
      <c r="L561" t="s">
        <v>26</v>
      </c>
      <c r="M561">
        <v>37000</v>
      </c>
      <c r="P561">
        <v>0.21829999999999999</v>
      </c>
      <c r="Q561">
        <v>0.33600000000000002</v>
      </c>
      <c r="R561">
        <v>6064.551422319475</v>
      </c>
      <c r="S561">
        <v>1</v>
      </c>
      <c r="T561">
        <v>0.91400000000000003</v>
      </c>
      <c r="U561">
        <v>0.91400000000000003</v>
      </c>
      <c r="V561">
        <v>536.10503282275715</v>
      </c>
      <c r="X561">
        <v>875.27352297592995</v>
      </c>
      <c r="Y561">
        <v>595.73304157549239</v>
      </c>
      <c r="Z561">
        <v>381.29102844638942</v>
      </c>
      <c r="AF561">
        <v>31.1</v>
      </c>
      <c r="AG561">
        <v>14.4</v>
      </c>
    </row>
    <row r="562" spans="1:33" hidden="1" x14ac:dyDescent="0.25">
      <c r="A562">
        <v>2025</v>
      </c>
      <c r="B562">
        <v>6</v>
      </c>
      <c r="C562" t="s">
        <v>24</v>
      </c>
      <c r="D562" t="s">
        <v>38</v>
      </c>
      <c r="E562">
        <v>4</v>
      </c>
      <c r="F562">
        <v>11</v>
      </c>
      <c r="G562">
        <v>2</v>
      </c>
      <c r="H562">
        <v>402</v>
      </c>
      <c r="I562" s="12">
        <v>45916</v>
      </c>
      <c r="J562">
        <v>258</v>
      </c>
      <c r="K562">
        <v>105</v>
      </c>
      <c r="L562" t="s">
        <v>26</v>
      </c>
      <c r="M562">
        <v>37000</v>
      </c>
      <c r="P562">
        <v>0.1027</v>
      </c>
      <c r="Q562">
        <v>0.39600000000000002</v>
      </c>
      <c r="R562">
        <v>5456.2363238512035</v>
      </c>
      <c r="S562">
        <v>1</v>
      </c>
      <c r="T562">
        <v>0.91400000000000003</v>
      </c>
      <c r="U562">
        <v>0.91400000000000003</v>
      </c>
      <c r="V562">
        <v>109.40919037199124</v>
      </c>
      <c r="X562">
        <v>273.52297592997814</v>
      </c>
      <c r="Y562">
        <v>256.56455142231948</v>
      </c>
      <c r="Z562">
        <v>484.13566739606125</v>
      </c>
      <c r="AF562">
        <v>30.6</v>
      </c>
      <c r="AG562">
        <v>11</v>
      </c>
    </row>
    <row r="563" spans="1:33" hidden="1" x14ac:dyDescent="0.25">
      <c r="A563">
        <v>2025</v>
      </c>
      <c r="B563">
        <v>6</v>
      </c>
      <c r="C563" t="s">
        <v>29</v>
      </c>
      <c r="D563" t="s">
        <v>38</v>
      </c>
      <c r="E563">
        <v>4</v>
      </c>
      <c r="F563">
        <v>12</v>
      </c>
      <c r="G563">
        <v>2</v>
      </c>
      <c r="H563">
        <v>403</v>
      </c>
      <c r="I563" s="12">
        <v>45916</v>
      </c>
      <c r="J563">
        <v>258</v>
      </c>
      <c r="K563">
        <v>105</v>
      </c>
      <c r="L563" t="s">
        <v>26</v>
      </c>
      <c r="M563">
        <v>37000</v>
      </c>
      <c r="P563">
        <v>0.17369999999999999</v>
      </c>
      <c r="Q563">
        <v>0.439</v>
      </c>
      <c r="R563">
        <v>6703.5010940919037</v>
      </c>
      <c r="S563">
        <v>1</v>
      </c>
      <c r="T563">
        <v>0.91400000000000003</v>
      </c>
      <c r="U563">
        <v>0.91400000000000003</v>
      </c>
      <c r="V563">
        <v>339.16849015317285</v>
      </c>
      <c r="X563">
        <v>667.39606126914657</v>
      </c>
      <c r="Y563">
        <v>355.03282275711155</v>
      </c>
      <c r="Z563">
        <v>538.84026258205688</v>
      </c>
      <c r="AF563">
        <v>29.7</v>
      </c>
      <c r="AG563">
        <v>11.8</v>
      </c>
    </row>
    <row r="564" spans="1:33" hidden="1" x14ac:dyDescent="0.25">
      <c r="A564">
        <v>2025</v>
      </c>
      <c r="B564">
        <v>6</v>
      </c>
      <c r="C564" t="s">
        <v>32</v>
      </c>
      <c r="D564" t="s">
        <v>38</v>
      </c>
      <c r="E564">
        <v>4</v>
      </c>
      <c r="F564">
        <v>13</v>
      </c>
      <c r="G564">
        <v>2</v>
      </c>
      <c r="H564">
        <v>404</v>
      </c>
      <c r="I564" s="12">
        <v>45916</v>
      </c>
      <c r="J564">
        <v>258</v>
      </c>
      <c r="K564">
        <v>105</v>
      </c>
      <c r="L564" t="s">
        <v>26</v>
      </c>
      <c r="M564">
        <v>37000</v>
      </c>
      <c r="P564">
        <v>0.12510000000000002</v>
      </c>
      <c r="Q564">
        <v>0.69199999999999995</v>
      </c>
      <c r="R564">
        <v>8939.8249452954042</v>
      </c>
      <c r="S564">
        <v>1</v>
      </c>
      <c r="T564">
        <v>0.91400000000000003</v>
      </c>
      <c r="U564">
        <v>0.91400000000000003</v>
      </c>
      <c r="V564">
        <v>284.46389496717723</v>
      </c>
      <c r="X564">
        <v>536.10503282275715</v>
      </c>
      <c r="Y564">
        <v>283.91684901531727</v>
      </c>
      <c r="Z564">
        <v>264.22319474835888</v>
      </c>
      <c r="AF564">
        <v>33.700000000000003</v>
      </c>
      <c r="AG564">
        <v>18.600000000000001</v>
      </c>
    </row>
    <row r="565" spans="1:33" hidden="1" x14ac:dyDescent="0.25">
      <c r="A565">
        <v>2025</v>
      </c>
      <c r="B565">
        <v>6</v>
      </c>
      <c r="C565" t="s">
        <v>28</v>
      </c>
      <c r="D565" t="s">
        <v>38</v>
      </c>
      <c r="E565">
        <v>4</v>
      </c>
      <c r="F565">
        <v>14</v>
      </c>
      <c r="G565">
        <v>2</v>
      </c>
      <c r="H565">
        <v>405</v>
      </c>
      <c r="I565" s="12">
        <v>45916</v>
      </c>
      <c r="J565">
        <v>258</v>
      </c>
      <c r="K565">
        <v>105</v>
      </c>
      <c r="L565" t="s">
        <v>26</v>
      </c>
      <c r="M565">
        <v>37000</v>
      </c>
      <c r="P565">
        <v>0.38089999999999996</v>
      </c>
      <c r="Q565">
        <v>0.67500000000000004</v>
      </c>
      <c r="R565">
        <v>11552.516411378556</v>
      </c>
      <c r="S565">
        <v>1</v>
      </c>
      <c r="T565">
        <v>0.91400000000000003</v>
      </c>
      <c r="U565">
        <v>0.91400000000000003</v>
      </c>
      <c r="V565">
        <v>754.92341356673955</v>
      </c>
      <c r="X565">
        <v>1586.4332603938731</v>
      </c>
      <c r="Y565">
        <v>909.73741794310706</v>
      </c>
      <c r="Z565">
        <v>916.30196936542666</v>
      </c>
      <c r="AF565">
        <v>32.4</v>
      </c>
      <c r="AG565">
        <v>16</v>
      </c>
    </row>
    <row r="566" spans="1:33" hidden="1" x14ac:dyDescent="0.25">
      <c r="A566">
        <v>2025</v>
      </c>
      <c r="B566">
        <v>6</v>
      </c>
      <c r="C566" t="s">
        <v>24</v>
      </c>
      <c r="D566" t="s">
        <v>25</v>
      </c>
      <c r="E566">
        <v>5</v>
      </c>
      <c r="F566">
        <v>1</v>
      </c>
      <c r="G566">
        <v>3</v>
      </c>
      <c r="H566">
        <v>501</v>
      </c>
      <c r="I566" s="12">
        <v>45916</v>
      </c>
      <c r="J566">
        <v>258</v>
      </c>
      <c r="K566">
        <v>105</v>
      </c>
      <c r="L566" t="s">
        <v>26</v>
      </c>
      <c r="M566">
        <v>37000</v>
      </c>
      <c r="P566">
        <v>0.16369999999999998</v>
      </c>
      <c r="Q566">
        <v>0.84599999999999997</v>
      </c>
      <c r="R566">
        <v>11047.045951859956</v>
      </c>
      <c r="S566">
        <v>1</v>
      </c>
      <c r="T566">
        <v>0.91400000000000003</v>
      </c>
      <c r="U566">
        <v>0.91400000000000003</v>
      </c>
      <c r="V566">
        <v>229.75929978118162</v>
      </c>
      <c r="X566">
        <v>568.92778993435445</v>
      </c>
      <c r="Y566">
        <v>402.07877461706784</v>
      </c>
      <c r="Z566">
        <v>590.26258205689282</v>
      </c>
      <c r="AF566">
        <v>29.8</v>
      </c>
      <c r="AG566">
        <v>14.2</v>
      </c>
    </row>
    <row r="567" spans="1:33" hidden="1" x14ac:dyDescent="0.25">
      <c r="A567">
        <v>2025</v>
      </c>
      <c r="B567">
        <v>6</v>
      </c>
      <c r="C567" t="s">
        <v>29</v>
      </c>
      <c r="D567" t="s">
        <v>25</v>
      </c>
      <c r="E567">
        <v>5</v>
      </c>
      <c r="F567">
        <v>5</v>
      </c>
      <c r="G567">
        <v>3</v>
      </c>
      <c r="H567">
        <v>505</v>
      </c>
      <c r="I567" s="12">
        <v>45916</v>
      </c>
      <c r="J567">
        <v>258</v>
      </c>
      <c r="K567">
        <v>105</v>
      </c>
      <c r="L567" t="s">
        <v>26</v>
      </c>
      <c r="M567">
        <v>37000</v>
      </c>
      <c r="P567">
        <v>8.5500000000000007E-2</v>
      </c>
      <c r="Q567">
        <v>0.19500000000000001</v>
      </c>
      <c r="R567">
        <v>3068.9277899343542</v>
      </c>
      <c r="S567">
        <v>1</v>
      </c>
      <c r="T567">
        <v>0.91400000000000003</v>
      </c>
      <c r="U567">
        <v>0.91400000000000003</v>
      </c>
      <c r="V567">
        <v>131.29102844638948</v>
      </c>
      <c r="X567">
        <v>317.28665207877458</v>
      </c>
      <c r="Y567">
        <v>165.75492341356679</v>
      </c>
      <c r="Z567">
        <v>321.11597374179428</v>
      </c>
      <c r="AF567">
        <v>23</v>
      </c>
      <c r="AG567">
        <v>10.6</v>
      </c>
    </row>
    <row r="568" spans="1:33" hidden="1" x14ac:dyDescent="0.25">
      <c r="A568">
        <v>2025</v>
      </c>
      <c r="B568">
        <v>6</v>
      </c>
      <c r="C568" t="s">
        <v>28</v>
      </c>
      <c r="D568" t="s">
        <v>25</v>
      </c>
      <c r="E568">
        <v>5</v>
      </c>
      <c r="F568">
        <v>7</v>
      </c>
      <c r="G568">
        <v>3</v>
      </c>
      <c r="H568">
        <v>507</v>
      </c>
      <c r="I568" s="12">
        <v>45916</v>
      </c>
      <c r="J568">
        <v>258</v>
      </c>
      <c r="K568">
        <v>105</v>
      </c>
      <c r="L568" t="s">
        <v>26</v>
      </c>
      <c r="M568">
        <v>37000</v>
      </c>
      <c r="P568">
        <v>8.1500000000000003E-2</v>
      </c>
      <c r="Q568">
        <v>0.251</v>
      </c>
      <c r="R568">
        <v>3637.8555798687089</v>
      </c>
      <c r="S568">
        <v>1</v>
      </c>
      <c r="T568">
        <v>0.91400000000000003</v>
      </c>
      <c r="U568">
        <v>0.91400000000000003</v>
      </c>
      <c r="V568">
        <v>153.17286652078772</v>
      </c>
      <c r="X568">
        <v>361.05032822757107</v>
      </c>
      <c r="Y568">
        <v>141.68490153172866</v>
      </c>
      <c r="Z568">
        <v>235.77680525164115</v>
      </c>
      <c r="AF568">
        <v>23.2</v>
      </c>
      <c r="AG568">
        <v>13.4</v>
      </c>
    </row>
    <row r="569" spans="1:33" hidden="1" x14ac:dyDescent="0.25">
      <c r="A569">
        <v>2025</v>
      </c>
      <c r="B569">
        <v>6</v>
      </c>
      <c r="C569" t="s">
        <v>32</v>
      </c>
      <c r="D569" t="s">
        <v>25</v>
      </c>
      <c r="E569">
        <v>5</v>
      </c>
      <c r="F569">
        <v>9</v>
      </c>
      <c r="G569">
        <v>3</v>
      </c>
      <c r="H569">
        <v>509</v>
      </c>
      <c r="I569" s="12">
        <v>45916</v>
      </c>
      <c r="J569">
        <v>258</v>
      </c>
      <c r="K569">
        <v>105</v>
      </c>
      <c r="L569" t="s">
        <v>26</v>
      </c>
      <c r="M569">
        <v>37000</v>
      </c>
      <c r="P569">
        <v>0.1173</v>
      </c>
      <c r="Q569">
        <v>0.28000000000000003</v>
      </c>
      <c r="R569">
        <v>4346.8271334792125</v>
      </c>
      <c r="S569">
        <v>1</v>
      </c>
      <c r="T569">
        <v>0.91400000000000003</v>
      </c>
      <c r="U569">
        <v>0.91400000000000003</v>
      </c>
      <c r="V569">
        <v>295.40481400437636</v>
      </c>
      <c r="X569">
        <v>481.40043763676147</v>
      </c>
      <c r="Y569">
        <v>277.35229759299779</v>
      </c>
      <c r="Z569">
        <v>229.21225382932164</v>
      </c>
      <c r="AF569">
        <v>26.8</v>
      </c>
      <c r="AG569">
        <v>11.4</v>
      </c>
    </row>
    <row r="570" spans="1:33" hidden="1" x14ac:dyDescent="0.25">
      <c r="A570">
        <v>2025</v>
      </c>
      <c r="B570">
        <v>6</v>
      </c>
      <c r="C570" t="s">
        <v>29</v>
      </c>
      <c r="D570" t="s">
        <v>25</v>
      </c>
      <c r="E570">
        <v>7</v>
      </c>
      <c r="F570">
        <v>4</v>
      </c>
      <c r="G570">
        <v>4</v>
      </c>
      <c r="H570">
        <v>704</v>
      </c>
      <c r="I570" s="12">
        <v>45916</v>
      </c>
      <c r="J570">
        <v>258</v>
      </c>
      <c r="K570">
        <v>105</v>
      </c>
      <c r="L570" t="s">
        <v>26</v>
      </c>
      <c r="M570">
        <v>37000</v>
      </c>
      <c r="P570">
        <v>0.1452</v>
      </c>
      <c r="Q570">
        <v>0.51</v>
      </c>
      <c r="R570">
        <v>7168.4901531728665</v>
      </c>
      <c r="S570">
        <v>1</v>
      </c>
      <c r="T570">
        <v>0.91400000000000003</v>
      </c>
      <c r="U570">
        <v>0.91400000000000003</v>
      </c>
      <c r="V570">
        <v>295.40481400437636</v>
      </c>
      <c r="X570">
        <v>557.98687089715543</v>
      </c>
      <c r="Y570">
        <v>266.41137855579865</v>
      </c>
      <c r="Z570">
        <v>468.8183807439824</v>
      </c>
      <c r="AF570">
        <v>36.5</v>
      </c>
      <c r="AG570">
        <v>7.8</v>
      </c>
    </row>
    <row r="571" spans="1:33" hidden="1" x14ac:dyDescent="0.25">
      <c r="A571">
        <v>2025</v>
      </c>
      <c r="B571">
        <v>6</v>
      </c>
      <c r="C571" t="s">
        <v>24</v>
      </c>
      <c r="D571" t="s">
        <v>25</v>
      </c>
      <c r="E571">
        <v>7</v>
      </c>
      <c r="F571">
        <v>6</v>
      </c>
      <c r="G571">
        <v>4</v>
      </c>
      <c r="H571">
        <v>706</v>
      </c>
      <c r="I571" s="12">
        <v>45916</v>
      </c>
      <c r="J571">
        <v>258</v>
      </c>
      <c r="K571">
        <v>105</v>
      </c>
      <c r="L571" t="s">
        <v>26</v>
      </c>
      <c r="M571">
        <v>37000</v>
      </c>
      <c r="P571">
        <v>5.0200000000000002E-2</v>
      </c>
      <c r="Q571">
        <v>0.27100000000000002</v>
      </c>
      <c r="R571">
        <v>3514.2231947483588</v>
      </c>
      <c r="S571">
        <v>1</v>
      </c>
      <c r="T571">
        <v>0.91400000000000003</v>
      </c>
      <c r="U571">
        <v>0.91400000000000003</v>
      </c>
      <c r="V571">
        <v>32.822757111597369</v>
      </c>
      <c r="X571">
        <v>185.9956236323851</v>
      </c>
      <c r="Y571">
        <v>125.27352297592996</v>
      </c>
      <c r="Z571">
        <v>205.14223194748362</v>
      </c>
      <c r="AF571">
        <v>22.1</v>
      </c>
      <c r="AG571">
        <v>9.6</v>
      </c>
    </row>
    <row r="572" spans="1:33" hidden="1" x14ac:dyDescent="0.25">
      <c r="A572">
        <v>2025</v>
      </c>
      <c r="B572">
        <v>6</v>
      </c>
      <c r="C572" t="s">
        <v>28</v>
      </c>
      <c r="D572" t="s">
        <v>25</v>
      </c>
      <c r="E572">
        <v>7</v>
      </c>
      <c r="F572">
        <v>8</v>
      </c>
      <c r="G572">
        <v>4</v>
      </c>
      <c r="H572">
        <v>708</v>
      </c>
      <c r="I572" s="12">
        <v>45916</v>
      </c>
      <c r="J572">
        <v>258</v>
      </c>
      <c r="K572">
        <v>105</v>
      </c>
      <c r="L572" t="s">
        <v>26</v>
      </c>
      <c r="M572">
        <v>37000</v>
      </c>
      <c r="P572">
        <v>8.3199999999999996E-2</v>
      </c>
      <c r="Q572">
        <v>0.25700000000000001</v>
      </c>
      <c r="R572">
        <v>3722.1006564551421</v>
      </c>
      <c r="S572">
        <v>1</v>
      </c>
      <c r="T572">
        <v>0.91400000000000003</v>
      </c>
      <c r="U572">
        <v>0.91400000000000003</v>
      </c>
      <c r="V572">
        <v>153.17286652078772</v>
      </c>
      <c r="X572">
        <v>295.40481400437636</v>
      </c>
      <c r="Y572">
        <v>163.5667396061269</v>
      </c>
      <c r="Z572">
        <v>298.1400437636762</v>
      </c>
      <c r="AF572">
        <v>22.2</v>
      </c>
      <c r="AG572">
        <v>13</v>
      </c>
    </row>
    <row r="573" spans="1:33" hidden="1" x14ac:dyDescent="0.25">
      <c r="A573">
        <v>2025</v>
      </c>
      <c r="B573">
        <v>6</v>
      </c>
      <c r="C573" t="s">
        <v>32</v>
      </c>
      <c r="D573" t="s">
        <v>25</v>
      </c>
      <c r="E573">
        <v>7</v>
      </c>
      <c r="F573">
        <v>9</v>
      </c>
      <c r="G573">
        <v>4</v>
      </c>
      <c r="H573">
        <v>709</v>
      </c>
      <c r="I573" s="12">
        <v>45916</v>
      </c>
      <c r="J573">
        <v>258</v>
      </c>
      <c r="K573">
        <v>105</v>
      </c>
      <c r="L573" t="s">
        <v>26</v>
      </c>
      <c r="M573">
        <v>37000</v>
      </c>
      <c r="P573">
        <v>0.1464</v>
      </c>
      <c r="Q573">
        <v>0.183</v>
      </c>
      <c r="R573">
        <v>3603.9387308533915</v>
      </c>
      <c r="S573">
        <v>1</v>
      </c>
      <c r="T573">
        <v>0.91400000000000003</v>
      </c>
      <c r="U573">
        <v>0.91400000000000003</v>
      </c>
      <c r="V573">
        <v>382.93216630196935</v>
      </c>
      <c r="X573">
        <v>481.40043763676147</v>
      </c>
      <c r="Y573">
        <v>360.50328227571111</v>
      </c>
      <c r="Z573">
        <v>376.91466083150988</v>
      </c>
      <c r="AF573">
        <v>25.3</v>
      </c>
      <c r="AG573">
        <v>6.4</v>
      </c>
    </row>
    <row r="574" spans="1:33" hidden="1" x14ac:dyDescent="0.25">
      <c r="A574">
        <v>2025</v>
      </c>
      <c r="B574">
        <v>6</v>
      </c>
      <c r="C574" t="s">
        <v>24</v>
      </c>
      <c r="D574" t="s">
        <v>25</v>
      </c>
      <c r="E574">
        <v>8</v>
      </c>
      <c r="F574">
        <v>11</v>
      </c>
      <c r="G574">
        <v>4</v>
      </c>
      <c r="H574">
        <v>802</v>
      </c>
      <c r="I574" s="12">
        <v>45916</v>
      </c>
      <c r="J574">
        <v>258</v>
      </c>
      <c r="K574">
        <v>105</v>
      </c>
      <c r="L574" t="s">
        <v>26</v>
      </c>
      <c r="M574">
        <v>37000</v>
      </c>
      <c r="P574">
        <v>8.2799999999999999E-2</v>
      </c>
      <c r="Q574">
        <v>0.224</v>
      </c>
      <c r="R574">
        <v>3356.6739606126916</v>
      </c>
      <c r="S574">
        <v>1</v>
      </c>
      <c r="T574">
        <v>0.91400000000000003</v>
      </c>
      <c r="U574">
        <v>0.91400000000000003</v>
      </c>
      <c r="V574">
        <v>76.586433260393861</v>
      </c>
      <c r="X574">
        <v>251.64113785557987</v>
      </c>
      <c r="Y574">
        <v>212.80087527352299</v>
      </c>
      <c r="Z574">
        <v>364.87964989059077</v>
      </c>
      <c r="AF574">
        <v>18.899999999999999</v>
      </c>
      <c r="AG574">
        <v>16</v>
      </c>
    </row>
    <row r="575" spans="1:33" hidden="1" x14ac:dyDescent="0.25">
      <c r="A575">
        <v>2025</v>
      </c>
      <c r="B575">
        <v>6</v>
      </c>
      <c r="C575" t="s">
        <v>29</v>
      </c>
      <c r="D575" t="s">
        <v>25</v>
      </c>
      <c r="E575">
        <v>8</v>
      </c>
      <c r="F575">
        <v>12</v>
      </c>
      <c r="G575">
        <v>4</v>
      </c>
      <c r="H575">
        <v>803</v>
      </c>
      <c r="I575" s="12">
        <v>45916</v>
      </c>
      <c r="J575">
        <v>258</v>
      </c>
      <c r="K575">
        <v>105</v>
      </c>
      <c r="L575" t="s">
        <v>26</v>
      </c>
      <c r="M575">
        <v>37000</v>
      </c>
      <c r="P575">
        <v>0.14860000000000001</v>
      </c>
      <c r="Q575">
        <v>0.22800000000000001</v>
      </c>
      <c r="R575">
        <v>4120.3501094091898</v>
      </c>
      <c r="S575">
        <v>1</v>
      </c>
      <c r="T575">
        <v>0.91400000000000003</v>
      </c>
      <c r="U575">
        <v>0.91400000000000003</v>
      </c>
      <c r="V575">
        <v>295.40481400437636</v>
      </c>
      <c r="X575">
        <v>547.04595185995629</v>
      </c>
      <c r="Y575">
        <v>291.57549234135666</v>
      </c>
      <c r="Z575">
        <v>491.79431072210065</v>
      </c>
      <c r="AF575">
        <v>27</v>
      </c>
      <c r="AG575">
        <v>15.8</v>
      </c>
    </row>
    <row r="576" spans="1:33" hidden="1" x14ac:dyDescent="0.25">
      <c r="A576">
        <v>2025</v>
      </c>
      <c r="B576">
        <v>6</v>
      </c>
      <c r="C576" t="s">
        <v>32</v>
      </c>
      <c r="D576" t="s">
        <v>25</v>
      </c>
      <c r="E576">
        <v>8</v>
      </c>
      <c r="F576">
        <v>13</v>
      </c>
      <c r="G576">
        <v>4</v>
      </c>
      <c r="H576">
        <v>804</v>
      </c>
      <c r="I576" s="12">
        <v>45916</v>
      </c>
      <c r="J576">
        <v>258</v>
      </c>
      <c r="K576">
        <v>105</v>
      </c>
      <c r="L576" t="s">
        <v>26</v>
      </c>
      <c r="M576">
        <v>37000</v>
      </c>
      <c r="P576">
        <v>0.17639999999999997</v>
      </c>
      <c r="Q576">
        <v>0.23</v>
      </c>
      <c r="R576">
        <v>4446.3894967177239</v>
      </c>
      <c r="S576">
        <v>1</v>
      </c>
      <c r="T576">
        <v>0.91400000000000003</v>
      </c>
      <c r="U576">
        <v>0.91400000000000003</v>
      </c>
      <c r="V576">
        <v>481.40043763676147</v>
      </c>
      <c r="X576">
        <v>590.80962800875272</v>
      </c>
      <c r="Y576">
        <v>541.02844638949671</v>
      </c>
      <c r="Z576">
        <v>316.73960612691468</v>
      </c>
      <c r="AF576">
        <v>24.1</v>
      </c>
      <c r="AG576">
        <v>15.6</v>
      </c>
    </row>
    <row r="577" spans="1:33" hidden="1" x14ac:dyDescent="0.25">
      <c r="A577">
        <v>2025</v>
      </c>
      <c r="B577">
        <v>6</v>
      </c>
      <c r="C577" t="s">
        <v>28</v>
      </c>
      <c r="D577" t="s">
        <v>25</v>
      </c>
      <c r="E577" s="49">
        <v>8</v>
      </c>
      <c r="F577">
        <v>14</v>
      </c>
      <c r="G577" s="49">
        <v>4</v>
      </c>
      <c r="H577">
        <v>805</v>
      </c>
      <c r="I577" s="12">
        <v>45916</v>
      </c>
      <c r="J577">
        <v>258</v>
      </c>
      <c r="K577">
        <v>105</v>
      </c>
      <c r="L577" t="s">
        <v>26</v>
      </c>
      <c r="M577">
        <v>37000</v>
      </c>
      <c r="P577">
        <v>0.1166</v>
      </c>
      <c r="Q577">
        <v>0.36499999999999999</v>
      </c>
      <c r="R577">
        <v>5269.1466083150981</v>
      </c>
      <c r="S577">
        <v>1</v>
      </c>
      <c r="T577">
        <v>0.91400000000000003</v>
      </c>
      <c r="U577">
        <v>0.91400000000000003</v>
      </c>
      <c r="V577">
        <v>251.64113785557987</v>
      </c>
      <c r="X577">
        <v>415.7549234135667</v>
      </c>
      <c r="Y577">
        <v>221.5536105032823</v>
      </c>
      <c r="Z577">
        <v>386.76148796498899</v>
      </c>
      <c r="AF577">
        <v>23.8</v>
      </c>
      <c r="AG577">
        <v>14</v>
      </c>
    </row>
    <row r="578" spans="1:33" hidden="1" x14ac:dyDescent="0.25">
      <c r="A578" s="15">
        <v>2025</v>
      </c>
      <c r="B578" s="15">
        <v>7</v>
      </c>
      <c r="C578" s="15" t="s">
        <v>24</v>
      </c>
      <c r="D578" t="s">
        <v>38</v>
      </c>
      <c r="E578">
        <v>1</v>
      </c>
      <c r="F578">
        <v>1</v>
      </c>
      <c r="G578">
        <v>1</v>
      </c>
      <c r="H578" s="15">
        <v>101</v>
      </c>
      <c r="I578" s="14">
        <v>45930</v>
      </c>
      <c r="J578" s="15">
        <v>272</v>
      </c>
      <c r="K578">
        <v>119</v>
      </c>
      <c r="L578" s="15" t="s">
        <v>26</v>
      </c>
      <c r="M578" s="15">
        <v>37000</v>
      </c>
      <c r="N578" s="15"/>
      <c r="P578" s="15">
        <v>0.10479999999999999</v>
      </c>
      <c r="Q578">
        <v>0.55900000000000005</v>
      </c>
      <c r="R578" s="15">
        <v>7262.5820568927784</v>
      </c>
      <c r="S578" s="15">
        <v>1</v>
      </c>
      <c r="T578" s="15">
        <v>0.91400000000000003</v>
      </c>
      <c r="U578" s="15">
        <v>0.91400000000000003</v>
      </c>
      <c r="V578" s="15">
        <v>0</v>
      </c>
      <c r="W578" s="15"/>
      <c r="X578" s="15">
        <v>229.75929978118162</v>
      </c>
      <c r="Y578" s="15">
        <v>315.64551422319477</v>
      </c>
      <c r="Z578" s="15">
        <v>601.20350109409196</v>
      </c>
      <c r="AA578" s="15"/>
      <c r="AB578" s="15"/>
      <c r="AC578" s="15"/>
      <c r="AD578" s="15"/>
      <c r="AE578" s="15"/>
      <c r="AF578" s="15">
        <v>32.6</v>
      </c>
      <c r="AG578">
        <v>17</v>
      </c>
    </row>
    <row r="579" spans="1:33" hidden="1" x14ac:dyDescent="0.25">
      <c r="A579">
        <v>2025</v>
      </c>
      <c r="B579">
        <v>7</v>
      </c>
      <c r="C579" t="s">
        <v>29</v>
      </c>
      <c r="D579" t="s">
        <v>38</v>
      </c>
      <c r="E579">
        <v>1</v>
      </c>
      <c r="F579">
        <v>5</v>
      </c>
      <c r="G579">
        <v>1</v>
      </c>
      <c r="H579">
        <v>105</v>
      </c>
      <c r="I579" s="12">
        <v>45930</v>
      </c>
      <c r="J579">
        <v>272</v>
      </c>
      <c r="K579">
        <v>119</v>
      </c>
      <c r="L579" t="s">
        <v>26</v>
      </c>
      <c r="M579">
        <v>37000</v>
      </c>
      <c r="P579">
        <v>0.16930000000000001</v>
      </c>
      <c r="Q579">
        <v>0.89300000000000002</v>
      </c>
      <c r="R579">
        <v>11622.538293216629</v>
      </c>
      <c r="S579">
        <v>1</v>
      </c>
      <c r="T579">
        <v>0.91400000000000003</v>
      </c>
      <c r="U579">
        <v>0.91400000000000003</v>
      </c>
      <c r="V579">
        <v>142.23194748358861</v>
      </c>
      <c r="X579">
        <v>700.21881838074398</v>
      </c>
      <c r="Y579">
        <v>314.55142231947485</v>
      </c>
      <c r="Z579">
        <v>695.29540481400431</v>
      </c>
      <c r="AF579">
        <v>40</v>
      </c>
      <c r="AG579">
        <v>15.4</v>
      </c>
    </row>
    <row r="580" spans="1:33" hidden="1" x14ac:dyDescent="0.25">
      <c r="A580">
        <v>2025</v>
      </c>
      <c r="B580">
        <v>7</v>
      </c>
      <c r="C580" t="s">
        <v>28</v>
      </c>
      <c r="D580" t="s">
        <v>38</v>
      </c>
      <c r="E580">
        <v>1</v>
      </c>
      <c r="F580">
        <v>7</v>
      </c>
      <c r="G580">
        <v>1</v>
      </c>
      <c r="H580">
        <v>107</v>
      </c>
      <c r="I580" s="12">
        <v>45930</v>
      </c>
      <c r="J580">
        <v>272</v>
      </c>
      <c r="K580">
        <v>119</v>
      </c>
      <c r="L580" t="s">
        <v>26</v>
      </c>
      <c r="M580">
        <v>37000</v>
      </c>
      <c r="P580">
        <v>0.1038</v>
      </c>
      <c r="Q580">
        <v>0.51400000000000001</v>
      </c>
      <c r="R580">
        <v>6759.2997811816185</v>
      </c>
      <c r="S580">
        <v>1</v>
      </c>
      <c r="T580">
        <v>0.91400000000000003</v>
      </c>
      <c r="U580">
        <v>0.91400000000000003</v>
      </c>
      <c r="V580">
        <v>0</v>
      </c>
      <c r="X580">
        <v>229.75929978118162</v>
      </c>
      <c r="Y580">
        <v>285.01094091903718</v>
      </c>
      <c r="Z580">
        <v>620.8971553610503</v>
      </c>
      <c r="AF580">
        <v>32.799999999999997</v>
      </c>
      <c r="AG580">
        <v>19.399999999999999</v>
      </c>
    </row>
    <row r="581" spans="1:33" hidden="1" x14ac:dyDescent="0.25">
      <c r="A581">
        <v>2025</v>
      </c>
      <c r="B581">
        <v>7</v>
      </c>
      <c r="C581" t="s">
        <v>32</v>
      </c>
      <c r="D581" t="s">
        <v>38</v>
      </c>
      <c r="E581">
        <v>1</v>
      </c>
      <c r="F581">
        <v>9</v>
      </c>
      <c r="G581">
        <v>1</v>
      </c>
      <c r="H581">
        <v>109</v>
      </c>
      <c r="I581" s="12">
        <v>45930</v>
      </c>
      <c r="J581">
        <v>272</v>
      </c>
      <c r="K581">
        <v>119</v>
      </c>
      <c r="L581" t="s">
        <v>26</v>
      </c>
      <c r="M581">
        <v>37000</v>
      </c>
      <c r="P581">
        <v>0.31980000000000003</v>
      </c>
      <c r="Q581">
        <v>0.66800000000000004</v>
      </c>
      <c r="R581">
        <v>10807.439824945295</v>
      </c>
      <c r="S581">
        <v>1</v>
      </c>
      <c r="T581">
        <v>0.91400000000000003</v>
      </c>
      <c r="U581">
        <v>0.91400000000000003</v>
      </c>
      <c r="V581">
        <v>328.22757111597377</v>
      </c>
      <c r="X581">
        <v>1006.5645514223195</v>
      </c>
      <c r="Y581">
        <v>731.40043763676147</v>
      </c>
      <c r="Z581">
        <v>1432.7133479212255</v>
      </c>
      <c r="AF581">
        <v>37.200000000000003</v>
      </c>
      <c r="AG581">
        <v>14.8</v>
      </c>
    </row>
    <row r="582" spans="1:33" hidden="1" x14ac:dyDescent="0.25">
      <c r="A582">
        <v>2025</v>
      </c>
      <c r="B582">
        <v>7</v>
      </c>
      <c r="C582" t="s">
        <v>29</v>
      </c>
      <c r="D582" t="s">
        <v>38</v>
      </c>
      <c r="E582">
        <v>3</v>
      </c>
      <c r="F582">
        <v>4</v>
      </c>
      <c r="G582">
        <v>2</v>
      </c>
      <c r="H582">
        <v>304</v>
      </c>
      <c r="I582" s="12">
        <v>45930</v>
      </c>
      <c r="J582">
        <v>272</v>
      </c>
      <c r="K582">
        <v>119</v>
      </c>
      <c r="L582" t="s">
        <v>26</v>
      </c>
      <c r="M582">
        <v>37000</v>
      </c>
      <c r="P582">
        <v>9.3799999999999994E-2</v>
      </c>
      <c r="Q582">
        <v>0.45700000000000002</v>
      </c>
      <c r="R582">
        <v>6026.2582056892779</v>
      </c>
      <c r="S582">
        <v>1</v>
      </c>
      <c r="T582">
        <v>0.91400000000000003</v>
      </c>
      <c r="U582">
        <v>0.91400000000000003</v>
      </c>
      <c r="V582">
        <v>0</v>
      </c>
      <c r="X582">
        <v>273.52297592997814</v>
      </c>
      <c r="Y582">
        <v>223.7417943107221</v>
      </c>
      <c r="Z582">
        <v>528.99343544857766</v>
      </c>
      <c r="AF582">
        <v>36.6</v>
      </c>
      <c r="AG582">
        <v>17.399999999999999</v>
      </c>
    </row>
    <row r="583" spans="1:33" hidden="1" x14ac:dyDescent="0.25">
      <c r="A583">
        <v>2025</v>
      </c>
      <c r="B583">
        <v>7</v>
      </c>
      <c r="C583" t="s">
        <v>24</v>
      </c>
      <c r="D583" t="s">
        <v>38</v>
      </c>
      <c r="E583">
        <v>3</v>
      </c>
      <c r="F583">
        <v>6</v>
      </c>
      <c r="G583">
        <v>2</v>
      </c>
      <c r="H583">
        <v>306</v>
      </c>
      <c r="I583" s="12">
        <v>45930</v>
      </c>
      <c r="J583">
        <v>272</v>
      </c>
      <c r="K583">
        <v>119</v>
      </c>
      <c r="L583" t="s">
        <v>26</v>
      </c>
      <c r="M583">
        <v>37000</v>
      </c>
      <c r="P583">
        <v>0.12409999999999999</v>
      </c>
      <c r="Q583">
        <v>0.64300000000000002</v>
      </c>
      <c r="R583">
        <v>8392.7789934354478</v>
      </c>
      <c r="S583">
        <v>1</v>
      </c>
      <c r="T583">
        <v>0.91400000000000003</v>
      </c>
      <c r="U583">
        <v>0.91400000000000003</v>
      </c>
      <c r="V583">
        <v>0</v>
      </c>
      <c r="X583">
        <v>284.46389496717723</v>
      </c>
      <c r="Y583">
        <v>328.77461706783367</v>
      </c>
      <c r="Z583">
        <v>744.52954048140043</v>
      </c>
      <c r="AF583">
        <v>30.2</v>
      </c>
      <c r="AG583">
        <v>15.2</v>
      </c>
    </row>
    <row r="584" spans="1:33" hidden="1" x14ac:dyDescent="0.25">
      <c r="A584">
        <v>2025</v>
      </c>
      <c r="B584">
        <v>7</v>
      </c>
      <c r="C584" t="s">
        <v>28</v>
      </c>
      <c r="D584" t="s">
        <v>38</v>
      </c>
      <c r="E584">
        <v>3</v>
      </c>
      <c r="F584">
        <v>8</v>
      </c>
      <c r="G584">
        <v>2</v>
      </c>
      <c r="H584">
        <v>308</v>
      </c>
      <c r="I584" s="12">
        <v>45930</v>
      </c>
      <c r="J584">
        <v>272</v>
      </c>
      <c r="K584">
        <v>119</v>
      </c>
      <c r="L584" t="s">
        <v>26</v>
      </c>
      <c r="M584">
        <v>37000</v>
      </c>
      <c r="P584">
        <v>7.3399999999999993E-2</v>
      </c>
      <c r="Q584">
        <v>0.49399999999999999</v>
      </c>
      <c r="R584">
        <v>6207.8774617067829</v>
      </c>
      <c r="S584">
        <v>1</v>
      </c>
      <c r="T584">
        <v>0.91400000000000003</v>
      </c>
      <c r="U584">
        <v>0.91400000000000003</v>
      </c>
      <c r="V584">
        <v>0</v>
      </c>
      <c r="X584">
        <v>185.9956236323851</v>
      </c>
      <c r="Y584">
        <v>173.4135667396061</v>
      </c>
      <c r="Z584">
        <v>443.6542669584245</v>
      </c>
      <c r="AF584">
        <v>32</v>
      </c>
      <c r="AG584">
        <v>15.6</v>
      </c>
    </row>
    <row r="585" spans="1:33" hidden="1" x14ac:dyDescent="0.25">
      <c r="A585">
        <v>2025</v>
      </c>
      <c r="B585">
        <v>7</v>
      </c>
      <c r="C585" t="s">
        <v>32</v>
      </c>
      <c r="D585" t="s">
        <v>38</v>
      </c>
      <c r="E585">
        <v>3</v>
      </c>
      <c r="F585">
        <v>9</v>
      </c>
      <c r="G585">
        <v>2</v>
      </c>
      <c r="H585">
        <v>309</v>
      </c>
      <c r="I585" s="12">
        <v>45930</v>
      </c>
      <c r="J585">
        <v>272</v>
      </c>
      <c r="K585">
        <v>119</v>
      </c>
      <c r="L585" t="s">
        <v>26</v>
      </c>
      <c r="M585">
        <v>37000</v>
      </c>
      <c r="P585">
        <v>0.1014</v>
      </c>
      <c r="Q585">
        <v>0.745</v>
      </c>
      <c r="R585">
        <v>9260.3938730853388</v>
      </c>
      <c r="S585">
        <v>1</v>
      </c>
      <c r="T585">
        <v>0.91400000000000003</v>
      </c>
      <c r="U585">
        <v>0.91400000000000003</v>
      </c>
      <c r="V585">
        <v>54.704595185995622</v>
      </c>
      <c r="X585">
        <v>361.05032822757107</v>
      </c>
      <c r="Y585">
        <v>232.49452954048144</v>
      </c>
      <c r="Z585">
        <v>461.15973741794312</v>
      </c>
      <c r="AF585">
        <v>37.799999999999997</v>
      </c>
      <c r="AG585">
        <v>14.6</v>
      </c>
    </row>
    <row r="586" spans="1:33" hidden="1" x14ac:dyDescent="0.25">
      <c r="A586">
        <v>2025</v>
      </c>
      <c r="B586">
        <v>7</v>
      </c>
      <c r="C586" t="s">
        <v>24</v>
      </c>
      <c r="D586" t="s">
        <v>38</v>
      </c>
      <c r="E586">
        <v>4</v>
      </c>
      <c r="F586">
        <v>11</v>
      </c>
      <c r="G586">
        <v>2</v>
      </c>
      <c r="H586">
        <v>402</v>
      </c>
      <c r="I586" s="12">
        <v>45930</v>
      </c>
      <c r="J586">
        <v>272</v>
      </c>
      <c r="K586">
        <v>119</v>
      </c>
      <c r="L586" t="s">
        <v>26</v>
      </c>
      <c r="M586">
        <v>37000</v>
      </c>
      <c r="P586">
        <v>0.11389999999999999</v>
      </c>
      <c r="Q586">
        <v>0.44700000000000001</v>
      </c>
      <c r="R586">
        <v>6136.7614879649891</v>
      </c>
      <c r="S586">
        <v>1</v>
      </c>
      <c r="T586">
        <v>0.91400000000000003</v>
      </c>
      <c r="U586">
        <v>0.91400000000000003</v>
      </c>
      <c r="V586">
        <v>0</v>
      </c>
      <c r="X586">
        <v>196.93654266958424</v>
      </c>
      <c r="Y586">
        <v>320.02188183807448</v>
      </c>
      <c r="Z586">
        <v>729.21225382932153</v>
      </c>
      <c r="AF586">
        <v>24.2</v>
      </c>
      <c r="AG586">
        <v>16.2</v>
      </c>
    </row>
    <row r="587" spans="1:33" hidden="1" x14ac:dyDescent="0.25">
      <c r="A587">
        <v>2025</v>
      </c>
      <c r="B587">
        <v>7</v>
      </c>
      <c r="C587" t="s">
        <v>29</v>
      </c>
      <c r="D587" t="s">
        <v>38</v>
      </c>
      <c r="E587">
        <v>4</v>
      </c>
      <c r="F587">
        <v>12</v>
      </c>
      <c r="G587">
        <v>2</v>
      </c>
      <c r="H587">
        <v>403</v>
      </c>
      <c r="I587" s="12">
        <v>45930</v>
      </c>
      <c r="J587">
        <v>272</v>
      </c>
      <c r="K587">
        <v>119</v>
      </c>
      <c r="L587" t="s">
        <v>26</v>
      </c>
      <c r="M587">
        <v>37000</v>
      </c>
      <c r="P587">
        <v>0.128</v>
      </c>
      <c r="Q587">
        <v>0.54500000000000004</v>
      </c>
      <c r="R587">
        <v>7363.23851203501</v>
      </c>
      <c r="S587">
        <v>1</v>
      </c>
      <c r="T587">
        <v>0.91400000000000003</v>
      </c>
      <c r="U587">
        <v>0.91400000000000003</v>
      </c>
      <c r="V587">
        <v>10.940919037199125</v>
      </c>
      <c r="X587">
        <v>437.63676148796498</v>
      </c>
      <c r="Y587">
        <v>330.96280087527362</v>
      </c>
      <c r="Z587">
        <v>620.8971553610503</v>
      </c>
      <c r="AF587">
        <v>32.200000000000003</v>
      </c>
      <c r="AG587">
        <v>15.4</v>
      </c>
    </row>
    <row r="588" spans="1:33" hidden="1" x14ac:dyDescent="0.25">
      <c r="A588">
        <v>2025</v>
      </c>
      <c r="B588">
        <v>7</v>
      </c>
      <c r="C588" t="s">
        <v>32</v>
      </c>
      <c r="D588" t="s">
        <v>38</v>
      </c>
      <c r="E588">
        <v>4</v>
      </c>
      <c r="F588">
        <v>13</v>
      </c>
      <c r="G588">
        <v>2</v>
      </c>
      <c r="H588">
        <v>404</v>
      </c>
      <c r="I588" s="12">
        <v>45930</v>
      </c>
      <c r="J588">
        <v>272</v>
      </c>
      <c r="K588">
        <v>119</v>
      </c>
      <c r="L588" t="s">
        <v>26</v>
      </c>
      <c r="M588">
        <v>37000</v>
      </c>
      <c r="P588">
        <v>0.18580000000000002</v>
      </c>
      <c r="Q588">
        <v>0.52400000000000002</v>
      </c>
      <c r="R588">
        <v>7765.8643326039391</v>
      </c>
      <c r="S588">
        <v>1</v>
      </c>
      <c r="T588">
        <v>0.91400000000000003</v>
      </c>
      <c r="U588">
        <v>0.91400000000000003</v>
      </c>
      <c r="V588">
        <v>207.87746170678335</v>
      </c>
      <c r="X588">
        <v>601.75054704595186</v>
      </c>
      <c r="Y588">
        <v>406.45514223194749</v>
      </c>
      <c r="Z588">
        <v>816.73960612691451</v>
      </c>
      <c r="AF588">
        <v>32</v>
      </c>
      <c r="AG588">
        <v>20</v>
      </c>
    </row>
    <row r="589" spans="1:33" hidden="1" x14ac:dyDescent="0.25">
      <c r="A589">
        <v>2025</v>
      </c>
      <c r="B589">
        <v>7</v>
      </c>
      <c r="C589" t="s">
        <v>28</v>
      </c>
      <c r="D589" t="s">
        <v>38</v>
      </c>
      <c r="E589">
        <v>4</v>
      </c>
      <c r="F589">
        <v>14</v>
      </c>
      <c r="G589">
        <v>2</v>
      </c>
      <c r="H589">
        <v>405</v>
      </c>
      <c r="I589" s="12">
        <v>45930</v>
      </c>
      <c r="J589">
        <v>272</v>
      </c>
      <c r="K589">
        <v>119</v>
      </c>
      <c r="L589" t="s">
        <v>26</v>
      </c>
      <c r="M589">
        <v>37000</v>
      </c>
      <c r="P589">
        <v>0.18230000000000002</v>
      </c>
      <c r="Q589">
        <v>0.48699999999999999</v>
      </c>
      <c r="R589">
        <v>7322.7571115973742</v>
      </c>
      <c r="S589">
        <v>1</v>
      </c>
      <c r="T589">
        <v>0.91400000000000003</v>
      </c>
      <c r="U589">
        <v>0.91400000000000003</v>
      </c>
      <c r="V589">
        <v>0</v>
      </c>
      <c r="X589">
        <v>503.28227571115974</v>
      </c>
      <c r="Y589">
        <v>433.80743982494533</v>
      </c>
      <c r="Z589">
        <v>1057.4398249452952</v>
      </c>
      <c r="AF589">
        <v>37.200000000000003</v>
      </c>
      <c r="AG589">
        <v>15.4</v>
      </c>
    </row>
    <row r="590" spans="1:33" hidden="1" x14ac:dyDescent="0.25">
      <c r="A590">
        <v>2025</v>
      </c>
      <c r="B590">
        <v>7</v>
      </c>
      <c r="C590" t="s">
        <v>24</v>
      </c>
      <c r="D590" t="s">
        <v>25</v>
      </c>
      <c r="E590">
        <v>5</v>
      </c>
      <c r="F590">
        <v>1</v>
      </c>
      <c r="G590">
        <v>3</v>
      </c>
      <c r="H590">
        <v>501</v>
      </c>
      <c r="I590" s="12">
        <v>45930</v>
      </c>
      <c r="J590">
        <v>272</v>
      </c>
      <c r="K590">
        <v>119</v>
      </c>
      <c r="L590" t="s">
        <v>26</v>
      </c>
      <c r="M590">
        <v>37000</v>
      </c>
      <c r="P590">
        <v>0.10929999999999999</v>
      </c>
      <c r="Q590">
        <v>0.53700000000000003</v>
      </c>
      <c r="R590">
        <v>7071.1159737417938</v>
      </c>
      <c r="S590">
        <v>1</v>
      </c>
      <c r="T590">
        <v>0.91400000000000003</v>
      </c>
      <c r="U590">
        <v>0.91400000000000003</v>
      </c>
      <c r="V590">
        <v>0</v>
      </c>
      <c r="X590">
        <v>295.40481400437636</v>
      </c>
      <c r="Y590">
        <v>327.68052516411376</v>
      </c>
      <c r="Z590">
        <v>572.75711159737409</v>
      </c>
      <c r="AF590">
        <v>29.2</v>
      </c>
      <c r="AG590">
        <v>14.4</v>
      </c>
    </row>
    <row r="591" spans="1:33" s="29" customFormat="1" hidden="1" x14ac:dyDescent="0.25">
      <c r="A591">
        <v>2025</v>
      </c>
      <c r="B591">
        <v>7</v>
      </c>
      <c r="C591" t="s">
        <v>29</v>
      </c>
      <c r="D591" t="s">
        <v>25</v>
      </c>
      <c r="E591">
        <v>5</v>
      </c>
      <c r="F591">
        <v>5</v>
      </c>
      <c r="G591">
        <v>3</v>
      </c>
      <c r="H591">
        <v>505</v>
      </c>
      <c r="I591" s="12">
        <v>45930</v>
      </c>
      <c r="J591">
        <v>272</v>
      </c>
      <c r="K591">
        <v>119</v>
      </c>
      <c r="L591" t="s">
        <v>26</v>
      </c>
      <c r="M591">
        <v>37000</v>
      </c>
      <c r="N591"/>
      <c r="O591"/>
      <c r="P591">
        <v>0.14499999999999999</v>
      </c>
      <c r="Q591">
        <v>0.20300000000000001</v>
      </c>
      <c r="R591">
        <v>3807.4398249452952</v>
      </c>
      <c r="S591">
        <v>1</v>
      </c>
      <c r="T591">
        <v>0.91400000000000003</v>
      </c>
      <c r="U591">
        <v>0.91400000000000003</v>
      </c>
      <c r="V591">
        <v>21.881838074398249</v>
      </c>
      <c r="W591"/>
      <c r="X591">
        <v>459.51859956236325</v>
      </c>
      <c r="Y591">
        <v>342.9978118161925</v>
      </c>
      <c r="Z591">
        <v>762.03501094091894</v>
      </c>
      <c r="AA591"/>
      <c r="AB591"/>
      <c r="AC591"/>
      <c r="AD591"/>
      <c r="AE591"/>
      <c r="AF591">
        <v>25.4</v>
      </c>
      <c r="AG591">
        <v>12.2</v>
      </c>
    </row>
    <row r="592" spans="1:33" s="29" customFormat="1" hidden="1" x14ac:dyDescent="0.25">
      <c r="A592">
        <v>2025</v>
      </c>
      <c r="B592">
        <v>7</v>
      </c>
      <c r="C592" t="s">
        <v>28</v>
      </c>
      <c r="D592" t="s">
        <v>25</v>
      </c>
      <c r="E592">
        <v>5</v>
      </c>
      <c r="F592">
        <v>7</v>
      </c>
      <c r="G592">
        <v>3</v>
      </c>
      <c r="H592">
        <v>507</v>
      </c>
      <c r="I592" s="12">
        <v>45930</v>
      </c>
      <c r="J592">
        <v>272</v>
      </c>
      <c r="K592">
        <v>119</v>
      </c>
      <c r="L592" t="s">
        <v>26</v>
      </c>
      <c r="M592">
        <v>37000</v>
      </c>
      <c r="N592"/>
      <c r="O592"/>
      <c r="P592">
        <v>4.5099999999999994E-2</v>
      </c>
      <c r="Q592">
        <v>0.20399999999999999</v>
      </c>
      <c r="R592">
        <v>2725.3829321663015</v>
      </c>
      <c r="S592">
        <v>1</v>
      </c>
      <c r="T592">
        <v>0.91400000000000003</v>
      </c>
      <c r="U592">
        <v>0.91400000000000003</v>
      </c>
      <c r="V592">
        <v>0</v>
      </c>
      <c r="W592"/>
      <c r="X592">
        <v>131.29102844638948</v>
      </c>
      <c r="Y592">
        <v>150.43763676148797</v>
      </c>
      <c r="Z592">
        <v>211.70678336980302</v>
      </c>
      <c r="AA592"/>
      <c r="AB592"/>
      <c r="AC592"/>
      <c r="AD592"/>
      <c r="AE592"/>
      <c r="AF592">
        <v>21.4</v>
      </c>
      <c r="AG592">
        <v>15</v>
      </c>
    </row>
    <row r="593" spans="1:33" s="29" customFormat="1" hidden="1" x14ac:dyDescent="0.25">
      <c r="A593">
        <v>2025</v>
      </c>
      <c r="B593">
        <v>7</v>
      </c>
      <c r="C593" t="s">
        <v>32</v>
      </c>
      <c r="D593" t="s">
        <v>25</v>
      </c>
      <c r="E593">
        <v>5</v>
      </c>
      <c r="F593">
        <v>9</v>
      </c>
      <c r="G593">
        <v>3</v>
      </c>
      <c r="H593">
        <v>509</v>
      </c>
      <c r="I593" s="12">
        <v>45930</v>
      </c>
      <c r="J593">
        <v>272</v>
      </c>
      <c r="K593">
        <v>119</v>
      </c>
      <c r="L593" t="s">
        <v>26</v>
      </c>
      <c r="M593">
        <v>37000</v>
      </c>
      <c r="N593"/>
      <c r="O593"/>
      <c r="P593">
        <v>6.9599999999999995E-2</v>
      </c>
      <c r="Q593">
        <v>0.18099999999999999</v>
      </c>
      <c r="R593">
        <v>2741.7943107221004</v>
      </c>
      <c r="S593">
        <v>1</v>
      </c>
      <c r="T593">
        <v>0.91400000000000003</v>
      </c>
      <c r="U593">
        <v>0.91400000000000003</v>
      </c>
      <c r="V593">
        <v>0</v>
      </c>
      <c r="W593"/>
      <c r="X593">
        <v>196.93654266958424</v>
      </c>
      <c r="Y593">
        <v>216.08315098468273</v>
      </c>
      <c r="Z593">
        <v>348.46827133479212</v>
      </c>
      <c r="AA593"/>
      <c r="AB593"/>
      <c r="AC593"/>
      <c r="AD593"/>
      <c r="AE593"/>
      <c r="AF593">
        <v>21.5</v>
      </c>
      <c r="AG593">
        <v>17.600000000000001</v>
      </c>
    </row>
    <row r="594" spans="1:33" hidden="1" x14ac:dyDescent="0.25">
      <c r="A594">
        <v>2025</v>
      </c>
      <c r="B594">
        <v>7</v>
      </c>
      <c r="C594" t="s">
        <v>29</v>
      </c>
      <c r="D594" t="s">
        <v>25</v>
      </c>
      <c r="E594">
        <v>7</v>
      </c>
      <c r="F594">
        <v>4</v>
      </c>
      <c r="G594">
        <v>4</v>
      </c>
      <c r="H594">
        <v>704</v>
      </c>
      <c r="I594" s="12">
        <v>45930</v>
      </c>
      <c r="J594">
        <v>272</v>
      </c>
      <c r="K594">
        <v>119</v>
      </c>
      <c r="L594" t="s">
        <v>26</v>
      </c>
      <c r="M594">
        <v>37000</v>
      </c>
      <c r="P594">
        <v>0.11600000000000001</v>
      </c>
      <c r="Q594">
        <v>0.36699999999999999</v>
      </c>
      <c r="R594">
        <v>5284.4638949671771</v>
      </c>
      <c r="S594">
        <v>1</v>
      </c>
      <c r="T594">
        <v>0.91400000000000003</v>
      </c>
      <c r="U594">
        <v>0.91400000000000003</v>
      </c>
      <c r="V594">
        <v>21.881838074398249</v>
      </c>
      <c r="X594">
        <v>393.87308533916848</v>
      </c>
      <c r="Y594">
        <v>242.34135667396063</v>
      </c>
      <c r="Z594">
        <v>611.05032822757107</v>
      </c>
      <c r="AF594">
        <v>35.799999999999997</v>
      </c>
      <c r="AG594">
        <v>11.2</v>
      </c>
    </row>
    <row r="595" spans="1:33" hidden="1" x14ac:dyDescent="0.25">
      <c r="A595">
        <v>2025</v>
      </c>
      <c r="B595">
        <v>7</v>
      </c>
      <c r="C595" t="s">
        <v>24</v>
      </c>
      <c r="D595" t="s">
        <v>25</v>
      </c>
      <c r="E595">
        <v>7</v>
      </c>
      <c r="F595">
        <v>6</v>
      </c>
      <c r="G595">
        <v>4</v>
      </c>
      <c r="H595">
        <v>706</v>
      </c>
      <c r="I595" s="12">
        <v>45930</v>
      </c>
      <c r="J595">
        <v>272</v>
      </c>
      <c r="K595">
        <v>119</v>
      </c>
      <c r="L595" t="s">
        <v>26</v>
      </c>
      <c r="M595">
        <v>37000</v>
      </c>
      <c r="P595">
        <v>6.3200000000000006E-2</v>
      </c>
      <c r="Q595">
        <v>0.249</v>
      </c>
      <c r="R595">
        <v>3415.7549234135668</v>
      </c>
      <c r="S595">
        <v>1</v>
      </c>
      <c r="T595">
        <v>0.91400000000000003</v>
      </c>
      <c r="U595">
        <v>0.91400000000000003</v>
      </c>
      <c r="V595">
        <v>0</v>
      </c>
      <c r="X595">
        <v>153.17286652078772</v>
      </c>
      <c r="Y595">
        <v>176.69584245076589</v>
      </c>
      <c r="Z595">
        <v>361.59737417943109</v>
      </c>
      <c r="AF595">
        <v>21.6</v>
      </c>
      <c r="AG595">
        <v>14.8</v>
      </c>
    </row>
    <row r="596" spans="1:33" hidden="1" x14ac:dyDescent="0.25">
      <c r="A596">
        <v>2025</v>
      </c>
      <c r="B596">
        <v>7</v>
      </c>
      <c r="C596" t="s">
        <v>28</v>
      </c>
      <c r="D596" t="s">
        <v>25</v>
      </c>
      <c r="E596">
        <v>7</v>
      </c>
      <c r="F596">
        <v>8</v>
      </c>
      <c r="G596">
        <v>4</v>
      </c>
      <c r="H596">
        <v>708</v>
      </c>
      <c r="I596" s="12">
        <v>45930</v>
      </c>
      <c r="J596">
        <v>272</v>
      </c>
      <c r="K596">
        <v>119</v>
      </c>
      <c r="L596" t="s">
        <v>26</v>
      </c>
      <c r="M596">
        <v>37000</v>
      </c>
      <c r="P596">
        <v>9.5000000000000001E-2</v>
      </c>
      <c r="Q596">
        <v>0.189</v>
      </c>
      <c r="R596">
        <v>3107.2210065645513</v>
      </c>
      <c r="S596">
        <v>1</v>
      </c>
      <c r="T596">
        <v>0.91400000000000003</v>
      </c>
      <c r="U596">
        <v>0.91400000000000003</v>
      </c>
      <c r="V596">
        <v>0</v>
      </c>
      <c r="X596">
        <v>284.46389496717723</v>
      </c>
      <c r="Y596">
        <v>234.68271334792121</v>
      </c>
      <c r="Z596">
        <v>520.24070021881835</v>
      </c>
      <c r="AF596">
        <v>25.2</v>
      </c>
      <c r="AG596">
        <v>14.4</v>
      </c>
    </row>
    <row r="597" spans="1:33" hidden="1" x14ac:dyDescent="0.25">
      <c r="A597">
        <v>2025</v>
      </c>
      <c r="B597">
        <v>7</v>
      </c>
      <c r="C597" t="s">
        <v>32</v>
      </c>
      <c r="D597" t="s">
        <v>25</v>
      </c>
      <c r="E597">
        <v>7</v>
      </c>
      <c r="F597">
        <v>9</v>
      </c>
      <c r="G597">
        <v>4</v>
      </c>
      <c r="H597">
        <v>709</v>
      </c>
      <c r="I597" s="12">
        <v>45930</v>
      </c>
      <c r="J597">
        <v>272</v>
      </c>
      <c r="K597">
        <v>119</v>
      </c>
      <c r="L597" t="s">
        <v>26</v>
      </c>
      <c r="M597">
        <v>37000</v>
      </c>
      <c r="P597">
        <v>5.57E-2</v>
      </c>
      <c r="Q597">
        <v>0.253</v>
      </c>
      <c r="R597">
        <v>3377.4617067833697</v>
      </c>
      <c r="S597">
        <v>1</v>
      </c>
      <c r="T597">
        <v>0.91400000000000003</v>
      </c>
      <c r="U597">
        <v>0.91400000000000003</v>
      </c>
      <c r="V597">
        <v>0</v>
      </c>
      <c r="X597">
        <v>164.11378555798689</v>
      </c>
      <c r="Y597">
        <v>164.66083150984682</v>
      </c>
      <c r="Z597">
        <v>280.63457330415758</v>
      </c>
      <c r="AF597">
        <v>19.8</v>
      </c>
      <c r="AG597">
        <v>12.6</v>
      </c>
    </row>
    <row r="598" spans="1:33" hidden="1" x14ac:dyDescent="0.25">
      <c r="A598">
        <v>2025</v>
      </c>
      <c r="B598">
        <v>7</v>
      </c>
      <c r="C598" t="s">
        <v>24</v>
      </c>
      <c r="D598" t="s">
        <v>25</v>
      </c>
      <c r="E598">
        <v>8</v>
      </c>
      <c r="F598">
        <v>11</v>
      </c>
      <c r="G598">
        <v>4</v>
      </c>
      <c r="H598">
        <v>802</v>
      </c>
      <c r="I598" s="12">
        <v>45930</v>
      </c>
      <c r="J598">
        <v>272</v>
      </c>
      <c r="K598">
        <v>119</v>
      </c>
      <c r="L598" t="s">
        <v>26</v>
      </c>
      <c r="M598">
        <v>37000</v>
      </c>
      <c r="P598">
        <v>4.6200000000000005E-2</v>
      </c>
      <c r="Q598">
        <v>0.20799999999999999</v>
      </c>
      <c r="R598">
        <v>2781.1816192560173</v>
      </c>
      <c r="S598">
        <v>1</v>
      </c>
      <c r="T598">
        <v>0.91400000000000003</v>
      </c>
      <c r="U598">
        <v>0.91400000000000003</v>
      </c>
      <c r="V598">
        <v>0</v>
      </c>
      <c r="X598">
        <v>98.468271334792121</v>
      </c>
      <c r="Y598">
        <v>149.34354485776808</v>
      </c>
      <c r="Z598">
        <v>257.6586433260394</v>
      </c>
      <c r="AF598">
        <v>18.600000000000001</v>
      </c>
      <c r="AG598">
        <v>14</v>
      </c>
    </row>
    <row r="599" spans="1:33" hidden="1" x14ac:dyDescent="0.25">
      <c r="A599">
        <v>2025</v>
      </c>
      <c r="B599">
        <v>7</v>
      </c>
      <c r="C599" t="s">
        <v>29</v>
      </c>
      <c r="D599" t="s">
        <v>25</v>
      </c>
      <c r="E599">
        <v>8</v>
      </c>
      <c r="F599">
        <v>12</v>
      </c>
      <c r="G599">
        <v>4</v>
      </c>
      <c r="H599">
        <v>803</v>
      </c>
      <c r="I599" s="12">
        <v>45930</v>
      </c>
      <c r="J599">
        <v>272</v>
      </c>
      <c r="K599">
        <v>119</v>
      </c>
      <c r="L599" t="s">
        <v>26</v>
      </c>
      <c r="M599">
        <v>37000</v>
      </c>
      <c r="P599">
        <v>0.1056</v>
      </c>
      <c r="Q599">
        <v>0.182</v>
      </c>
      <c r="R599">
        <v>3146.6083150984682</v>
      </c>
      <c r="S599">
        <v>1</v>
      </c>
      <c r="T599">
        <v>0.91400000000000003</v>
      </c>
      <c r="U599">
        <v>0.91400000000000003</v>
      </c>
      <c r="V599">
        <v>0</v>
      </c>
      <c r="X599">
        <v>328.22757111597377</v>
      </c>
      <c r="Y599">
        <v>251.09409190371991</v>
      </c>
      <c r="Z599">
        <v>576.03938730853372</v>
      </c>
      <c r="AF599">
        <v>24.4</v>
      </c>
      <c r="AG599">
        <v>13.8</v>
      </c>
    </row>
    <row r="600" spans="1:33" hidden="1" x14ac:dyDescent="0.25">
      <c r="A600">
        <v>2025</v>
      </c>
      <c r="B600">
        <v>7</v>
      </c>
      <c r="C600" t="s">
        <v>32</v>
      </c>
      <c r="D600" t="s">
        <v>25</v>
      </c>
      <c r="E600">
        <v>8</v>
      </c>
      <c r="F600">
        <v>13</v>
      </c>
      <c r="G600">
        <v>4</v>
      </c>
      <c r="H600">
        <v>804</v>
      </c>
      <c r="I600" s="12">
        <v>45930</v>
      </c>
      <c r="J600">
        <v>272</v>
      </c>
      <c r="K600">
        <v>119</v>
      </c>
      <c r="L600" t="s">
        <v>26</v>
      </c>
      <c r="M600">
        <v>37000</v>
      </c>
      <c r="P600">
        <v>7.1599999999999997E-2</v>
      </c>
      <c r="Q600">
        <v>0.29899999999999999</v>
      </c>
      <c r="R600">
        <v>4054.7045951859955</v>
      </c>
      <c r="S600">
        <v>1</v>
      </c>
      <c r="T600">
        <v>0.91400000000000003</v>
      </c>
      <c r="U600">
        <v>0.91400000000000003</v>
      </c>
      <c r="V600">
        <v>0</v>
      </c>
      <c r="X600">
        <v>196.93654266958424</v>
      </c>
      <c r="Y600">
        <v>232.49452954048144</v>
      </c>
      <c r="Z600">
        <v>353.93873085339163</v>
      </c>
      <c r="AF600">
        <v>20.3</v>
      </c>
      <c r="AG600">
        <v>14.4</v>
      </c>
    </row>
    <row r="601" spans="1:33" hidden="1" x14ac:dyDescent="0.25">
      <c r="A601">
        <v>2025</v>
      </c>
      <c r="B601">
        <v>7</v>
      </c>
      <c r="C601" t="s">
        <v>28</v>
      </c>
      <c r="D601" t="s">
        <v>25</v>
      </c>
      <c r="E601" s="49">
        <v>8</v>
      </c>
      <c r="F601">
        <v>14</v>
      </c>
      <c r="G601" s="49">
        <v>4</v>
      </c>
      <c r="H601">
        <v>805</v>
      </c>
      <c r="I601" s="12">
        <v>45930</v>
      </c>
      <c r="J601">
        <v>272</v>
      </c>
      <c r="K601">
        <v>119</v>
      </c>
      <c r="L601" t="s">
        <v>26</v>
      </c>
      <c r="M601">
        <v>37000</v>
      </c>
      <c r="P601">
        <v>0.08</v>
      </c>
      <c r="Q601">
        <v>0.32700000000000001</v>
      </c>
      <c r="R601">
        <v>4452.9540481400436</v>
      </c>
      <c r="S601">
        <v>1</v>
      </c>
      <c r="T601">
        <v>0.91400000000000003</v>
      </c>
      <c r="U601">
        <v>0.91400000000000003</v>
      </c>
      <c r="V601">
        <v>0</v>
      </c>
      <c r="X601">
        <v>196.93654266958424</v>
      </c>
      <c r="Y601">
        <v>204.04814004376371</v>
      </c>
      <c r="Z601">
        <v>474.28884026258203</v>
      </c>
      <c r="AF601">
        <v>27.8</v>
      </c>
      <c r="AG601">
        <v>0</v>
      </c>
    </row>
    <row r="602" spans="1:33" x14ac:dyDescent="0.25">
      <c r="A602">
        <v>2025</v>
      </c>
      <c r="B602" t="s">
        <v>103</v>
      </c>
      <c r="C602" t="s">
        <v>24</v>
      </c>
      <c r="D602" s="70" t="s">
        <v>38</v>
      </c>
      <c r="E602">
        <v>1</v>
      </c>
      <c r="F602">
        <v>1</v>
      </c>
      <c r="G602">
        <v>1</v>
      </c>
      <c r="H602">
        <v>101</v>
      </c>
      <c r="I602" s="22">
        <v>45940</v>
      </c>
      <c r="J602">
        <v>282</v>
      </c>
      <c r="K602">
        <v>129</v>
      </c>
      <c r="L602" t="s">
        <v>26</v>
      </c>
      <c r="M602">
        <v>37000</v>
      </c>
      <c r="N602">
        <v>335.2</v>
      </c>
      <c r="O602">
        <f t="shared" ref="O602:O633" si="10">+N602/1000</f>
        <v>0.3352</v>
      </c>
      <c r="Q602">
        <v>0.65400000000000003</v>
      </c>
      <c r="R602">
        <v>7155.361050328228</v>
      </c>
      <c r="S602">
        <v>1</v>
      </c>
      <c r="AA602">
        <f t="shared" ref="AA602:AA634" si="11">+((10000*O602)/0.914)</f>
        <v>3667.3960612691467</v>
      </c>
      <c r="AB602">
        <f t="shared" ref="AB602:AB634" si="12">+AA602</f>
        <v>3667.3960612691467</v>
      </c>
      <c r="AC602">
        <v>3158.5344650697257</v>
      </c>
      <c r="AD602">
        <v>0.51253822629969414</v>
      </c>
      <c r="AE602">
        <v>46.867871546144258</v>
      </c>
    </row>
    <row r="603" spans="1:33" x14ac:dyDescent="0.25">
      <c r="A603">
        <v>2025</v>
      </c>
      <c r="B603" t="s">
        <v>103</v>
      </c>
      <c r="C603" t="s">
        <v>105</v>
      </c>
      <c r="D603" s="70" t="s">
        <v>38</v>
      </c>
      <c r="E603">
        <v>1</v>
      </c>
      <c r="F603">
        <v>2</v>
      </c>
      <c r="G603">
        <v>1</v>
      </c>
      <c r="H603">
        <v>102</v>
      </c>
      <c r="I603" s="23">
        <v>45947</v>
      </c>
      <c r="J603">
        <v>289</v>
      </c>
      <c r="K603">
        <v>136</v>
      </c>
      <c r="L603" t="s">
        <v>26</v>
      </c>
      <c r="M603">
        <v>37000</v>
      </c>
      <c r="N603">
        <v>282.89999999999998</v>
      </c>
      <c r="O603">
        <f t="shared" si="10"/>
        <v>0.28289999999999998</v>
      </c>
      <c r="Q603">
        <v>0.66600000000000004</v>
      </c>
      <c r="R603">
        <v>7286.6520787746167</v>
      </c>
      <c r="S603">
        <v>1</v>
      </c>
      <c r="AA603">
        <f t="shared" si="11"/>
        <v>3095.1859956236322</v>
      </c>
      <c r="AB603">
        <f t="shared" si="12"/>
        <v>3095.1859956236322</v>
      </c>
      <c r="AC603">
        <v>2848.4764946454493</v>
      </c>
      <c r="AD603">
        <v>0.42477477477477477</v>
      </c>
      <c r="AE603">
        <v>42.267080486109911</v>
      </c>
    </row>
    <row r="604" spans="1:33" x14ac:dyDescent="0.25">
      <c r="A604">
        <v>2025</v>
      </c>
      <c r="B604" t="s">
        <v>103</v>
      </c>
      <c r="C604" t="s">
        <v>27</v>
      </c>
      <c r="D604" s="70" t="s">
        <v>38</v>
      </c>
      <c r="E604">
        <v>1</v>
      </c>
      <c r="F604">
        <v>3</v>
      </c>
      <c r="G604">
        <v>1</v>
      </c>
      <c r="H604">
        <v>103</v>
      </c>
      <c r="I604" s="22">
        <v>45940</v>
      </c>
      <c r="J604">
        <v>282</v>
      </c>
      <c r="K604">
        <v>129</v>
      </c>
      <c r="L604" t="s">
        <v>26</v>
      </c>
      <c r="M604">
        <v>37000</v>
      </c>
      <c r="N604">
        <v>429.7</v>
      </c>
      <c r="O604">
        <f t="shared" si="10"/>
        <v>0.42969999999999997</v>
      </c>
      <c r="Q604">
        <v>0.94099999999999995</v>
      </c>
      <c r="R604">
        <v>10295.404814004376</v>
      </c>
      <c r="S604">
        <v>1</v>
      </c>
      <c r="AA604">
        <f t="shared" si="11"/>
        <v>4701.3129102844641</v>
      </c>
      <c r="AB604">
        <f t="shared" si="12"/>
        <v>4701.3129102844641</v>
      </c>
      <c r="AC604">
        <v>3833.6291114595356</v>
      </c>
      <c r="AD604">
        <v>0.45664187035069076</v>
      </c>
      <c r="AE604">
        <v>56.885254455337503</v>
      </c>
    </row>
    <row r="605" spans="1:33" x14ac:dyDescent="0.25">
      <c r="A605">
        <v>2025</v>
      </c>
      <c r="B605" t="s">
        <v>103</v>
      </c>
      <c r="C605" t="s">
        <v>33</v>
      </c>
      <c r="D605" s="70" t="s">
        <v>38</v>
      </c>
      <c r="E605">
        <v>1</v>
      </c>
      <c r="F605">
        <v>4</v>
      </c>
      <c r="G605">
        <v>1</v>
      </c>
      <c r="H605">
        <v>104</v>
      </c>
      <c r="I605" s="23">
        <v>45953</v>
      </c>
      <c r="J605">
        <v>295</v>
      </c>
      <c r="K605">
        <v>142</v>
      </c>
      <c r="L605" t="s">
        <v>26</v>
      </c>
      <c r="M605">
        <v>37000</v>
      </c>
      <c r="N605">
        <v>333.9</v>
      </c>
      <c r="O605">
        <f t="shared" si="10"/>
        <v>0.33389999999999997</v>
      </c>
      <c r="Q605">
        <v>0.79500000000000004</v>
      </c>
      <c r="R605">
        <v>8698.0306345733025</v>
      </c>
      <c r="S605">
        <v>1</v>
      </c>
      <c r="AA605">
        <f t="shared" si="11"/>
        <v>3653.172866520787</v>
      </c>
      <c r="AB605">
        <f t="shared" si="12"/>
        <v>3653.172866520787</v>
      </c>
      <c r="AC605">
        <v>3593.195171271982</v>
      </c>
      <c r="AD605">
        <v>0.42</v>
      </c>
      <c r="AE605">
        <v>53.31757863965035</v>
      </c>
    </row>
    <row r="606" spans="1:33" x14ac:dyDescent="0.25">
      <c r="A606">
        <v>2025</v>
      </c>
      <c r="B606" t="s">
        <v>103</v>
      </c>
      <c r="C606" t="s">
        <v>29</v>
      </c>
      <c r="D606" s="70" t="s">
        <v>38</v>
      </c>
      <c r="E606">
        <v>1</v>
      </c>
      <c r="F606">
        <v>4</v>
      </c>
      <c r="G606">
        <v>1</v>
      </c>
      <c r="H606">
        <v>105</v>
      </c>
      <c r="I606" s="22">
        <v>45940</v>
      </c>
      <c r="J606">
        <v>282</v>
      </c>
      <c r="K606">
        <v>129</v>
      </c>
      <c r="L606" t="s">
        <v>26</v>
      </c>
      <c r="M606">
        <v>37000</v>
      </c>
      <c r="N606">
        <v>287.60000000000002</v>
      </c>
      <c r="O606">
        <f t="shared" si="10"/>
        <v>0.28760000000000002</v>
      </c>
      <c r="Q606">
        <v>0.66900000000000004</v>
      </c>
      <c r="R606">
        <v>7319.4748358862144</v>
      </c>
      <c r="S606">
        <v>1</v>
      </c>
      <c r="AA606">
        <f t="shared" si="11"/>
        <v>3146.6083150984682</v>
      </c>
      <c r="AB606">
        <f t="shared" si="12"/>
        <v>3146.6083150984682</v>
      </c>
      <c r="AC606">
        <v>3581.0559983960629</v>
      </c>
      <c r="AD606">
        <v>0.42989536621823621</v>
      </c>
      <c r="AE606">
        <v>53.137451684786669</v>
      </c>
    </row>
    <row r="607" spans="1:33" x14ac:dyDescent="0.25">
      <c r="A607">
        <v>2025</v>
      </c>
      <c r="B607" t="s">
        <v>103</v>
      </c>
      <c r="C607" t="s">
        <v>30</v>
      </c>
      <c r="D607" s="70" t="s">
        <v>38</v>
      </c>
      <c r="E607">
        <v>1</v>
      </c>
      <c r="F607">
        <v>5</v>
      </c>
      <c r="G607">
        <v>1</v>
      </c>
      <c r="H607">
        <v>106</v>
      </c>
      <c r="I607" s="23">
        <v>45947</v>
      </c>
      <c r="J607">
        <v>289</v>
      </c>
      <c r="K607">
        <v>136</v>
      </c>
      <c r="L607" t="s">
        <v>26</v>
      </c>
      <c r="M607">
        <v>37000</v>
      </c>
      <c r="N607">
        <v>401.8</v>
      </c>
      <c r="O607">
        <f t="shared" si="10"/>
        <v>0.40179999999999999</v>
      </c>
      <c r="Q607">
        <v>0.72399999999999998</v>
      </c>
      <c r="R607">
        <v>7921.2253829321653</v>
      </c>
      <c r="S607">
        <v>1</v>
      </c>
      <c r="AA607">
        <f t="shared" si="11"/>
        <v>4396.0612691466085</v>
      </c>
      <c r="AB607">
        <f t="shared" si="12"/>
        <v>4396.0612691466085</v>
      </c>
      <c r="AC607">
        <v>3205.6227082416362</v>
      </c>
      <c r="AD607">
        <v>0.55497237569060776</v>
      </c>
      <c r="AE607">
        <v>47.566589814607411</v>
      </c>
    </row>
    <row r="608" spans="1:33" x14ac:dyDescent="0.25">
      <c r="A608">
        <v>2025</v>
      </c>
      <c r="B608" t="s">
        <v>103</v>
      </c>
      <c r="C608" t="s">
        <v>28</v>
      </c>
      <c r="D608" s="70" t="s">
        <v>38</v>
      </c>
      <c r="E608">
        <v>1</v>
      </c>
      <c r="F608">
        <v>7</v>
      </c>
      <c r="G608">
        <v>1</v>
      </c>
      <c r="H608">
        <v>107</v>
      </c>
      <c r="I608" s="23">
        <v>45953</v>
      </c>
      <c r="J608">
        <v>295</v>
      </c>
      <c r="K608">
        <v>142</v>
      </c>
      <c r="L608" t="s">
        <v>26</v>
      </c>
      <c r="M608">
        <v>37000</v>
      </c>
      <c r="N608">
        <v>229.3</v>
      </c>
      <c r="O608">
        <f t="shared" si="10"/>
        <v>0.2293</v>
      </c>
      <c r="Q608">
        <v>0.42099999999999999</v>
      </c>
      <c r="R608">
        <v>4606.1269146608311</v>
      </c>
      <c r="S608">
        <v>1</v>
      </c>
      <c r="AA608">
        <f t="shared" si="11"/>
        <v>2508.7527352297593</v>
      </c>
      <c r="AB608">
        <f t="shared" si="12"/>
        <v>2508.7527352297593</v>
      </c>
      <c r="AC608">
        <v>3090.1047728095054</v>
      </c>
      <c r="AD608">
        <v>0.54465558194774355</v>
      </c>
      <c r="AE608">
        <v>45.852478469936877</v>
      </c>
    </row>
    <row r="609" spans="1:31" x14ac:dyDescent="0.25">
      <c r="A609">
        <v>2025</v>
      </c>
      <c r="B609" t="s">
        <v>103</v>
      </c>
      <c r="C609" t="s">
        <v>31</v>
      </c>
      <c r="D609" s="70" t="s">
        <v>38</v>
      </c>
      <c r="E609">
        <v>1</v>
      </c>
      <c r="F609">
        <v>8</v>
      </c>
      <c r="G609">
        <v>1</v>
      </c>
      <c r="H609">
        <v>108</v>
      </c>
      <c r="I609" s="23">
        <v>45953</v>
      </c>
      <c r="J609">
        <v>295</v>
      </c>
      <c r="K609">
        <v>142</v>
      </c>
      <c r="L609" t="s">
        <v>26</v>
      </c>
      <c r="M609">
        <v>37000</v>
      </c>
      <c r="N609">
        <v>265.8</v>
      </c>
      <c r="O609">
        <f t="shared" si="10"/>
        <v>0.26580000000000004</v>
      </c>
      <c r="Q609">
        <v>0.48099999999999998</v>
      </c>
      <c r="R609">
        <v>5262.5820568927784</v>
      </c>
      <c r="S609">
        <v>1</v>
      </c>
      <c r="AA609">
        <f t="shared" si="11"/>
        <v>2908.0962800875277</v>
      </c>
      <c r="AB609">
        <f t="shared" si="12"/>
        <v>2908.0962800875277</v>
      </c>
      <c r="AC609">
        <v>3581.0559983960629</v>
      </c>
      <c r="AD609">
        <v>0.55259875259875257</v>
      </c>
      <c r="AE609">
        <v>53.137451684786669</v>
      </c>
    </row>
    <row r="610" spans="1:31" x14ac:dyDescent="0.25">
      <c r="A610">
        <v>2025</v>
      </c>
      <c r="B610" t="s">
        <v>103</v>
      </c>
      <c r="C610" t="s">
        <v>32</v>
      </c>
      <c r="D610" s="70" t="s">
        <v>38</v>
      </c>
      <c r="E610">
        <v>1</v>
      </c>
      <c r="F610">
        <v>9</v>
      </c>
      <c r="G610">
        <v>1</v>
      </c>
      <c r="H610">
        <v>109</v>
      </c>
      <c r="I610" s="23">
        <v>45953</v>
      </c>
      <c r="J610">
        <v>295</v>
      </c>
      <c r="K610">
        <v>142</v>
      </c>
      <c r="L610" t="s">
        <v>26</v>
      </c>
      <c r="M610">
        <v>37000</v>
      </c>
      <c r="N610">
        <v>335.4</v>
      </c>
      <c r="O610">
        <f t="shared" si="10"/>
        <v>0.33539999999999998</v>
      </c>
      <c r="Q610">
        <v>0.68799999999999994</v>
      </c>
      <c r="R610">
        <v>7527.3522975929973</v>
      </c>
      <c r="S610">
        <v>1</v>
      </c>
      <c r="AA610">
        <f t="shared" si="11"/>
        <v>3669.5842450765858</v>
      </c>
      <c r="AB610">
        <f t="shared" si="12"/>
        <v>3669.5842450765858</v>
      </c>
      <c r="AC610">
        <v>3324.8933449660535</v>
      </c>
      <c r="AD610">
        <v>0.48749999999999999</v>
      </c>
      <c r="AE610">
        <v>49.336385567367529</v>
      </c>
    </row>
    <row r="611" spans="1:31" x14ac:dyDescent="0.25">
      <c r="A611">
        <v>2025</v>
      </c>
      <c r="B611" t="s">
        <v>103</v>
      </c>
      <c r="C611" t="s">
        <v>28</v>
      </c>
      <c r="D611" s="70" t="s">
        <v>38</v>
      </c>
      <c r="E611">
        <v>2</v>
      </c>
      <c r="F611">
        <v>10</v>
      </c>
      <c r="G611">
        <v>1</v>
      </c>
      <c r="H611">
        <v>201</v>
      </c>
      <c r="I611" s="23">
        <v>45953</v>
      </c>
      <c r="J611">
        <v>295</v>
      </c>
      <c r="K611">
        <v>142</v>
      </c>
      <c r="L611" t="s">
        <v>26</v>
      </c>
      <c r="M611">
        <v>37000</v>
      </c>
      <c r="N611">
        <v>269.39999999999998</v>
      </c>
      <c r="O611">
        <f t="shared" si="10"/>
        <v>0.26939999999999997</v>
      </c>
      <c r="Q611">
        <v>0.52500000000000002</v>
      </c>
      <c r="R611">
        <v>5743.9824945295404</v>
      </c>
      <c r="S611">
        <v>1</v>
      </c>
      <c r="AA611">
        <f t="shared" si="11"/>
        <v>2947.4835886214437</v>
      </c>
      <c r="AB611">
        <f t="shared" si="12"/>
        <v>2947.4835886214437</v>
      </c>
      <c r="AC611">
        <v>2715.0173838176734</v>
      </c>
      <c r="AD611">
        <v>0.51314285714285712</v>
      </c>
      <c r="AE611">
        <v>40.286749249546766</v>
      </c>
    </row>
    <row r="612" spans="1:31" x14ac:dyDescent="0.25">
      <c r="A612">
        <v>2025</v>
      </c>
      <c r="B612" t="s">
        <v>103</v>
      </c>
      <c r="C612" t="s">
        <v>29</v>
      </c>
      <c r="D612" s="70" t="s">
        <v>38</v>
      </c>
      <c r="E612">
        <v>2</v>
      </c>
      <c r="F612">
        <v>11</v>
      </c>
      <c r="G612">
        <v>1</v>
      </c>
      <c r="H612">
        <v>202</v>
      </c>
      <c r="I612" s="22">
        <v>45940</v>
      </c>
      <c r="J612">
        <v>282</v>
      </c>
      <c r="K612">
        <v>129</v>
      </c>
      <c r="L612" t="s">
        <v>26</v>
      </c>
      <c r="M612">
        <v>37000</v>
      </c>
      <c r="N612">
        <v>275.2</v>
      </c>
      <c r="O612">
        <f t="shared" si="10"/>
        <v>0.2752</v>
      </c>
      <c r="Q612">
        <v>0.57299999999999995</v>
      </c>
      <c r="R612">
        <v>6269.1466083150981</v>
      </c>
      <c r="S612">
        <v>1</v>
      </c>
      <c r="AA612">
        <f t="shared" si="11"/>
        <v>3010.9409190371989</v>
      </c>
      <c r="AB612">
        <f t="shared" si="12"/>
        <v>3010.9409190371989</v>
      </c>
      <c r="AC612">
        <v>2657.0234643685249</v>
      </c>
      <c r="AD612">
        <v>0.48027923211169282</v>
      </c>
      <c r="AE612">
        <v>39.426207249052837</v>
      </c>
    </row>
    <row r="613" spans="1:31" x14ac:dyDescent="0.25">
      <c r="A613">
        <v>2025</v>
      </c>
      <c r="B613" t="s">
        <v>103</v>
      </c>
      <c r="C613" t="s">
        <v>32</v>
      </c>
      <c r="D613" s="70" t="s">
        <v>38</v>
      </c>
      <c r="E613">
        <v>2</v>
      </c>
      <c r="F613">
        <v>12</v>
      </c>
      <c r="G613">
        <v>1</v>
      </c>
      <c r="H613">
        <v>203</v>
      </c>
      <c r="I613" s="23">
        <v>45953</v>
      </c>
      <c r="J613">
        <v>295</v>
      </c>
      <c r="K613">
        <v>142</v>
      </c>
      <c r="L613" t="s">
        <v>26</v>
      </c>
      <c r="M613">
        <v>37000</v>
      </c>
      <c r="N613">
        <v>315.89999999999998</v>
      </c>
      <c r="O613">
        <f t="shared" si="10"/>
        <v>0.31589999999999996</v>
      </c>
      <c r="Q613">
        <v>0.63400000000000001</v>
      </c>
      <c r="R613">
        <v>6936.5426695842443</v>
      </c>
      <c r="S613">
        <v>1</v>
      </c>
      <c r="AA613">
        <f t="shared" si="11"/>
        <v>3456.236323851203</v>
      </c>
      <c r="AB613">
        <f t="shared" si="12"/>
        <v>3456.236323851203</v>
      </c>
      <c r="AC613">
        <v>3523.2970306799966</v>
      </c>
      <c r="AD613">
        <v>0.49826498422712928</v>
      </c>
      <c r="AE613">
        <v>52.280396012451391</v>
      </c>
    </row>
    <row r="614" spans="1:31" x14ac:dyDescent="0.25">
      <c r="A614">
        <v>2025</v>
      </c>
      <c r="B614" t="s">
        <v>103</v>
      </c>
      <c r="C614" t="s">
        <v>33</v>
      </c>
      <c r="D614" s="70" t="s">
        <v>38</v>
      </c>
      <c r="E614">
        <v>2</v>
      </c>
      <c r="F614">
        <v>14</v>
      </c>
      <c r="G614">
        <v>1</v>
      </c>
      <c r="H614">
        <v>205</v>
      </c>
      <c r="I614" s="23">
        <v>45953</v>
      </c>
      <c r="J614">
        <v>295</v>
      </c>
      <c r="K614">
        <v>142</v>
      </c>
      <c r="L614" t="s">
        <v>26</v>
      </c>
      <c r="M614">
        <v>37000</v>
      </c>
      <c r="N614">
        <v>377.8</v>
      </c>
      <c r="O614">
        <f t="shared" si="10"/>
        <v>0.37780000000000002</v>
      </c>
      <c r="Q614">
        <v>0.67700000000000005</v>
      </c>
      <c r="R614">
        <v>7407.0021881838065</v>
      </c>
      <c r="S614">
        <v>1</v>
      </c>
      <c r="AA614">
        <f t="shared" si="11"/>
        <v>4133.4792122538292</v>
      </c>
      <c r="AB614">
        <f t="shared" si="12"/>
        <v>4133.4792122538292</v>
      </c>
      <c r="AD614">
        <v>0.55805022156573114</v>
      </c>
      <c r="AE614">
        <v>99.867806953561882</v>
      </c>
    </row>
    <row r="615" spans="1:31" x14ac:dyDescent="0.25">
      <c r="A615">
        <v>2025</v>
      </c>
      <c r="B615" t="s">
        <v>103</v>
      </c>
      <c r="C615" t="s">
        <v>27</v>
      </c>
      <c r="D615" s="70" t="s">
        <v>38</v>
      </c>
      <c r="E615">
        <v>2</v>
      </c>
      <c r="F615">
        <v>15</v>
      </c>
      <c r="G615">
        <v>1</v>
      </c>
      <c r="H615">
        <v>206</v>
      </c>
      <c r="I615" s="23">
        <v>45947</v>
      </c>
      <c r="J615">
        <v>289</v>
      </c>
      <c r="K615">
        <v>136</v>
      </c>
      <c r="L615" t="s">
        <v>26</v>
      </c>
      <c r="M615">
        <v>37000</v>
      </c>
      <c r="N615">
        <v>370</v>
      </c>
      <c r="O615">
        <f t="shared" si="10"/>
        <v>0.37</v>
      </c>
      <c r="Q615">
        <v>0.67300000000000004</v>
      </c>
      <c r="R615">
        <v>7363.23851203501</v>
      </c>
      <c r="S615">
        <v>1</v>
      </c>
      <c r="AA615">
        <f t="shared" si="11"/>
        <v>4048.1400437636762</v>
      </c>
      <c r="AB615">
        <f t="shared" si="12"/>
        <v>4048.1400437636762</v>
      </c>
      <c r="AC615">
        <v>3862.67175624332</v>
      </c>
      <c r="AD615">
        <v>0.54977711738484403</v>
      </c>
      <c r="AE615">
        <v>57.316203352726433</v>
      </c>
    </row>
    <row r="616" spans="1:31" x14ac:dyDescent="0.25">
      <c r="A616">
        <v>2025</v>
      </c>
      <c r="B616" t="s">
        <v>103</v>
      </c>
      <c r="C616" t="s">
        <v>24</v>
      </c>
      <c r="D616" s="70" t="s">
        <v>38</v>
      </c>
      <c r="E616">
        <v>2</v>
      </c>
      <c r="F616">
        <v>16</v>
      </c>
      <c r="G616">
        <v>1</v>
      </c>
      <c r="H616">
        <v>207</v>
      </c>
      <c r="I616" s="22">
        <v>45940</v>
      </c>
      <c r="J616">
        <v>282</v>
      </c>
      <c r="K616">
        <v>129</v>
      </c>
      <c r="L616" t="s">
        <v>26</v>
      </c>
      <c r="M616">
        <v>37000</v>
      </c>
      <c r="N616">
        <v>386.7</v>
      </c>
      <c r="O616">
        <f t="shared" si="10"/>
        <v>0.38669999999999999</v>
      </c>
      <c r="Q616">
        <v>0.71899999999999997</v>
      </c>
      <c r="R616">
        <v>7866.5207877461708</v>
      </c>
      <c r="S616">
        <v>1</v>
      </c>
      <c r="AA616">
        <f t="shared" si="11"/>
        <v>4230.853391684901</v>
      </c>
      <c r="AB616">
        <f t="shared" si="12"/>
        <v>4230.853391684901</v>
      </c>
      <c r="AC616">
        <v>3187.51184548321</v>
      </c>
      <c r="AD616">
        <v>0.53783031988873431</v>
      </c>
      <c r="AE616">
        <v>47.297852019044662</v>
      </c>
    </row>
    <row r="617" spans="1:31" x14ac:dyDescent="0.25">
      <c r="A617">
        <v>2025</v>
      </c>
      <c r="B617" t="s">
        <v>103</v>
      </c>
      <c r="C617" t="s">
        <v>31</v>
      </c>
      <c r="D617" s="70" t="s">
        <v>38</v>
      </c>
      <c r="E617">
        <v>2</v>
      </c>
      <c r="F617">
        <v>17</v>
      </c>
      <c r="G617">
        <v>1</v>
      </c>
      <c r="H617">
        <v>208</v>
      </c>
      <c r="I617" s="23">
        <v>45953</v>
      </c>
      <c r="J617">
        <v>295</v>
      </c>
      <c r="K617">
        <v>142</v>
      </c>
      <c r="L617" t="s">
        <v>26</v>
      </c>
      <c r="M617">
        <v>37000</v>
      </c>
      <c r="N617">
        <v>344.9</v>
      </c>
      <c r="O617">
        <f t="shared" si="10"/>
        <v>0.34489999999999998</v>
      </c>
      <c r="Q617">
        <v>0.624</v>
      </c>
      <c r="R617">
        <v>6827.1334792122534</v>
      </c>
      <c r="S617">
        <v>1</v>
      </c>
      <c r="AA617">
        <f t="shared" si="11"/>
        <v>3773.5229759299782</v>
      </c>
      <c r="AB617">
        <f t="shared" si="12"/>
        <v>3773.5229759299782</v>
      </c>
      <c r="AC617">
        <v>2816.0401026060313</v>
      </c>
      <c r="AD617">
        <v>0.5527243589743589</v>
      </c>
      <c r="AE617">
        <v>41.78577351531824</v>
      </c>
    </row>
    <row r="618" spans="1:31" x14ac:dyDescent="0.25">
      <c r="A618">
        <v>2025</v>
      </c>
      <c r="B618" t="s">
        <v>103</v>
      </c>
      <c r="C618" t="s">
        <v>30</v>
      </c>
      <c r="D618" s="70" t="s">
        <v>38</v>
      </c>
      <c r="E618">
        <v>2</v>
      </c>
      <c r="F618">
        <v>18</v>
      </c>
      <c r="G618">
        <v>1</v>
      </c>
      <c r="H618">
        <v>209</v>
      </c>
      <c r="I618" s="23">
        <v>45947</v>
      </c>
      <c r="J618">
        <v>289</v>
      </c>
      <c r="K618">
        <v>136</v>
      </c>
      <c r="L618" t="s">
        <v>26</v>
      </c>
      <c r="M618">
        <v>37000</v>
      </c>
      <c r="N618">
        <v>346.9</v>
      </c>
      <c r="O618">
        <f t="shared" si="10"/>
        <v>0.34689999999999999</v>
      </c>
      <c r="Q618">
        <v>0.64900000000000002</v>
      </c>
      <c r="R618">
        <v>7100.6564551422316</v>
      </c>
      <c r="S618">
        <v>1</v>
      </c>
      <c r="AA618">
        <f t="shared" si="11"/>
        <v>3795.404814004376</v>
      </c>
      <c r="AB618">
        <f t="shared" si="12"/>
        <v>3795.404814004376</v>
      </c>
      <c r="AC618">
        <v>3133.6361078000318</v>
      </c>
      <c r="AD618">
        <v>0.5345146379044684</v>
      </c>
      <c r="AE618">
        <v>46.498417603776005</v>
      </c>
    </row>
    <row r="619" spans="1:31" x14ac:dyDescent="0.25">
      <c r="A619">
        <v>2025</v>
      </c>
      <c r="B619" t="s">
        <v>103</v>
      </c>
      <c r="C619" t="s">
        <v>27</v>
      </c>
      <c r="D619" s="70" t="s">
        <v>38</v>
      </c>
      <c r="E619">
        <v>3</v>
      </c>
      <c r="F619">
        <v>1</v>
      </c>
      <c r="G619">
        <v>2</v>
      </c>
      <c r="H619">
        <v>301</v>
      </c>
      <c r="I619" s="22">
        <v>45940</v>
      </c>
      <c r="J619">
        <v>282</v>
      </c>
      <c r="K619">
        <v>129</v>
      </c>
      <c r="L619" t="s">
        <v>26</v>
      </c>
      <c r="M619">
        <v>37000</v>
      </c>
      <c r="N619">
        <v>500.20000000000005</v>
      </c>
      <c r="O619">
        <f t="shared" si="10"/>
        <v>0.50020000000000009</v>
      </c>
      <c r="Q619">
        <v>1.02</v>
      </c>
      <c r="R619">
        <v>11159.737417943106</v>
      </c>
      <c r="S619">
        <v>1</v>
      </c>
      <c r="AA619">
        <f t="shared" si="11"/>
        <v>5472.6477024070027</v>
      </c>
      <c r="AB619">
        <f t="shared" si="12"/>
        <v>5472.6477024070027</v>
      </c>
      <c r="AC619">
        <v>3771.3016378224252</v>
      </c>
      <c r="AD619">
        <v>0.49039215686274512</v>
      </c>
      <c r="AE619">
        <v>55.960409068806229</v>
      </c>
    </row>
    <row r="620" spans="1:31" x14ac:dyDescent="0.25">
      <c r="A620">
        <v>2025</v>
      </c>
      <c r="B620" t="s">
        <v>103</v>
      </c>
      <c r="C620" t="s">
        <v>33</v>
      </c>
      <c r="D620" s="70" t="s">
        <v>38</v>
      </c>
      <c r="E620">
        <v>3</v>
      </c>
      <c r="F620">
        <v>3</v>
      </c>
      <c r="G620">
        <v>2</v>
      </c>
      <c r="H620">
        <v>303</v>
      </c>
      <c r="I620" s="23">
        <v>45953</v>
      </c>
      <c r="J620">
        <v>295</v>
      </c>
      <c r="K620">
        <v>142</v>
      </c>
      <c r="L620" t="s">
        <v>26</v>
      </c>
      <c r="M620">
        <v>37000</v>
      </c>
      <c r="N620">
        <v>219.2</v>
      </c>
      <c r="O620">
        <f t="shared" si="10"/>
        <v>0.21919999999999998</v>
      </c>
      <c r="Q620">
        <v>0.46500000000000002</v>
      </c>
      <c r="R620">
        <v>5087.5273522975931</v>
      </c>
      <c r="S620">
        <v>1</v>
      </c>
      <c r="AA620">
        <f t="shared" si="11"/>
        <v>2398.2494529540481</v>
      </c>
      <c r="AB620">
        <f t="shared" si="12"/>
        <v>2398.2494529540481</v>
      </c>
      <c r="AC620">
        <v>3078.5203470811425</v>
      </c>
      <c r="AD620">
        <v>0.47139784946236557</v>
      </c>
      <c r="AE620">
        <v>45.680583123225567</v>
      </c>
    </row>
    <row r="621" spans="1:31" x14ac:dyDescent="0.25">
      <c r="A621">
        <v>2025</v>
      </c>
      <c r="B621" t="s">
        <v>103</v>
      </c>
      <c r="C621" t="s">
        <v>29</v>
      </c>
      <c r="D621" s="70" t="s">
        <v>38</v>
      </c>
      <c r="E621">
        <v>3</v>
      </c>
      <c r="F621">
        <v>4</v>
      </c>
      <c r="G621">
        <v>2</v>
      </c>
      <c r="H621">
        <v>304</v>
      </c>
      <c r="I621" s="22">
        <v>45940</v>
      </c>
      <c r="J621">
        <v>282</v>
      </c>
      <c r="K621">
        <v>129</v>
      </c>
      <c r="L621" t="s">
        <v>26</v>
      </c>
      <c r="M621">
        <v>37000</v>
      </c>
      <c r="N621">
        <v>328.6</v>
      </c>
      <c r="O621">
        <f t="shared" si="10"/>
        <v>0.3286</v>
      </c>
      <c r="Q621">
        <v>0.68200000000000005</v>
      </c>
      <c r="R621">
        <v>7461.7067833698029</v>
      </c>
      <c r="S621">
        <v>1</v>
      </c>
      <c r="AA621">
        <f t="shared" si="11"/>
        <v>3595.1859956236322</v>
      </c>
      <c r="AB621">
        <f>+AA621</f>
        <v>3595.1859956236322</v>
      </c>
      <c r="AC621">
        <v>3365.1614614415489</v>
      </c>
      <c r="AD621">
        <v>0.48181818181818187</v>
      </c>
      <c r="AE621">
        <v>49.933903476780941</v>
      </c>
    </row>
    <row r="622" spans="1:31" x14ac:dyDescent="0.25">
      <c r="A622">
        <v>2025</v>
      </c>
      <c r="B622" t="s">
        <v>103</v>
      </c>
      <c r="C622" t="s">
        <v>30</v>
      </c>
      <c r="D622" s="70" t="s">
        <v>38</v>
      </c>
      <c r="E622">
        <v>3</v>
      </c>
      <c r="F622">
        <v>4</v>
      </c>
      <c r="G622">
        <v>2</v>
      </c>
      <c r="H622">
        <v>305</v>
      </c>
      <c r="I622" s="22">
        <v>45940</v>
      </c>
      <c r="J622">
        <v>282</v>
      </c>
      <c r="K622">
        <v>129</v>
      </c>
      <c r="L622" t="s">
        <v>26</v>
      </c>
      <c r="M622">
        <v>37000</v>
      </c>
      <c r="N622">
        <v>203.6</v>
      </c>
      <c r="O622">
        <f t="shared" si="10"/>
        <v>0.2036</v>
      </c>
      <c r="Q622">
        <v>0.38800000000000001</v>
      </c>
      <c r="R622">
        <v>4245.0765864332598</v>
      </c>
      <c r="S622">
        <v>1</v>
      </c>
      <c r="AA622">
        <f>+((10000*O622)/0.914)</f>
        <v>2227.5711159737416</v>
      </c>
      <c r="AB622">
        <f t="shared" si="12"/>
        <v>2227.5711159737416</v>
      </c>
      <c r="AC622">
        <v>2720.0623196419119</v>
      </c>
      <c r="AD622">
        <v>0.52474226804123714</v>
      </c>
      <c r="AE622">
        <v>40.361608462508919</v>
      </c>
    </row>
    <row r="623" spans="1:31" x14ac:dyDescent="0.25">
      <c r="A623">
        <v>2025</v>
      </c>
      <c r="B623" t="s">
        <v>103</v>
      </c>
      <c r="C623" t="s">
        <v>24</v>
      </c>
      <c r="D623" s="70" t="s">
        <v>38</v>
      </c>
      <c r="E623">
        <v>3</v>
      </c>
      <c r="F623">
        <v>6</v>
      </c>
      <c r="G623">
        <v>2</v>
      </c>
      <c r="H623">
        <v>306</v>
      </c>
      <c r="I623" s="22">
        <v>45940</v>
      </c>
      <c r="J623">
        <v>282</v>
      </c>
      <c r="K623">
        <v>129</v>
      </c>
      <c r="L623" t="s">
        <v>26</v>
      </c>
      <c r="M623">
        <v>37000</v>
      </c>
      <c r="N623">
        <v>377.2</v>
      </c>
      <c r="O623">
        <f t="shared" si="10"/>
        <v>0.37719999999999998</v>
      </c>
      <c r="Q623">
        <v>0.72899999999999998</v>
      </c>
      <c r="R623">
        <v>7975.9299781181617</v>
      </c>
      <c r="S623">
        <v>1</v>
      </c>
      <c r="AA623">
        <f t="shared" si="11"/>
        <v>4126.9146608315095</v>
      </c>
      <c r="AB623">
        <f t="shared" si="12"/>
        <v>4126.9146608315095</v>
      </c>
      <c r="AC623">
        <v>3187.51184548321</v>
      </c>
      <c r="AD623">
        <v>0.5174211248285322</v>
      </c>
      <c r="AE623">
        <v>47.297852019044662</v>
      </c>
    </row>
    <row r="624" spans="1:31" x14ac:dyDescent="0.25">
      <c r="A624">
        <v>2025</v>
      </c>
      <c r="B624" t="s">
        <v>103</v>
      </c>
      <c r="C624" t="s">
        <v>31</v>
      </c>
      <c r="D624" s="70" t="s">
        <v>38</v>
      </c>
      <c r="E624">
        <v>3</v>
      </c>
      <c r="F624">
        <v>7</v>
      </c>
      <c r="G624">
        <v>2</v>
      </c>
      <c r="H624">
        <v>307</v>
      </c>
      <c r="I624" s="23">
        <v>45953</v>
      </c>
      <c r="J624">
        <v>295</v>
      </c>
      <c r="K624">
        <v>142</v>
      </c>
      <c r="L624" t="s">
        <v>26</v>
      </c>
      <c r="M624">
        <v>37000</v>
      </c>
      <c r="N624">
        <v>287.5</v>
      </c>
      <c r="O624">
        <f t="shared" si="10"/>
        <v>0.28749999999999998</v>
      </c>
      <c r="Q624">
        <v>0.52400000000000002</v>
      </c>
      <c r="R624">
        <v>5733.0415754923415</v>
      </c>
      <c r="S624">
        <v>1</v>
      </c>
      <c r="AA624">
        <f t="shared" si="11"/>
        <v>3145.5142231947484</v>
      </c>
      <c r="AB624">
        <f t="shared" si="12"/>
        <v>3145.5142231947484</v>
      </c>
      <c r="AC624">
        <v>3357.5907944866744</v>
      </c>
      <c r="AD624">
        <v>0.54866412213740456</v>
      </c>
      <c r="AE624">
        <v>49.821566236113263</v>
      </c>
    </row>
    <row r="625" spans="1:31" x14ac:dyDescent="0.25">
      <c r="A625">
        <v>2025</v>
      </c>
      <c r="B625" t="s">
        <v>103</v>
      </c>
      <c r="C625" t="s">
        <v>28</v>
      </c>
      <c r="D625" s="70" t="s">
        <v>38</v>
      </c>
      <c r="E625">
        <v>3</v>
      </c>
      <c r="F625">
        <v>8</v>
      </c>
      <c r="G625">
        <v>2</v>
      </c>
      <c r="H625">
        <v>308</v>
      </c>
      <c r="I625" s="23">
        <v>45953</v>
      </c>
      <c r="J625">
        <v>295</v>
      </c>
      <c r="K625">
        <v>142</v>
      </c>
      <c r="L625" t="s">
        <v>26</v>
      </c>
      <c r="M625">
        <v>37000</v>
      </c>
      <c r="N625">
        <v>333.9</v>
      </c>
      <c r="O625">
        <f t="shared" si="10"/>
        <v>0.33389999999999997</v>
      </c>
      <c r="Q625">
        <v>0.64200000000000002</v>
      </c>
      <c r="R625">
        <v>7024.0700218818374</v>
      </c>
      <c r="S625">
        <v>1</v>
      </c>
      <c r="AA625">
        <f t="shared" si="11"/>
        <v>3653.172866520787</v>
      </c>
      <c r="AB625">
        <f t="shared" si="12"/>
        <v>3653.172866520787</v>
      </c>
      <c r="AC625">
        <v>3864.9560092038419</v>
      </c>
      <c r="AD625">
        <v>0.52009345794392525</v>
      </c>
      <c r="AE625">
        <v>57.350098209824424</v>
      </c>
    </row>
    <row r="626" spans="1:31" x14ac:dyDescent="0.25">
      <c r="A626">
        <v>2025</v>
      </c>
      <c r="B626" t="s">
        <v>103</v>
      </c>
      <c r="C626" t="s">
        <v>32</v>
      </c>
      <c r="D626" s="70" t="s">
        <v>38</v>
      </c>
      <c r="E626">
        <v>3</v>
      </c>
      <c r="F626">
        <v>9</v>
      </c>
      <c r="G626">
        <v>2</v>
      </c>
      <c r="H626">
        <v>309</v>
      </c>
      <c r="I626" s="23">
        <v>45953</v>
      </c>
      <c r="J626">
        <v>295</v>
      </c>
      <c r="K626">
        <v>142</v>
      </c>
      <c r="L626" t="s">
        <v>26</v>
      </c>
      <c r="M626">
        <v>37000</v>
      </c>
      <c r="N626">
        <v>341.1</v>
      </c>
      <c r="O626">
        <f t="shared" si="10"/>
        <v>0.34110000000000001</v>
      </c>
      <c r="Q626">
        <v>0.65</v>
      </c>
      <c r="R626">
        <v>7111.5973741794314</v>
      </c>
      <c r="S626">
        <v>1</v>
      </c>
      <c r="AA626">
        <f t="shared" si="11"/>
        <v>3731.9474835886213</v>
      </c>
      <c r="AB626">
        <f t="shared" si="12"/>
        <v>3731.9474835886213</v>
      </c>
      <c r="AC626">
        <v>3502.3145356283417</v>
      </c>
      <c r="AD626">
        <v>0.52476923076923077</v>
      </c>
      <c r="AE626">
        <v>51.969047539394005</v>
      </c>
    </row>
    <row r="627" spans="1:31" x14ac:dyDescent="0.25">
      <c r="A627">
        <v>2025</v>
      </c>
      <c r="B627" t="s">
        <v>103</v>
      </c>
      <c r="C627" t="s">
        <v>33</v>
      </c>
      <c r="D627" s="70" t="s">
        <v>38</v>
      </c>
      <c r="E627">
        <v>4</v>
      </c>
      <c r="F627">
        <v>10</v>
      </c>
      <c r="G627">
        <v>2</v>
      </c>
      <c r="H627">
        <v>401</v>
      </c>
      <c r="I627" s="23">
        <v>45953</v>
      </c>
      <c r="J627">
        <v>295</v>
      </c>
      <c r="K627">
        <v>142</v>
      </c>
      <c r="L627" t="s">
        <v>26</v>
      </c>
      <c r="M627">
        <v>37000</v>
      </c>
      <c r="N627">
        <v>305.3</v>
      </c>
      <c r="O627">
        <f t="shared" si="10"/>
        <v>0.30530000000000002</v>
      </c>
      <c r="Q627">
        <v>0.57799999999999996</v>
      </c>
      <c r="R627">
        <v>6323.8512035010945</v>
      </c>
      <c r="S627">
        <v>1</v>
      </c>
      <c r="AA627">
        <f t="shared" si="11"/>
        <v>3340.2625820568928</v>
      </c>
      <c r="AB627">
        <f t="shared" si="12"/>
        <v>3340.2625820568928</v>
      </c>
      <c r="AC627">
        <v>3299.7012980300078</v>
      </c>
      <c r="AD627">
        <v>0.52820069204152253</v>
      </c>
      <c r="AE627">
        <v>48.962573714800968</v>
      </c>
    </row>
    <row r="628" spans="1:31" x14ac:dyDescent="0.25">
      <c r="A628">
        <v>2025</v>
      </c>
      <c r="B628" t="s">
        <v>103</v>
      </c>
      <c r="C628" t="s">
        <v>24</v>
      </c>
      <c r="D628" s="70" t="s">
        <v>38</v>
      </c>
      <c r="E628">
        <v>4</v>
      </c>
      <c r="F628">
        <v>11</v>
      </c>
      <c r="G628">
        <v>2</v>
      </c>
      <c r="H628">
        <v>402</v>
      </c>
      <c r="I628" s="22">
        <v>45940</v>
      </c>
      <c r="J628">
        <v>282</v>
      </c>
      <c r="K628">
        <v>129</v>
      </c>
      <c r="L628" t="s">
        <v>26</v>
      </c>
      <c r="M628">
        <v>37000</v>
      </c>
      <c r="N628">
        <v>269</v>
      </c>
      <c r="O628">
        <f t="shared" si="10"/>
        <v>0.26900000000000002</v>
      </c>
      <c r="Q628">
        <v>0.47899999999999998</v>
      </c>
      <c r="R628">
        <v>5240.7002188183806</v>
      </c>
      <c r="S628">
        <v>1</v>
      </c>
      <c r="AA628">
        <f t="shared" si="11"/>
        <v>2943.1072210065645</v>
      </c>
      <c r="AB628">
        <f t="shared" si="12"/>
        <v>2943.1072210065645</v>
      </c>
      <c r="AC628">
        <v>2829.0244490773443</v>
      </c>
      <c r="AD628">
        <v>0.56158663883089766</v>
      </c>
      <c r="AE628">
        <v>41.978441567308188</v>
      </c>
    </row>
    <row r="629" spans="1:31" x14ac:dyDescent="0.25">
      <c r="A629">
        <v>2025</v>
      </c>
      <c r="B629" t="s">
        <v>103</v>
      </c>
      <c r="C629" t="s">
        <v>29</v>
      </c>
      <c r="D629" s="70" t="s">
        <v>38</v>
      </c>
      <c r="E629">
        <v>4</v>
      </c>
      <c r="F629">
        <v>12</v>
      </c>
      <c r="G629">
        <v>2</v>
      </c>
      <c r="H629">
        <v>403</v>
      </c>
      <c r="I629" s="23">
        <v>45947</v>
      </c>
      <c r="J629">
        <v>289</v>
      </c>
      <c r="K629">
        <v>136</v>
      </c>
      <c r="L629" t="s">
        <v>26</v>
      </c>
      <c r="M629">
        <v>37000</v>
      </c>
      <c r="N629">
        <v>347.3</v>
      </c>
      <c r="O629">
        <f t="shared" si="10"/>
        <v>0.3473</v>
      </c>
      <c r="Q629">
        <v>0.64600000000000002</v>
      </c>
      <c r="R629">
        <v>7067.833698030634</v>
      </c>
      <c r="S629">
        <v>1</v>
      </c>
      <c r="AA629">
        <f t="shared" si="11"/>
        <v>3799.7811816192557</v>
      </c>
      <c r="AB629">
        <f t="shared" si="12"/>
        <v>3799.7811816192557</v>
      </c>
      <c r="AC629">
        <v>3238.1569968365043</v>
      </c>
      <c r="AD629">
        <v>0.53761609907120744</v>
      </c>
      <c r="AE629">
        <v>48.049349422131847</v>
      </c>
    </row>
    <row r="630" spans="1:31" x14ac:dyDescent="0.25">
      <c r="A630">
        <v>2025</v>
      </c>
      <c r="B630" t="s">
        <v>103</v>
      </c>
      <c r="C630" t="s">
        <v>32</v>
      </c>
      <c r="D630" s="70" t="s">
        <v>38</v>
      </c>
      <c r="E630">
        <v>4</v>
      </c>
      <c r="F630">
        <v>13</v>
      </c>
      <c r="G630">
        <v>2</v>
      </c>
      <c r="H630">
        <v>404</v>
      </c>
      <c r="I630" s="23">
        <v>45953</v>
      </c>
      <c r="J630">
        <v>295</v>
      </c>
      <c r="K630">
        <v>142</v>
      </c>
      <c r="L630" t="s">
        <v>26</v>
      </c>
      <c r="M630">
        <v>37000</v>
      </c>
      <c r="N630">
        <v>326.5</v>
      </c>
      <c r="O630">
        <f t="shared" si="10"/>
        <v>0.32650000000000001</v>
      </c>
      <c r="Q630">
        <v>0.627</v>
      </c>
      <c r="R630">
        <v>6859.956236323851</v>
      </c>
      <c r="S630">
        <v>1</v>
      </c>
      <c r="AA630">
        <f t="shared" si="11"/>
        <v>3572.2100656455141</v>
      </c>
      <c r="AB630">
        <f t="shared" si="12"/>
        <v>3572.2100656455141</v>
      </c>
      <c r="AC630">
        <v>3444.4250391716751</v>
      </c>
      <c r="AD630">
        <v>0.52073365231259972</v>
      </c>
      <c r="AE630">
        <v>51.110055018081717</v>
      </c>
    </row>
    <row r="631" spans="1:31" x14ac:dyDescent="0.25">
      <c r="A631">
        <v>2025</v>
      </c>
      <c r="B631" t="s">
        <v>103</v>
      </c>
      <c r="C631" t="s">
        <v>28</v>
      </c>
      <c r="D631" s="70" t="s">
        <v>38</v>
      </c>
      <c r="E631">
        <v>4</v>
      </c>
      <c r="F631">
        <v>14</v>
      </c>
      <c r="G631">
        <v>2</v>
      </c>
      <c r="H631">
        <v>405</v>
      </c>
      <c r="I631" s="23">
        <v>45953</v>
      </c>
      <c r="J631">
        <v>295</v>
      </c>
      <c r="K631">
        <v>142</v>
      </c>
      <c r="L631" t="s">
        <v>26</v>
      </c>
      <c r="M631">
        <v>37000</v>
      </c>
      <c r="N631">
        <v>326.10000000000002</v>
      </c>
      <c r="O631">
        <f t="shared" si="10"/>
        <v>0.3261</v>
      </c>
      <c r="Q631">
        <v>0.61599999999999999</v>
      </c>
      <c r="R631">
        <v>6739.6061269146603</v>
      </c>
      <c r="S631">
        <v>1</v>
      </c>
      <c r="AA631">
        <f t="shared" si="11"/>
        <v>3567.8336980306344</v>
      </c>
      <c r="AB631">
        <f t="shared" si="12"/>
        <v>3567.8336980306344</v>
      </c>
      <c r="AC631">
        <v>3313.6352410891946</v>
      </c>
      <c r="AD631">
        <v>0.5293831168831169</v>
      </c>
      <c r="AE631">
        <v>49.169332343098795</v>
      </c>
    </row>
    <row r="632" spans="1:31" x14ac:dyDescent="0.25">
      <c r="A632">
        <v>2025</v>
      </c>
      <c r="B632" t="s">
        <v>103</v>
      </c>
      <c r="C632" t="s">
        <v>27</v>
      </c>
      <c r="D632" s="70" t="s">
        <v>38</v>
      </c>
      <c r="E632">
        <v>4</v>
      </c>
      <c r="F632">
        <v>15</v>
      </c>
      <c r="G632">
        <v>2</v>
      </c>
      <c r="H632">
        <v>406</v>
      </c>
      <c r="I632" s="23">
        <v>45947</v>
      </c>
      <c r="J632">
        <v>289</v>
      </c>
      <c r="K632">
        <v>136</v>
      </c>
      <c r="L632" t="s">
        <v>26</v>
      </c>
      <c r="M632">
        <v>37000</v>
      </c>
      <c r="N632">
        <v>439.2</v>
      </c>
      <c r="O632">
        <f t="shared" si="10"/>
        <v>0.43919999999999998</v>
      </c>
      <c r="Q632">
        <v>0.75700000000000001</v>
      </c>
      <c r="R632">
        <v>8282.2757111597366</v>
      </c>
      <c r="S632">
        <v>1</v>
      </c>
      <c r="AA632">
        <f t="shared" si="11"/>
        <v>4805.2516411378556</v>
      </c>
      <c r="AB632">
        <f t="shared" si="12"/>
        <v>4805.2516411378556</v>
      </c>
      <c r="AC632">
        <v>4414.4820071352224</v>
      </c>
      <c r="AD632">
        <v>0.58018494055482162</v>
      </c>
      <c r="AE632">
        <v>65.504232403115907</v>
      </c>
    </row>
    <row r="633" spans="1:31" x14ac:dyDescent="0.25">
      <c r="A633">
        <v>2025</v>
      </c>
      <c r="B633" t="s">
        <v>103</v>
      </c>
      <c r="C633" t="s">
        <v>30</v>
      </c>
      <c r="D633" s="70" t="s">
        <v>38</v>
      </c>
      <c r="E633">
        <v>4</v>
      </c>
      <c r="F633">
        <v>16</v>
      </c>
      <c r="G633">
        <v>2</v>
      </c>
      <c r="H633">
        <v>407</v>
      </c>
      <c r="I633" s="23">
        <v>45947</v>
      </c>
      <c r="J633">
        <v>289</v>
      </c>
      <c r="K633">
        <v>136</v>
      </c>
      <c r="L633" t="s">
        <v>26</v>
      </c>
      <c r="M633">
        <v>37000</v>
      </c>
      <c r="N633">
        <v>345.5</v>
      </c>
      <c r="O633">
        <f t="shared" si="10"/>
        <v>0.34549999999999997</v>
      </c>
      <c r="Q633">
        <v>0.63800000000000001</v>
      </c>
      <c r="R633">
        <v>6980.3063457330409</v>
      </c>
      <c r="S633">
        <v>1</v>
      </c>
      <c r="AA633">
        <f t="shared" si="11"/>
        <v>3780.087527352297</v>
      </c>
      <c r="AB633">
        <f t="shared" si="12"/>
        <v>3780.087527352297</v>
      </c>
      <c r="AC633">
        <v>3165.9746032839985</v>
      </c>
      <c r="AD633">
        <v>0.54153605015673978</v>
      </c>
      <c r="AE633">
        <v>46.978271937834897</v>
      </c>
    </row>
    <row r="634" spans="1:31" x14ac:dyDescent="0.25">
      <c r="A634">
        <v>2025</v>
      </c>
      <c r="B634" t="s">
        <v>103</v>
      </c>
      <c r="C634" t="s">
        <v>31</v>
      </c>
      <c r="D634" s="70" t="s">
        <v>38</v>
      </c>
      <c r="E634">
        <v>4</v>
      </c>
      <c r="F634">
        <v>17</v>
      </c>
      <c r="G634">
        <v>2</v>
      </c>
      <c r="H634">
        <v>408</v>
      </c>
      <c r="I634" s="23">
        <v>45953</v>
      </c>
      <c r="J634">
        <v>295</v>
      </c>
      <c r="K634">
        <v>142</v>
      </c>
      <c r="L634" t="s">
        <v>26</v>
      </c>
      <c r="M634">
        <v>37000</v>
      </c>
      <c r="N634">
        <v>280.7</v>
      </c>
      <c r="O634">
        <f t="shared" ref="O634:O665" si="13">+N634/1000</f>
        <v>0.28070000000000001</v>
      </c>
      <c r="Q634">
        <v>0.51900000000000002</v>
      </c>
      <c r="R634">
        <v>5678.336980306346</v>
      </c>
      <c r="S634">
        <v>1</v>
      </c>
      <c r="AA634">
        <f t="shared" si="11"/>
        <v>3071.1159737417943</v>
      </c>
      <c r="AB634">
        <f t="shared" si="12"/>
        <v>3071.1159737417943</v>
      </c>
      <c r="AC634">
        <v>3671.8387374842505</v>
      </c>
      <c r="AD634">
        <v>0.54084778420038537</v>
      </c>
      <c r="AE634">
        <v>54.484530148310228</v>
      </c>
    </row>
    <row r="635" spans="1:31" x14ac:dyDescent="0.25">
      <c r="A635">
        <v>2025</v>
      </c>
      <c r="B635" t="s">
        <v>103</v>
      </c>
      <c r="C635" t="s">
        <v>24</v>
      </c>
      <c r="D635" s="70" t="s">
        <v>25</v>
      </c>
      <c r="E635">
        <v>5</v>
      </c>
      <c r="F635">
        <v>1</v>
      </c>
      <c r="G635">
        <v>3</v>
      </c>
      <c r="H635">
        <v>501</v>
      </c>
      <c r="I635" s="22">
        <v>45940</v>
      </c>
      <c r="J635">
        <v>282</v>
      </c>
      <c r="K635">
        <v>129</v>
      </c>
      <c r="L635" t="s">
        <v>26</v>
      </c>
      <c r="M635">
        <v>37000</v>
      </c>
      <c r="N635">
        <v>353.7</v>
      </c>
      <c r="O635">
        <f t="shared" si="13"/>
        <v>0.35370000000000001</v>
      </c>
    </row>
    <row r="636" spans="1:31" x14ac:dyDescent="0.25">
      <c r="A636">
        <v>2025</v>
      </c>
      <c r="B636" t="s">
        <v>103</v>
      </c>
      <c r="C636" t="s">
        <v>105</v>
      </c>
      <c r="D636" s="70" t="s">
        <v>25</v>
      </c>
      <c r="E636">
        <v>5</v>
      </c>
      <c r="F636">
        <v>2</v>
      </c>
      <c r="G636">
        <v>3</v>
      </c>
      <c r="H636">
        <v>502</v>
      </c>
      <c r="I636" s="23">
        <v>45947</v>
      </c>
      <c r="J636">
        <v>289</v>
      </c>
      <c r="K636">
        <v>136</v>
      </c>
      <c r="L636" t="s">
        <v>26</v>
      </c>
      <c r="M636">
        <v>37000</v>
      </c>
      <c r="N636">
        <v>282.10000000000002</v>
      </c>
      <c r="O636">
        <f t="shared" si="13"/>
        <v>0.28210000000000002</v>
      </c>
    </row>
    <row r="637" spans="1:31" x14ac:dyDescent="0.25">
      <c r="A637">
        <v>2025</v>
      </c>
      <c r="B637" t="s">
        <v>103</v>
      </c>
      <c r="C637" t="s">
        <v>27</v>
      </c>
      <c r="D637" s="70" t="s">
        <v>25</v>
      </c>
      <c r="E637">
        <v>5</v>
      </c>
      <c r="F637">
        <v>3</v>
      </c>
      <c r="G637">
        <v>3</v>
      </c>
      <c r="H637">
        <v>503</v>
      </c>
      <c r="I637" s="22">
        <v>45940</v>
      </c>
      <c r="J637">
        <v>282</v>
      </c>
      <c r="K637">
        <v>129</v>
      </c>
      <c r="L637" t="s">
        <v>26</v>
      </c>
      <c r="M637">
        <v>37000</v>
      </c>
      <c r="N637">
        <v>341.9</v>
      </c>
      <c r="O637">
        <f t="shared" si="13"/>
        <v>0.34189999999999998</v>
      </c>
    </row>
    <row r="638" spans="1:31" x14ac:dyDescent="0.25">
      <c r="A638">
        <v>2025</v>
      </c>
      <c r="B638" t="s">
        <v>103</v>
      </c>
      <c r="C638" t="s">
        <v>33</v>
      </c>
      <c r="D638" s="70" t="s">
        <v>25</v>
      </c>
      <c r="E638">
        <v>5</v>
      </c>
      <c r="F638">
        <v>4</v>
      </c>
      <c r="G638">
        <v>3</v>
      </c>
      <c r="H638">
        <v>504</v>
      </c>
      <c r="I638" s="23">
        <v>45953</v>
      </c>
      <c r="J638">
        <v>295</v>
      </c>
      <c r="K638">
        <v>142</v>
      </c>
      <c r="L638" t="s">
        <v>26</v>
      </c>
      <c r="M638">
        <v>37000</v>
      </c>
      <c r="N638">
        <v>134.30000000000001</v>
      </c>
      <c r="O638">
        <f t="shared" si="13"/>
        <v>0.1343</v>
      </c>
      <c r="Q638">
        <v>0.28399999999999997</v>
      </c>
      <c r="R638">
        <v>3107.2210065645513</v>
      </c>
      <c r="S638">
        <v>1</v>
      </c>
      <c r="AA638">
        <f t="shared" ref="AA638:AA651" si="14">+((10000*O638)/0.914)</f>
        <v>1469.3654266958424</v>
      </c>
      <c r="AB638">
        <f t="shared" ref="AB638:AB651" si="15">+AA638</f>
        <v>1469.3654266958424</v>
      </c>
      <c r="AC638">
        <v>2077.1299549362575</v>
      </c>
      <c r="AD638">
        <v>0.47288732394366201</v>
      </c>
      <c r="AE638">
        <v>30.821465141255594</v>
      </c>
    </row>
    <row r="639" spans="1:31" x14ac:dyDescent="0.25">
      <c r="A639">
        <v>2025</v>
      </c>
      <c r="B639" t="s">
        <v>103</v>
      </c>
      <c r="C639" t="s">
        <v>29</v>
      </c>
      <c r="D639" s="70" t="s">
        <v>25</v>
      </c>
      <c r="E639">
        <v>5</v>
      </c>
      <c r="F639">
        <v>4</v>
      </c>
      <c r="G639">
        <v>3</v>
      </c>
      <c r="H639">
        <v>505</v>
      </c>
      <c r="I639" s="22">
        <v>45940</v>
      </c>
      <c r="J639">
        <v>282</v>
      </c>
      <c r="K639">
        <v>129</v>
      </c>
      <c r="L639" t="s">
        <v>26</v>
      </c>
      <c r="M639">
        <v>37000</v>
      </c>
      <c r="N639">
        <v>107.7</v>
      </c>
      <c r="O639">
        <f t="shared" si="13"/>
        <v>0.1077</v>
      </c>
      <c r="Q639">
        <v>0.33100000000000002</v>
      </c>
      <c r="R639">
        <v>3621.4442013129101</v>
      </c>
      <c r="S639">
        <v>1</v>
      </c>
      <c r="AA639">
        <f t="shared" si="14"/>
        <v>1178.3369803063456</v>
      </c>
      <c r="AB639">
        <f t="shared" si="15"/>
        <v>1178.3369803063456</v>
      </c>
      <c r="AC639">
        <v>1277.915529108692</v>
      </c>
      <c r="AD639">
        <v>0.32537764350453174</v>
      </c>
      <c r="AE639">
        <v>18.962332539805608</v>
      </c>
    </row>
    <row r="640" spans="1:31" x14ac:dyDescent="0.25">
      <c r="A640">
        <v>2025</v>
      </c>
      <c r="B640" t="s">
        <v>103</v>
      </c>
      <c r="C640" t="s">
        <v>30</v>
      </c>
      <c r="D640" s="70" t="s">
        <v>25</v>
      </c>
      <c r="E640">
        <v>5</v>
      </c>
      <c r="F640">
        <v>5</v>
      </c>
      <c r="G640">
        <v>3</v>
      </c>
      <c r="H640">
        <v>506</v>
      </c>
      <c r="I640" s="23">
        <v>45947</v>
      </c>
      <c r="J640">
        <v>289</v>
      </c>
      <c r="K640">
        <v>136</v>
      </c>
      <c r="L640" t="s">
        <v>26</v>
      </c>
      <c r="M640">
        <v>37000</v>
      </c>
      <c r="N640">
        <v>177.7</v>
      </c>
      <c r="O640">
        <f t="shared" si="13"/>
        <v>0.1777</v>
      </c>
      <c r="Q640">
        <v>0.35099999999999998</v>
      </c>
      <c r="R640">
        <v>3840.2625820568924</v>
      </c>
      <c r="S640">
        <v>1</v>
      </c>
      <c r="AA640">
        <f t="shared" si="14"/>
        <v>1944.2013129102843</v>
      </c>
      <c r="AB640">
        <f t="shared" si="15"/>
        <v>1944.2013129102843</v>
      </c>
      <c r="AC640">
        <v>1501.3154686477797</v>
      </c>
      <c r="AD640">
        <v>0.50626780626780621</v>
      </c>
      <c r="AE640">
        <v>22.277249563990495</v>
      </c>
    </row>
    <row r="641" spans="1:31" x14ac:dyDescent="0.25">
      <c r="A641">
        <v>2025</v>
      </c>
      <c r="B641" t="s">
        <v>103</v>
      </c>
      <c r="C641" t="s">
        <v>28</v>
      </c>
      <c r="D641" s="70" t="s">
        <v>25</v>
      </c>
      <c r="E641">
        <v>5</v>
      </c>
      <c r="F641">
        <v>7</v>
      </c>
      <c r="G641">
        <v>3</v>
      </c>
      <c r="H641">
        <v>507</v>
      </c>
      <c r="I641" s="23">
        <v>45953</v>
      </c>
      <c r="J641">
        <v>295</v>
      </c>
      <c r="K641">
        <v>142</v>
      </c>
      <c r="L641" t="s">
        <v>26</v>
      </c>
      <c r="M641">
        <v>37000</v>
      </c>
      <c r="N641">
        <v>142.69999999999999</v>
      </c>
      <c r="O641">
        <f t="shared" si="13"/>
        <v>0.14269999999999999</v>
      </c>
      <c r="Q641">
        <v>0.311</v>
      </c>
      <c r="R641">
        <v>3402.6258205689273</v>
      </c>
      <c r="S641">
        <v>1</v>
      </c>
      <c r="AA641">
        <f t="shared" si="14"/>
        <v>1561.2691466083149</v>
      </c>
      <c r="AB641">
        <f t="shared" si="15"/>
        <v>1561.2691466083149</v>
      </c>
      <c r="AC641">
        <v>1417.9826574294086</v>
      </c>
      <c r="AD641">
        <v>0.45884244372990352</v>
      </c>
      <c r="AE641">
        <v>21.040716755830847</v>
      </c>
    </row>
    <row r="642" spans="1:31" x14ac:dyDescent="0.25">
      <c r="A642">
        <v>2025</v>
      </c>
      <c r="B642" t="s">
        <v>103</v>
      </c>
      <c r="C642" t="s">
        <v>31</v>
      </c>
      <c r="D642" s="70" t="s">
        <v>25</v>
      </c>
      <c r="E642">
        <v>5</v>
      </c>
      <c r="F642">
        <v>8</v>
      </c>
      <c r="G642">
        <v>3</v>
      </c>
      <c r="H642">
        <v>508</v>
      </c>
      <c r="I642" s="23">
        <v>45953</v>
      </c>
      <c r="J642">
        <v>295</v>
      </c>
      <c r="K642">
        <v>142</v>
      </c>
      <c r="L642" t="s">
        <v>26</v>
      </c>
      <c r="M642">
        <v>37000</v>
      </c>
      <c r="N642">
        <v>128.4</v>
      </c>
      <c r="O642">
        <f t="shared" si="13"/>
        <v>0.12840000000000001</v>
      </c>
      <c r="Q642">
        <v>0.27200000000000002</v>
      </c>
      <c r="R642">
        <v>2975.9299781181617</v>
      </c>
      <c r="S642">
        <v>1</v>
      </c>
      <c r="AA642">
        <f t="shared" si="14"/>
        <v>1404.8140043763678</v>
      </c>
      <c r="AB642">
        <f t="shared" si="15"/>
        <v>1404.8140043763678</v>
      </c>
      <c r="AC642">
        <v>1344.4460281931638</v>
      </c>
      <c r="AD642">
        <v>0.47205882352941181</v>
      </c>
      <c r="AE642">
        <v>19.949544463397217</v>
      </c>
    </row>
    <row r="643" spans="1:31" x14ac:dyDescent="0.25">
      <c r="A643">
        <v>2025</v>
      </c>
      <c r="B643" t="s">
        <v>103</v>
      </c>
      <c r="C643" t="s">
        <v>32</v>
      </c>
      <c r="D643" s="70" t="s">
        <v>25</v>
      </c>
      <c r="E643">
        <v>5</v>
      </c>
      <c r="F643">
        <v>9</v>
      </c>
      <c r="G643">
        <v>3</v>
      </c>
      <c r="H643">
        <v>509</v>
      </c>
      <c r="I643" s="23">
        <v>45953</v>
      </c>
      <c r="J643">
        <v>295</v>
      </c>
      <c r="K643">
        <v>142</v>
      </c>
      <c r="L643" t="s">
        <v>26</v>
      </c>
      <c r="M643">
        <v>37000</v>
      </c>
      <c r="N643">
        <v>150.4</v>
      </c>
      <c r="O643">
        <f t="shared" si="13"/>
        <v>0.15040000000000001</v>
      </c>
      <c r="Q643">
        <v>0.312</v>
      </c>
      <c r="R643">
        <v>3413.5667396061267</v>
      </c>
      <c r="S643">
        <v>1</v>
      </c>
      <c r="AA643">
        <f t="shared" si="14"/>
        <v>1645.5142231947482</v>
      </c>
      <c r="AB643">
        <f t="shared" si="15"/>
        <v>1645.5142231947482</v>
      </c>
      <c r="AC643">
        <v>1821.828791194218</v>
      </c>
      <c r="AD643">
        <v>0.48205128205128206</v>
      </c>
      <c r="AE643">
        <v>27.033182227084854</v>
      </c>
    </row>
    <row r="644" spans="1:31" x14ac:dyDescent="0.25">
      <c r="A644">
        <v>2025</v>
      </c>
      <c r="B644" t="s">
        <v>103</v>
      </c>
      <c r="C644" t="s">
        <v>28</v>
      </c>
      <c r="D644" s="70" t="s">
        <v>25</v>
      </c>
      <c r="E644">
        <v>6</v>
      </c>
      <c r="F644">
        <v>10</v>
      </c>
      <c r="G644">
        <v>3</v>
      </c>
      <c r="H644">
        <v>601</v>
      </c>
      <c r="I644" s="23">
        <v>45953</v>
      </c>
      <c r="J644">
        <v>295</v>
      </c>
      <c r="K644">
        <v>142</v>
      </c>
      <c r="L644" t="s">
        <v>26</v>
      </c>
      <c r="M644">
        <v>37000</v>
      </c>
      <c r="N644">
        <v>100.6</v>
      </c>
      <c r="O644">
        <f t="shared" si="13"/>
        <v>0.10059999999999999</v>
      </c>
      <c r="Q644">
        <v>0.215</v>
      </c>
      <c r="R644">
        <v>2352.2975929978115</v>
      </c>
      <c r="S644">
        <v>1</v>
      </c>
      <c r="AA644">
        <f t="shared" si="14"/>
        <v>1100.6564551422318</v>
      </c>
      <c r="AB644">
        <f t="shared" si="15"/>
        <v>1100.6564551422318</v>
      </c>
      <c r="AC644">
        <v>1520.1246601684238</v>
      </c>
      <c r="AD644">
        <v>0.46790697674418602</v>
      </c>
      <c r="AE644">
        <v>22.556349501580357</v>
      </c>
    </row>
    <row r="645" spans="1:31" x14ac:dyDescent="0.25">
      <c r="A645">
        <v>2025</v>
      </c>
      <c r="B645" t="s">
        <v>103</v>
      </c>
      <c r="C645" t="s">
        <v>29</v>
      </c>
      <c r="D645" s="70" t="s">
        <v>25</v>
      </c>
      <c r="E645">
        <v>6</v>
      </c>
      <c r="F645">
        <v>11</v>
      </c>
      <c r="G645">
        <v>3</v>
      </c>
      <c r="H645">
        <v>602</v>
      </c>
      <c r="I645" s="22">
        <v>45940</v>
      </c>
      <c r="J645">
        <v>282</v>
      </c>
      <c r="K645">
        <v>129</v>
      </c>
      <c r="L645" t="s">
        <v>26</v>
      </c>
      <c r="M645">
        <v>37000</v>
      </c>
      <c r="N645">
        <v>100.2</v>
      </c>
      <c r="O645">
        <f t="shared" si="13"/>
        <v>0.1002</v>
      </c>
      <c r="Q645">
        <v>0.217</v>
      </c>
      <c r="R645">
        <v>2374.1794310722098</v>
      </c>
      <c r="S645">
        <v>1</v>
      </c>
      <c r="AA645">
        <f t="shared" si="14"/>
        <v>1096.2800875273522</v>
      </c>
      <c r="AB645">
        <f t="shared" si="15"/>
        <v>1096.2800875273522</v>
      </c>
      <c r="AC645">
        <v>1250.4816510528187</v>
      </c>
      <c r="AD645">
        <v>0.46175115207373274</v>
      </c>
      <c r="AE645">
        <v>18.555255306058573</v>
      </c>
    </row>
    <row r="646" spans="1:31" x14ac:dyDescent="0.25">
      <c r="A646">
        <v>2025</v>
      </c>
      <c r="B646" t="s">
        <v>103</v>
      </c>
      <c r="C646" t="s">
        <v>32</v>
      </c>
      <c r="D646" s="70" t="s">
        <v>25</v>
      </c>
      <c r="E646">
        <v>6</v>
      </c>
      <c r="F646">
        <v>12</v>
      </c>
      <c r="G646">
        <v>3</v>
      </c>
      <c r="H646">
        <v>603</v>
      </c>
      <c r="I646" s="23">
        <v>45953</v>
      </c>
      <c r="J646">
        <v>295</v>
      </c>
      <c r="K646">
        <v>142</v>
      </c>
      <c r="L646" t="s">
        <v>26</v>
      </c>
      <c r="M646">
        <v>37000</v>
      </c>
      <c r="N646">
        <v>131.6</v>
      </c>
      <c r="O646">
        <f t="shared" si="13"/>
        <v>0.13159999999999999</v>
      </c>
      <c r="Q646">
        <v>0.27</v>
      </c>
      <c r="R646">
        <v>2954.0481400437634</v>
      </c>
      <c r="S646">
        <v>1</v>
      </c>
      <c r="AA646">
        <f t="shared" si="14"/>
        <v>1439.8249452954049</v>
      </c>
      <c r="AB646">
        <f t="shared" si="15"/>
        <v>1439.8249452954049</v>
      </c>
      <c r="AC646">
        <v>1534.6525089973459</v>
      </c>
      <c r="AD646">
        <v>0.4874074074074074</v>
      </c>
      <c r="AE646">
        <v>22.77192079272367</v>
      </c>
    </row>
    <row r="647" spans="1:31" x14ac:dyDescent="0.25">
      <c r="A647">
        <v>2025</v>
      </c>
      <c r="B647" t="s">
        <v>103</v>
      </c>
      <c r="C647" t="s">
        <v>33</v>
      </c>
      <c r="D647" s="70" t="s">
        <v>25</v>
      </c>
      <c r="E647">
        <v>6</v>
      </c>
      <c r="F647">
        <v>14</v>
      </c>
      <c r="G647">
        <v>3</v>
      </c>
      <c r="H647">
        <v>605</v>
      </c>
      <c r="I647" s="23">
        <v>45953</v>
      </c>
      <c r="J647">
        <v>295</v>
      </c>
      <c r="K647">
        <v>142</v>
      </c>
      <c r="L647" t="s">
        <v>26</v>
      </c>
      <c r="M647">
        <v>37000</v>
      </c>
      <c r="N647">
        <v>144.30000000000001</v>
      </c>
      <c r="O647">
        <f t="shared" si="13"/>
        <v>0.14430000000000001</v>
      </c>
      <c r="Q647">
        <v>0.28599999999999998</v>
      </c>
      <c r="R647">
        <v>3129.1028446389496</v>
      </c>
      <c r="S647">
        <v>1</v>
      </c>
      <c r="AA647">
        <f t="shared" si="14"/>
        <v>1578.7746170678338</v>
      </c>
      <c r="AB647">
        <f t="shared" si="15"/>
        <v>1578.7746170678338</v>
      </c>
      <c r="AC647">
        <v>1789.0269186811165</v>
      </c>
      <c r="AD647">
        <v>0.50454545454545463</v>
      </c>
      <c r="AE647">
        <v>26.546452079157504</v>
      </c>
    </row>
    <row r="648" spans="1:31" x14ac:dyDescent="0.25">
      <c r="A648">
        <v>2025</v>
      </c>
      <c r="B648" t="s">
        <v>103</v>
      </c>
      <c r="C648" t="s">
        <v>27</v>
      </c>
      <c r="D648" s="70" t="s">
        <v>25</v>
      </c>
      <c r="E648">
        <v>6</v>
      </c>
      <c r="F648">
        <v>15</v>
      </c>
      <c r="G648">
        <v>3</v>
      </c>
      <c r="H648">
        <v>606</v>
      </c>
      <c r="I648" s="23">
        <v>45947</v>
      </c>
      <c r="J648">
        <v>289</v>
      </c>
      <c r="K648">
        <v>136</v>
      </c>
      <c r="L648" t="s">
        <v>26</v>
      </c>
      <c r="M648">
        <v>37000</v>
      </c>
      <c r="N648">
        <v>109.30000000000001</v>
      </c>
      <c r="O648">
        <f t="shared" si="13"/>
        <v>0.10930000000000001</v>
      </c>
      <c r="Q648">
        <v>0.23200000000000001</v>
      </c>
      <c r="R648">
        <v>2538.2932166301966</v>
      </c>
      <c r="S648">
        <v>1</v>
      </c>
      <c r="AA648">
        <f t="shared" si="14"/>
        <v>1195.8424507658642</v>
      </c>
      <c r="AB648">
        <f t="shared" si="15"/>
        <v>1195.8424507658642</v>
      </c>
      <c r="AC648">
        <v>1845.3990185282935</v>
      </c>
      <c r="AD648">
        <v>0.47112068965517245</v>
      </c>
      <c r="AE648">
        <v>27.382928731111839</v>
      </c>
    </row>
    <row r="649" spans="1:31" x14ac:dyDescent="0.25">
      <c r="A649">
        <v>2025</v>
      </c>
      <c r="B649" t="s">
        <v>103</v>
      </c>
      <c r="C649" t="s">
        <v>24</v>
      </c>
      <c r="D649" s="70" t="s">
        <v>25</v>
      </c>
      <c r="E649">
        <v>6</v>
      </c>
      <c r="F649">
        <v>16</v>
      </c>
      <c r="G649">
        <v>3</v>
      </c>
      <c r="H649">
        <v>607</v>
      </c>
      <c r="I649" s="22">
        <v>45940</v>
      </c>
      <c r="J649">
        <v>282</v>
      </c>
      <c r="K649">
        <v>129</v>
      </c>
      <c r="L649" t="s">
        <v>26</v>
      </c>
      <c r="M649">
        <v>37000</v>
      </c>
      <c r="N649">
        <v>132.30000000000001</v>
      </c>
      <c r="O649">
        <f t="shared" si="13"/>
        <v>0.1323</v>
      </c>
      <c r="Q649">
        <v>0.29199999999999998</v>
      </c>
      <c r="R649">
        <v>3194.7483588621444</v>
      </c>
      <c r="S649">
        <v>1</v>
      </c>
      <c r="AA649">
        <f t="shared" si="14"/>
        <v>1447.4835886214441</v>
      </c>
      <c r="AB649">
        <f t="shared" si="15"/>
        <v>1447.4835886214441</v>
      </c>
      <c r="AC649">
        <v>1858.7292661621991</v>
      </c>
      <c r="AD649">
        <v>0.45308219178082193</v>
      </c>
      <c r="AE649">
        <v>27.580729432890912</v>
      </c>
    </row>
    <row r="650" spans="1:31" x14ac:dyDescent="0.25">
      <c r="A650">
        <v>2025</v>
      </c>
      <c r="B650" t="s">
        <v>103</v>
      </c>
      <c r="C650" t="s">
        <v>31</v>
      </c>
      <c r="D650" s="70" t="s">
        <v>25</v>
      </c>
      <c r="E650">
        <v>6</v>
      </c>
      <c r="F650">
        <v>17</v>
      </c>
      <c r="G650">
        <v>3</v>
      </c>
      <c r="H650">
        <v>608</v>
      </c>
      <c r="I650" s="23">
        <v>45953</v>
      </c>
      <c r="J650">
        <v>295</v>
      </c>
      <c r="K650">
        <v>142</v>
      </c>
      <c r="L650" t="s">
        <v>26</v>
      </c>
      <c r="M650">
        <v>37000</v>
      </c>
      <c r="N650">
        <v>172.4</v>
      </c>
      <c r="O650">
        <f t="shared" si="13"/>
        <v>0.1724</v>
      </c>
      <c r="Q650">
        <v>0.32600000000000001</v>
      </c>
      <c r="R650">
        <v>3566.7396061269146</v>
      </c>
      <c r="S650">
        <v>1</v>
      </c>
      <c r="AA650">
        <f t="shared" si="14"/>
        <v>1886.214442013129</v>
      </c>
      <c r="AB650">
        <f t="shared" si="15"/>
        <v>1886.214442013129</v>
      </c>
      <c r="AC650">
        <v>1690.1513976756485</v>
      </c>
      <c r="AD650">
        <v>0.52883435582822091</v>
      </c>
      <c r="AE650">
        <v>25.079288979058145</v>
      </c>
    </row>
    <row r="651" spans="1:31" x14ac:dyDescent="0.25">
      <c r="A651">
        <v>2025</v>
      </c>
      <c r="B651" t="s">
        <v>103</v>
      </c>
      <c r="C651" t="s">
        <v>30</v>
      </c>
      <c r="D651" s="70" t="s">
        <v>25</v>
      </c>
      <c r="E651">
        <v>6</v>
      </c>
      <c r="F651">
        <v>18</v>
      </c>
      <c r="G651">
        <v>3</v>
      </c>
      <c r="H651">
        <v>609</v>
      </c>
      <c r="I651" s="23">
        <v>45947</v>
      </c>
      <c r="J651">
        <v>289</v>
      </c>
      <c r="K651">
        <v>136</v>
      </c>
      <c r="L651" t="s">
        <v>26</v>
      </c>
      <c r="M651">
        <v>37000</v>
      </c>
      <c r="N651">
        <v>206</v>
      </c>
      <c r="O651">
        <f t="shared" si="13"/>
        <v>0.20599999999999999</v>
      </c>
      <c r="Q651">
        <v>0.38500000000000001</v>
      </c>
      <c r="R651">
        <v>4212.253829321663</v>
      </c>
      <c r="S651">
        <v>1</v>
      </c>
      <c r="AA651">
        <f t="shared" si="14"/>
        <v>2253.8293216630195</v>
      </c>
      <c r="AB651">
        <f t="shared" si="15"/>
        <v>2253.8293216630195</v>
      </c>
      <c r="AC651">
        <v>1709.6654443955397</v>
      </c>
      <c r="AD651">
        <v>0.53506493506493502</v>
      </c>
      <c r="AE651">
        <v>25.368847901123956</v>
      </c>
    </row>
    <row r="652" spans="1:31" x14ac:dyDescent="0.25">
      <c r="A652">
        <v>2025</v>
      </c>
      <c r="B652" t="s">
        <v>103</v>
      </c>
      <c r="C652" t="s">
        <v>27</v>
      </c>
      <c r="D652" s="70" t="s">
        <v>25</v>
      </c>
      <c r="E652">
        <v>7</v>
      </c>
      <c r="F652">
        <v>1</v>
      </c>
      <c r="G652">
        <v>4</v>
      </c>
      <c r="H652">
        <v>701</v>
      </c>
      <c r="I652" s="22">
        <v>45940</v>
      </c>
      <c r="J652">
        <v>282</v>
      </c>
      <c r="K652">
        <v>129</v>
      </c>
      <c r="L652" t="s">
        <v>26</v>
      </c>
      <c r="M652">
        <v>37000</v>
      </c>
      <c r="N652">
        <v>322.3</v>
      </c>
      <c r="O652">
        <f t="shared" si="13"/>
        <v>0.32230000000000003</v>
      </c>
      <c r="S652">
        <v>1</v>
      </c>
    </row>
    <row r="653" spans="1:31" x14ac:dyDescent="0.25">
      <c r="A653">
        <v>2025</v>
      </c>
      <c r="B653" t="s">
        <v>103</v>
      </c>
      <c r="C653" t="s">
        <v>33</v>
      </c>
      <c r="D653" s="70" t="s">
        <v>25</v>
      </c>
      <c r="E653">
        <v>7</v>
      </c>
      <c r="F653">
        <v>3</v>
      </c>
      <c r="G653">
        <v>4</v>
      </c>
      <c r="H653">
        <v>703</v>
      </c>
      <c r="I653" s="23">
        <v>45953</v>
      </c>
      <c r="J653">
        <v>295</v>
      </c>
      <c r="K653">
        <v>142</v>
      </c>
      <c r="L653" t="s">
        <v>26</v>
      </c>
      <c r="M653">
        <v>37000</v>
      </c>
      <c r="N653">
        <v>215.4</v>
      </c>
      <c r="O653">
        <f t="shared" si="13"/>
        <v>0.21540000000000001</v>
      </c>
      <c r="S653">
        <v>1</v>
      </c>
    </row>
    <row r="654" spans="1:31" x14ac:dyDescent="0.25">
      <c r="A654">
        <v>2025</v>
      </c>
      <c r="B654" t="s">
        <v>103</v>
      </c>
      <c r="C654" t="s">
        <v>29</v>
      </c>
      <c r="D654" s="70" t="s">
        <v>25</v>
      </c>
      <c r="E654">
        <v>7</v>
      </c>
      <c r="F654">
        <v>4</v>
      </c>
      <c r="G654">
        <v>4</v>
      </c>
      <c r="H654">
        <v>704</v>
      </c>
      <c r="I654" s="22">
        <v>45940</v>
      </c>
      <c r="J654">
        <v>282</v>
      </c>
      <c r="K654">
        <v>129</v>
      </c>
      <c r="L654" t="s">
        <v>26</v>
      </c>
      <c r="M654">
        <v>37000</v>
      </c>
      <c r="N654">
        <v>293.7</v>
      </c>
      <c r="O654">
        <f t="shared" si="13"/>
        <v>0.29369999999999996</v>
      </c>
      <c r="S654">
        <v>1</v>
      </c>
    </row>
    <row r="655" spans="1:31" x14ac:dyDescent="0.25">
      <c r="A655">
        <v>2025</v>
      </c>
      <c r="B655" t="s">
        <v>103</v>
      </c>
      <c r="C655" t="s">
        <v>30</v>
      </c>
      <c r="D655" s="70" t="s">
        <v>25</v>
      </c>
      <c r="E655">
        <v>7</v>
      </c>
      <c r="F655">
        <v>4</v>
      </c>
      <c r="G655">
        <v>4</v>
      </c>
      <c r="H655">
        <v>705</v>
      </c>
      <c r="I655" s="22">
        <v>45940</v>
      </c>
      <c r="J655">
        <v>282</v>
      </c>
      <c r="K655">
        <v>129</v>
      </c>
      <c r="L655" t="s">
        <v>26</v>
      </c>
      <c r="M655">
        <v>37000</v>
      </c>
      <c r="N655">
        <v>285.2</v>
      </c>
      <c r="O655">
        <f t="shared" si="13"/>
        <v>0.28520000000000001</v>
      </c>
      <c r="S655">
        <v>1</v>
      </c>
    </row>
    <row r="656" spans="1:31" x14ac:dyDescent="0.25">
      <c r="A656">
        <v>2025</v>
      </c>
      <c r="B656" t="s">
        <v>103</v>
      </c>
      <c r="C656" t="s">
        <v>24</v>
      </c>
      <c r="D656" s="70" t="s">
        <v>25</v>
      </c>
      <c r="E656">
        <v>7</v>
      </c>
      <c r="F656">
        <v>6</v>
      </c>
      <c r="G656">
        <v>4</v>
      </c>
      <c r="H656">
        <v>706</v>
      </c>
      <c r="I656" s="22">
        <v>45940</v>
      </c>
      <c r="J656">
        <v>282</v>
      </c>
      <c r="K656">
        <v>129</v>
      </c>
      <c r="L656" t="s">
        <v>26</v>
      </c>
      <c r="M656">
        <v>37000</v>
      </c>
      <c r="N656">
        <v>98.3</v>
      </c>
      <c r="O656">
        <f t="shared" si="13"/>
        <v>9.8299999999999998E-2</v>
      </c>
      <c r="Q656">
        <v>0.217</v>
      </c>
      <c r="R656">
        <v>2374.1794310722098</v>
      </c>
      <c r="S656">
        <v>1</v>
      </c>
      <c r="AA656">
        <f t="shared" ref="AA656:AA667" si="16">+((10000*O656)/0.914)</f>
        <v>1075.4923413566739</v>
      </c>
      <c r="AB656">
        <f t="shared" ref="AB656:AB667" si="17">+AA656</f>
        <v>1075.4923413566739</v>
      </c>
      <c r="AC656">
        <v>1285.7080949225885</v>
      </c>
      <c r="AD656">
        <v>0.45299539170506908</v>
      </c>
      <c r="AE656">
        <v>19.077962423734231</v>
      </c>
    </row>
    <row r="657" spans="1:31" x14ac:dyDescent="0.25">
      <c r="A657">
        <v>2025</v>
      </c>
      <c r="B657" t="s">
        <v>103</v>
      </c>
      <c r="C657" t="s">
        <v>31</v>
      </c>
      <c r="D657" s="70" t="s">
        <v>25</v>
      </c>
      <c r="E657">
        <v>7</v>
      </c>
      <c r="F657">
        <v>7</v>
      </c>
      <c r="G657">
        <v>4</v>
      </c>
      <c r="H657">
        <v>707</v>
      </c>
      <c r="I657" s="23">
        <v>45953</v>
      </c>
      <c r="J657">
        <v>295</v>
      </c>
      <c r="K657">
        <v>142</v>
      </c>
      <c r="L657" t="s">
        <v>26</v>
      </c>
      <c r="M657">
        <v>37000</v>
      </c>
      <c r="N657">
        <v>93.6</v>
      </c>
      <c r="O657">
        <f t="shared" si="13"/>
        <v>9.3599999999999989E-2</v>
      </c>
      <c r="Q657">
        <v>0.192</v>
      </c>
      <c r="R657">
        <v>2100.6564551422316</v>
      </c>
      <c r="S657">
        <v>1</v>
      </c>
      <c r="T657">
        <v>0.91400000000000003</v>
      </c>
      <c r="AA657">
        <f t="shared" si="16"/>
        <v>1024.0700218818379</v>
      </c>
      <c r="AB657">
        <f t="shared" si="17"/>
        <v>1024.0700218818379</v>
      </c>
      <c r="AC657">
        <v>1223.7069431369814</v>
      </c>
      <c r="AD657">
        <v>0.48749999999999999</v>
      </c>
      <c r="AE657">
        <v>18.157959159645525</v>
      </c>
    </row>
    <row r="658" spans="1:31" x14ac:dyDescent="0.25">
      <c r="A658">
        <v>2025</v>
      </c>
      <c r="B658" t="s">
        <v>103</v>
      </c>
      <c r="C658" t="s">
        <v>28</v>
      </c>
      <c r="D658" s="70" t="s">
        <v>25</v>
      </c>
      <c r="E658">
        <v>7</v>
      </c>
      <c r="F658">
        <v>8</v>
      </c>
      <c r="G658">
        <v>4</v>
      </c>
      <c r="H658">
        <v>708</v>
      </c>
      <c r="I658" s="23">
        <v>45953</v>
      </c>
      <c r="J658">
        <v>295</v>
      </c>
      <c r="K658">
        <v>142</v>
      </c>
      <c r="L658" t="s">
        <v>26</v>
      </c>
      <c r="M658">
        <v>37000</v>
      </c>
      <c r="N658">
        <v>120.19999999999999</v>
      </c>
      <c r="O658">
        <f t="shared" si="13"/>
        <v>0.12019999999999999</v>
      </c>
      <c r="Q658">
        <v>0.24</v>
      </c>
      <c r="R658">
        <v>2625.8205689277902</v>
      </c>
      <c r="S658">
        <v>1</v>
      </c>
      <c r="AA658">
        <f t="shared" si="16"/>
        <v>1315.0984682713345</v>
      </c>
      <c r="AB658">
        <f t="shared" si="17"/>
        <v>1315.0984682713345</v>
      </c>
      <c r="AC658">
        <v>1347.6961938341353</v>
      </c>
      <c r="AD658">
        <v>0.50083333333333324</v>
      </c>
      <c r="AE658">
        <v>19.997772002925231</v>
      </c>
    </row>
    <row r="659" spans="1:31" x14ac:dyDescent="0.25">
      <c r="A659">
        <v>2025</v>
      </c>
      <c r="B659" t="s">
        <v>103</v>
      </c>
      <c r="C659" t="s">
        <v>32</v>
      </c>
      <c r="D659" s="70" t="s">
        <v>25</v>
      </c>
      <c r="E659">
        <v>7</v>
      </c>
      <c r="F659">
        <v>9</v>
      </c>
      <c r="G659">
        <v>4</v>
      </c>
      <c r="H659">
        <v>709</v>
      </c>
      <c r="I659" s="23">
        <v>45953</v>
      </c>
      <c r="J659">
        <v>295</v>
      </c>
      <c r="K659">
        <v>142</v>
      </c>
      <c r="L659" t="s">
        <v>26</v>
      </c>
      <c r="M659">
        <v>37000</v>
      </c>
      <c r="N659">
        <v>152.6</v>
      </c>
      <c r="O659">
        <f t="shared" si="13"/>
        <v>0.15259999999999999</v>
      </c>
      <c r="Q659">
        <v>0.308</v>
      </c>
      <c r="R659">
        <v>3369.8030634573302</v>
      </c>
      <c r="S659">
        <v>1</v>
      </c>
      <c r="AA659">
        <f t="shared" si="16"/>
        <v>1669.5842450765861</v>
      </c>
      <c r="AB659">
        <f t="shared" si="17"/>
        <v>1669.5842450765861</v>
      </c>
      <c r="AC659">
        <v>1273.4971312393386</v>
      </c>
      <c r="AD659">
        <v>0.49545454545454543</v>
      </c>
      <c r="AE659">
        <v>18.89677020193318</v>
      </c>
    </row>
    <row r="660" spans="1:31" x14ac:dyDescent="0.25">
      <c r="A660">
        <v>2025</v>
      </c>
      <c r="B660" t="s">
        <v>103</v>
      </c>
      <c r="C660" t="s">
        <v>33</v>
      </c>
      <c r="D660" s="70" t="s">
        <v>25</v>
      </c>
      <c r="E660">
        <v>8</v>
      </c>
      <c r="F660">
        <v>10</v>
      </c>
      <c r="G660">
        <v>4</v>
      </c>
      <c r="H660">
        <v>801</v>
      </c>
      <c r="I660" s="23">
        <v>45953</v>
      </c>
      <c r="J660">
        <v>295</v>
      </c>
      <c r="K660">
        <v>142</v>
      </c>
      <c r="L660" t="s">
        <v>26</v>
      </c>
      <c r="M660">
        <v>37000</v>
      </c>
      <c r="N660">
        <v>147.6</v>
      </c>
      <c r="O660">
        <f t="shared" si="13"/>
        <v>0.14759999999999998</v>
      </c>
      <c r="Q660">
        <v>0.28799999999999998</v>
      </c>
      <c r="R660">
        <v>3150.9846827133479</v>
      </c>
      <c r="S660">
        <v>1</v>
      </c>
      <c r="AA660">
        <f t="shared" si="16"/>
        <v>1614.8796498905906</v>
      </c>
      <c r="AB660">
        <f t="shared" si="17"/>
        <v>1614.8796498905906</v>
      </c>
      <c r="AC660">
        <v>1433.7146338903776</v>
      </c>
      <c r="AD660">
        <v>0.51249999999999996</v>
      </c>
      <c r="AE660">
        <v>21.27415547878725</v>
      </c>
    </row>
    <row r="661" spans="1:31" x14ac:dyDescent="0.25">
      <c r="A661">
        <v>2025</v>
      </c>
      <c r="B661" t="s">
        <v>103</v>
      </c>
      <c r="C661" t="s">
        <v>24</v>
      </c>
      <c r="D661" s="70" t="s">
        <v>25</v>
      </c>
      <c r="E661">
        <v>8</v>
      </c>
      <c r="F661">
        <v>11</v>
      </c>
      <c r="G661">
        <v>4</v>
      </c>
      <c r="H661">
        <v>802</v>
      </c>
      <c r="I661" s="22">
        <v>45940</v>
      </c>
      <c r="J661">
        <v>282</v>
      </c>
      <c r="K661">
        <v>129</v>
      </c>
      <c r="L661" t="s">
        <v>26</v>
      </c>
      <c r="M661">
        <v>37000</v>
      </c>
      <c r="N661">
        <v>121</v>
      </c>
      <c r="O661">
        <f t="shared" si="13"/>
        <v>0.121</v>
      </c>
      <c r="Q661">
        <v>0.26600000000000001</v>
      </c>
      <c r="R661">
        <v>2910.2844638949668</v>
      </c>
      <c r="S661">
        <v>1</v>
      </c>
      <c r="AA661">
        <f t="shared" si="16"/>
        <v>1323.851203501094</v>
      </c>
      <c r="AB661">
        <f t="shared" si="17"/>
        <v>1323.851203501094</v>
      </c>
      <c r="AC661">
        <v>1328.8086850691304</v>
      </c>
      <c r="AD661">
        <v>0.45488721804511278</v>
      </c>
      <c r="AE661">
        <v>19.717509955949158</v>
      </c>
    </row>
    <row r="662" spans="1:31" x14ac:dyDescent="0.25">
      <c r="A662">
        <v>2025</v>
      </c>
      <c r="B662" t="s">
        <v>103</v>
      </c>
      <c r="C662" t="s">
        <v>29</v>
      </c>
      <c r="D662" s="70" t="s">
        <v>25</v>
      </c>
      <c r="E662">
        <v>8</v>
      </c>
      <c r="F662">
        <v>12</v>
      </c>
      <c r="G662">
        <v>4</v>
      </c>
      <c r="H662">
        <v>803</v>
      </c>
      <c r="I662" s="23">
        <v>45947</v>
      </c>
      <c r="J662">
        <v>289</v>
      </c>
      <c r="K662">
        <v>136</v>
      </c>
      <c r="L662" t="s">
        <v>26</v>
      </c>
      <c r="M662">
        <v>37000</v>
      </c>
      <c r="N662">
        <v>161.5</v>
      </c>
      <c r="O662">
        <f t="shared" si="13"/>
        <v>0.1615</v>
      </c>
      <c r="Q662">
        <v>0.34899999999999998</v>
      </c>
      <c r="R662">
        <v>3818.3807439824946</v>
      </c>
      <c r="S662">
        <v>1</v>
      </c>
      <c r="AA662">
        <f t="shared" si="16"/>
        <v>1766.9584245076585</v>
      </c>
      <c r="AB662">
        <f t="shared" si="17"/>
        <v>1766.9584245076585</v>
      </c>
      <c r="AC662">
        <v>1413.0584606902255</v>
      </c>
      <c r="AD662">
        <v>0.46275071633237824</v>
      </c>
      <c r="AE662">
        <v>20.967649128172432</v>
      </c>
    </row>
    <row r="663" spans="1:31" x14ac:dyDescent="0.25">
      <c r="A663">
        <v>2025</v>
      </c>
      <c r="B663" t="s">
        <v>103</v>
      </c>
      <c r="C663" t="s">
        <v>32</v>
      </c>
      <c r="D663" s="70" t="s">
        <v>25</v>
      </c>
      <c r="E663">
        <v>8</v>
      </c>
      <c r="F663">
        <v>13</v>
      </c>
      <c r="G663">
        <v>4</v>
      </c>
      <c r="H663">
        <v>804</v>
      </c>
      <c r="I663" s="23">
        <v>45953</v>
      </c>
      <c r="J663">
        <v>295</v>
      </c>
      <c r="K663">
        <v>142</v>
      </c>
      <c r="L663" t="s">
        <v>26</v>
      </c>
      <c r="M663">
        <v>37000</v>
      </c>
      <c r="N663">
        <v>137.6</v>
      </c>
      <c r="O663">
        <f t="shared" si="13"/>
        <v>0.1376</v>
      </c>
      <c r="Q663">
        <v>0.311</v>
      </c>
      <c r="R663">
        <v>3402.6258205689273</v>
      </c>
      <c r="S663">
        <v>1</v>
      </c>
      <c r="AA663">
        <f t="shared" si="16"/>
        <v>1505.4704595185995</v>
      </c>
      <c r="AB663">
        <f t="shared" si="17"/>
        <v>1505.4704595185995</v>
      </c>
      <c r="AC663">
        <v>1445.3708504260717</v>
      </c>
      <c r="AD663">
        <v>0.44244372990353698</v>
      </c>
      <c r="AE663">
        <v>21.44711609243593</v>
      </c>
    </row>
    <row r="664" spans="1:31" x14ac:dyDescent="0.25">
      <c r="A664">
        <v>2025</v>
      </c>
      <c r="B664" t="s">
        <v>103</v>
      </c>
      <c r="C664" t="s">
        <v>28</v>
      </c>
      <c r="D664" s="70" t="s">
        <v>25</v>
      </c>
      <c r="E664">
        <v>8</v>
      </c>
      <c r="F664">
        <v>14</v>
      </c>
      <c r="G664">
        <v>4</v>
      </c>
      <c r="H664">
        <v>805</v>
      </c>
      <c r="I664" s="23">
        <v>45953</v>
      </c>
      <c r="J664">
        <v>295</v>
      </c>
      <c r="K664">
        <v>142</v>
      </c>
      <c r="L664" t="s">
        <v>26</v>
      </c>
      <c r="M664">
        <v>37000</v>
      </c>
      <c r="N664">
        <v>145.30000000000001</v>
      </c>
      <c r="O664">
        <f t="shared" si="13"/>
        <v>0.14530000000000001</v>
      </c>
      <c r="Q664">
        <v>0.312</v>
      </c>
      <c r="R664">
        <v>3413.5667396061267</v>
      </c>
      <c r="S664">
        <v>1</v>
      </c>
      <c r="AA664">
        <f t="shared" si="16"/>
        <v>1589.7155361050329</v>
      </c>
      <c r="AB664">
        <f t="shared" si="17"/>
        <v>1589.7155361050329</v>
      </c>
      <c r="AC664">
        <v>1499.5011191534215</v>
      </c>
      <c r="AD664">
        <v>0.46570512820512822</v>
      </c>
      <c r="AE664">
        <v>22.250327363209795</v>
      </c>
    </row>
    <row r="665" spans="1:31" x14ac:dyDescent="0.25">
      <c r="A665">
        <v>2025</v>
      </c>
      <c r="B665" t="s">
        <v>103</v>
      </c>
      <c r="C665" t="s">
        <v>27</v>
      </c>
      <c r="D665" s="70" t="s">
        <v>25</v>
      </c>
      <c r="E665">
        <v>8</v>
      </c>
      <c r="F665">
        <v>15</v>
      </c>
      <c r="G665">
        <v>4</v>
      </c>
      <c r="H665">
        <v>806</v>
      </c>
      <c r="I665" s="23">
        <v>45947</v>
      </c>
      <c r="J665">
        <v>289</v>
      </c>
      <c r="K665">
        <v>136</v>
      </c>
      <c r="L665" t="s">
        <v>26</v>
      </c>
      <c r="M665">
        <v>37000</v>
      </c>
      <c r="N665">
        <v>178.9</v>
      </c>
      <c r="O665">
        <f t="shared" si="13"/>
        <v>0.1789</v>
      </c>
      <c r="Q665">
        <v>0.38700000000000001</v>
      </c>
      <c r="R665">
        <v>4234.1356673960609</v>
      </c>
      <c r="S665">
        <v>1</v>
      </c>
      <c r="AA665">
        <f t="shared" si="16"/>
        <v>1957.3304157549233</v>
      </c>
      <c r="AB665">
        <f t="shared" si="17"/>
        <v>1957.3304157549233</v>
      </c>
      <c r="AC665">
        <v>1479.8369643818394</v>
      </c>
      <c r="AD665">
        <v>0.46227390180878553</v>
      </c>
      <c r="AE665">
        <v>21.958541064820398</v>
      </c>
    </row>
    <row r="666" spans="1:31" x14ac:dyDescent="0.25">
      <c r="A666">
        <v>2025</v>
      </c>
      <c r="B666" t="s">
        <v>103</v>
      </c>
      <c r="C666" t="s">
        <v>30</v>
      </c>
      <c r="D666" s="70" t="s">
        <v>25</v>
      </c>
      <c r="E666">
        <v>8</v>
      </c>
      <c r="F666">
        <v>16</v>
      </c>
      <c r="G666">
        <v>4</v>
      </c>
      <c r="H666">
        <v>807</v>
      </c>
      <c r="I666" s="23">
        <v>45947</v>
      </c>
      <c r="J666">
        <v>289</v>
      </c>
      <c r="K666">
        <v>136</v>
      </c>
      <c r="L666" t="s">
        <v>26</v>
      </c>
      <c r="M666">
        <v>37000</v>
      </c>
      <c r="N666">
        <v>225</v>
      </c>
      <c r="O666">
        <f t="shared" ref="O666:O697" si="18">+N666/1000</f>
        <v>0.22500000000000001</v>
      </c>
      <c r="Q666">
        <v>0.40899999999999997</v>
      </c>
      <c r="R666">
        <v>4474.8358862144414</v>
      </c>
      <c r="S666">
        <v>1</v>
      </c>
      <c r="AA666">
        <f t="shared" si="16"/>
        <v>2461.7067833698029</v>
      </c>
      <c r="AB666">
        <f t="shared" si="17"/>
        <v>2461.7067833698029</v>
      </c>
      <c r="AC666">
        <v>1415.6886148133415</v>
      </c>
      <c r="AD666">
        <v>0.55012224938875309</v>
      </c>
      <c r="AE666">
        <v>21.00667663505957</v>
      </c>
    </row>
    <row r="667" spans="1:31" x14ac:dyDescent="0.25">
      <c r="A667">
        <v>2025</v>
      </c>
      <c r="B667" t="s">
        <v>103</v>
      </c>
      <c r="C667" t="s">
        <v>31</v>
      </c>
      <c r="D667" s="70" t="s">
        <v>25</v>
      </c>
      <c r="E667">
        <v>8</v>
      </c>
      <c r="F667">
        <v>17</v>
      </c>
      <c r="G667">
        <v>4</v>
      </c>
      <c r="H667">
        <v>808</v>
      </c>
      <c r="I667" s="23">
        <v>45953</v>
      </c>
      <c r="J667">
        <v>295</v>
      </c>
      <c r="K667">
        <v>142</v>
      </c>
      <c r="L667" t="s">
        <v>26</v>
      </c>
      <c r="M667">
        <v>37000</v>
      </c>
      <c r="N667">
        <v>117.19999999999999</v>
      </c>
      <c r="O667">
        <f t="shared" si="18"/>
        <v>0.11719999999999998</v>
      </c>
      <c r="Q667">
        <v>0.216</v>
      </c>
      <c r="R667">
        <v>2363.2385120350109</v>
      </c>
      <c r="S667">
        <v>1</v>
      </c>
      <c r="AA667">
        <f t="shared" si="16"/>
        <v>1282.2757111597371</v>
      </c>
      <c r="AB667">
        <f t="shared" si="17"/>
        <v>1282.2757111597371</v>
      </c>
      <c r="AC667">
        <v>1465.7692293635362</v>
      </c>
      <c r="AD667">
        <v>0.54259259259259252</v>
      </c>
      <c r="AE667">
        <v>21.749797166321112</v>
      </c>
    </row>
  </sheetData>
  <autoFilter ref="A1:AG667" xr:uid="{ED547CF1-7D94-4AA0-9AF4-88EA1153C1A8}">
    <filterColumn colId="1">
      <filters>
        <filter val="final"/>
      </filters>
    </filterColumn>
    <filterColumn colId="11">
      <filters>
        <filter val="sarec"/>
      </filters>
    </filterColumn>
    <sortState xmlns:xlrd2="http://schemas.microsoft.com/office/spreadsheetml/2017/richdata2" ref="A50:AG667">
      <sortCondition ref="A1:A667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1E1A-5E5F-4539-B63A-109B36B4E6CE}">
  <dimension ref="A1:I45"/>
  <sheetViews>
    <sheetView workbookViewId="0">
      <selection activeCell="A2" sqref="A2:I45"/>
    </sheetView>
  </sheetViews>
  <sheetFormatPr defaultRowHeight="15" x14ac:dyDescent="0.25"/>
  <cols>
    <col min="3" max="3" width="13.7109375" bestFit="1" customWidth="1"/>
  </cols>
  <sheetData>
    <row r="1" spans="1:9" x14ac:dyDescent="0.25">
      <c r="A1" t="s">
        <v>94</v>
      </c>
      <c r="B1" t="s">
        <v>0</v>
      </c>
      <c r="C1" s="59" t="s">
        <v>1</v>
      </c>
      <c r="D1" s="70" t="s">
        <v>2</v>
      </c>
      <c r="E1" t="s">
        <v>3</v>
      </c>
      <c r="F1" t="s">
        <v>163</v>
      </c>
      <c r="G1" t="s">
        <v>164</v>
      </c>
      <c r="H1" t="s">
        <v>4</v>
      </c>
      <c r="I1" t="s">
        <v>161</v>
      </c>
    </row>
    <row r="2" spans="1:9" x14ac:dyDescent="0.25">
      <c r="D2" s="70"/>
    </row>
    <row r="3" spans="1:9" x14ac:dyDescent="0.25">
      <c r="D3" s="70"/>
    </row>
    <row r="4" spans="1:9" x14ac:dyDescent="0.25">
      <c r="D4" s="70"/>
    </row>
    <row r="5" spans="1:9" x14ac:dyDescent="0.25">
      <c r="D5" s="70"/>
    </row>
    <row r="6" spans="1:9" x14ac:dyDescent="0.25">
      <c r="D6" s="70"/>
    </row>
    <row r="7" spans="1:9" x14ac:dyDescent="0.25">
      <c r="D7" s="70"/>
    </row>
    <row r="8" spans="1:9" x14ac:dyDescent="0.25">
      <c r="D8" s="70"/>
    </row>
    <row r="9" spans="1:9" x14ac:dyDescent="0.25">
      <c r="D9" s="70"/>
    </row>
    <row r="10" spans="1:9" x14ac:dyDescent="0.25">
      <c r="D10" s="70"/>
    </row>
    <row r="11" spans="1:9" x14ac:dyDescent="0.25">
      <c r="D11" s="70"/>
    </row>
    <row r="12" spans="1:9" x14ac:dyDescent="0.25">
      <c r="D12" s="70"/>
    </row>
    <row r="13" spans="1:9" x14ac:dyDescent="0.25">
      <c r="D13" s="70"/>
    </row>
    <row r="14" spans="1:9" x14ac:dyDescent="0.25">
      <c r="D14" s="70"/>
    </row>
    <row r="15" spans="1:9" x14ac:dyDescent="0.25">
      <c r="D15" s="70"/>
    </row>
    <row r="16" spans="1:9" x14ac:dyDescent="0.25">
      <c r="D16" s="70"/>
    </row>
    <row r="17" spans="1:9" x14ac:dyDescent="0.25">
      <c r="A17" s="49"/>
      <c r="B17" s="49"/>
      <c r="C17" s="49"/>
      <c r="D17" s="77"/>
      <c r="E17" s="49"/>
      <c r="F17" s="49"/>
      <c r="G17" s="49"/>
      <c r="H17" s="49"/>
      <c r="I17" s="49"/>
    </row>
    <row r="18" spans="1:9" x14ac:dyDescent="0.25">
      <c r="D18" s="70"/>
    </row>
    <row r="19" spans="1:9" x14ac:dyDescent="0.25">
      <c r="D19" s="70"/>
    </row>
    <row r="20" spans="1:9" x14ac:dyDescent="0.25">
      <c r="D20" s="70"/>
    </row>
    <row r="21" spans="1:9" x14ac:dyDescent="0.25">
      <c r="D21" s="70"/>
    </row>
    <row r="22" spans="1:9" x14ac:dyDescent="0.25">
      <c r="D22" s="70"/>
    </row>
    <row r="23" spans="1:9" x14ac:dyDescent="0.25">
      <c r="D23" s="70"/>
    </row>
    <row r="24" spans="1:9" x14ac:dyDescent="0.25">
      <c r="D24" s="70"/>
    </row>
    <row r="25" spans="1:9" x14ac:dyDescent="0.25">
      <c r="D25" s="70"/>
    </row>
    <row r="26" spans="1:9" x14ac:dyDescent="0.25">
      <c r="D26" s="70"/>
    </row>
    <row r="27" spans="1:9" x14ac:dyDescent="0.25">
      <c r="D27" s="70"/>
    </row>
    <row r="28" spans="1:9" x14ac:dyDescent="0.25">
      <c r="D28" s="70"/>
    </row>
    <row r="29" spans="1:9" x14ac:dyDescent="0.25">
      <c r="D29" s="70"/>
    </row>
    <row r="30" spans="1:9" x14ac:dyDescent="0.25">
      <c r="D30" s="70"/>
    </row>
    <row r="31" spans="1:9" x14ac:dyDescent="0.25">
      <c r="D31" s="70"/>
    </row>
    <row r="32" spans="1:9" x14ac:dyDescent="0.25">
      <c r="D32" s="70"/>
    </row>
    <row r="33" spans="4:4" x14ac:dyDescent="0.25">
      <c r="D33" s="70"/>
    </row>
    <row r="34" spans="4:4" x14ac:dyDescent="0.25">
      <c r="D34" s="70"/>
    </row>
    <row r="35" spans="4:4" x14ac:dyDescent="0.25">
      <c r="D35" s="70"/>
    </row>
    <row r="36" spans="4:4" x14ac:dyDescent="0.25">
      <c r="D36" s="70"/>
    </row>
    <row r="37" spans="4:4" x14ac:dyDescent="0.25">
      <c r="D37" s="70"/>
    </row>
    <row r="38" spans="4:4" x14ac:dyDescent="0.25">
      <c r="D38" s="70"/>
    </row>
    <row r="39" spans="4:4" x14ac:dyDescent="0.25">
      <c r="D39" s="70"/>
    </row>
    <row r="40" spans="4:4" x14ac:dyDescent="0.25">
      <c r="D40" s="70"/>
    </row>
    <row r="41" spans="4:4" x14ac:dyDescent="0.25">
      <c r="D41" s="70"/>
    </row>
    <row r="42" spans="4:4" x14ac:dyDescent="0.25">
      <c r="D42" s="70"/>
    </row>
    <row r="43" spans="4:4" x14ac:dyDescent="0.25">
      <c r="D43" s="70"/>
    </row>
    <row r="44" spans="4:4" x14ac:dyDescent="0.25">
      <c r="D44" s="70"/>
    </row>
    <row r="45" spans="4:4" x14ac:dyDescent="0.25">
      <c r="D45" s="70"/>
    </row>
  </sheetData>
  <autoFilter ref="A1:H1" xr:uid="{8F6D1E1A-5E5F-4539-B63A-109B36B4E6CE}">
    <sortState xmlns:xlrd2="http://schemas.microsoft.com/office/spreadsheetml/2017/richdata2" ref="A2:H45">
      <sortCondition ref="C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6FD6-33DF-4AD5-A9C2-03DEDC4926B7}">
  <sheetPr filterMode="1"/>
  <dimension ref="A1:O667"/>
  <sheetViews>
    <sheetView zoomScale="110" zoomScaleNormal="110" workbookViewId="0">
      <pane ySplit="1" topLeftCell="A314" activePane="bottomLeft" state="frozen"/>
      <selection pane="bottomLeft" activeCell="J370" sqref="J370:L370"/>
    </sheetView>
  </sheetViews>
  <sheetFormatPr defaultRowHeight="15" x14ac:dyDescent="0.25"/>
  <cols>
    <col min="3" max="3" width="14" style="59" bestFit="1" customWidth="1"/>
    <col min="4" max="4" width="9.140625" style="70"/>
    <col min="6" max="6" width="14" customWidth="1"/>
    <col min="7" max="7" width="10.7109375" bestFit="1" customWidth="1"/>
    <col min="12" max="12" width="11.28515625" bestFit="1" customWidth="1"/>
  </cols>
  <sheetData>
    <row r="1" spans="1:15" x14ac:dyDescent="0.25">
      <c r="A1" t="s">
        <v>94</v>
      </c>
      <c r="B1" t="s">
        <v>0</v>
      </c>
      <c r="C1" s="59" t="s">
        <v>1</v>
      </c>
      <c r="D1" s="70" t="s">
        <v>2</v>
      </c>
      <c r="E1" t="s">
        <v>7</v>
      </c>
      <c r="F1" t="s">
        <v>95</v>
      </c>
      <c r="J1" t="s">
        <v>94</v>
      </c>
      <c r="K1" t="s">
        <v>0</v>
      </c>
      <c r="L1" s="59" t="s">
        <v>1</v>
      </c>
      <c r="M1" s="70" t="s">
        <v>2</v>
      </c>
      <c r="N1" t="s">
        <v>7</v>
      </c>
      <c r="O1" t="s">
        <v>95</v>
      </c>
    </row>
    <row r="2" spans="1:15" hidden="1" x14ac:dyDescent="0.25">
      <c r="A2">
        <v>2024</v>
      </c>
      <c r="B2">
        <v>1</v>
      </c>
      <c r="C2" s="59" t="s">
        <v>31</v>
      </c>
      <c r="D2" s="56" t="s">
        <v>38</v>
      </c>
      <c r="E2" t="s">
        <v>97</v>
      </c>
    </row>
    <row r="3" spans="1:15" hidden="1" x14ac:dyDescent="0.25">
      <c r="A3">
        <v>2024</v>
      </c>
      <c r="B3">
        <v>1</v>
      </c>
      <c r="C3" s="59" t="s">
        <v>28</v>
      </c>
      <c r="D3" s="56" t="s">
        <v>38</v>
      </c>
      <c r="E3" t="s">
        <v>97</v>
      </c>
    </row>
    <row r="4" spans="1:15" hidden="1" x14ac:dyDescent="0.25">
      <c r="A4">
        <v>2024</v>
      </c>
      <c r="B4">
        <v>1</v>
      </c>
      <c r="C4" s="59" t="s">
        <v>30</v>
      </c>
      <c r="D4" s="56" t="s">
        <v>38</v>
      </c>
      <c r="E4" t="s">
        <v>97</v>
      </c>
    </row>
    <row r="5" spans="1:15" hidden="1" x14ac:dyDescent="0.25">
      <c r="A5">
        <v>2024</v>
      </c>
      <c r="B5">
        <v>1</v>
      </c>
      <c r="C5" s="59" t="s">
        <v>33</v>
      </c>
      <c r="D5" s="56" t="s">
        <v>38</v>
      </c>
      <c r="E5" t="s">
        <v>97</v>
      </c>
    </row>
    <row r="6" spans="1:15" hidden="1" x14ac:dyDescent="0.25">
      <c r="A6">
        <v>2024</v>
      </c>
      <c r="B6">
        <v>1</v>
      </c>
      <c r="C6" s="59" t="s">
        <v>24</v>
      </c>
      <c r="D6" s="56" t="s">
        <v>38</v>
      </c>
      <c r="E6" t="s">
        <v>97</v>
      </c>
      <c r="G6" s="55">
        <v>142</v>
      </c>
    </row>
    <row r="7" spans="1:15" hidden="1" x14ac:dyDescent="0.25">
      <c r="A7">
        <v>2024</v>
      </c>
      <c r="B7">
        <v>1</v>
      </c>
      <c r="C7" s="59" t="s">
        <v>32</v>
      </c>
      <c r="D7" s="56" t="s">
        <v>38</v>
      </c>
      <c r="E7" t="s">
        <v>97</v>
      </c>
    </row>
    <row r="8" spans="1:15" hidden="1" x14ac:dyDescent="0.25">
      <c r="A8">
        <v>2024</v>
      </c>
      <c r="B8">
        <v>1</v>
      </c>
      <c r="C8" s="59" t="s">
        <v>27</v>
      </c>
      <c r="D8" s="56" t="s">
        <v>38</v>
      </c>
      <c r="E8" t="s">
        <v>97</v>
      </c>
    </row>
    <row r="9" spans="1:15" hidden="1" x14ac:dyDescent="0.25">
      <c r="A9">
        <v>2024</v>
      </c>
      <c r="B9">
        <v>1</v>
      </c>
      <c r="C9" s="59" t="s">
        <v>29</v>
      </c>
      <c r="D9" s="56" t="s">
        <v>38</v>
      </c>
      <c r="E9" t="s">
        <v>97</v>
      </c>
    </row>
    <row r="10" spans="1:15" hidden="1" x14ac:dyDescent="0.25">
      <c r="A10">
        <v>2024</v>
      </c>
      <c r="B10">
        <v>1</v>
      </c>
      <c r="C10" s="59" t="s">
        <v>30</v>
      </c>
      <c r="D10" s="56" t="s">
        <v>38</v>
      </c>
      <c r="E10" t="s">
        <v>97</v>
      </c>
    </row>
    <row r="11" spans="1:15" hidden="1" x14ac:dyDescent="0.25">
      <c r="A11">
        <v>2024</v>
      </c>
      <c r="B11">
        <v>1</v>
      </c>
      <c r="C11" s="59" t="s">
        <v>28</v>
      </c>
      <c r="D11" s="56" t="s">
        <v>38</v>
      </c>
      <c r="E11" t="s">
        <v>97</v>
      </c>
    </row>
    <row r="12" spans="1:15" hidden="1" x14ac:dyDescent="0.25">
      <c r="A12">
        <v>2024</v>
      </c>
      <c r="B12">
        <v>1</v>
      </c>
      <c r="C12" s="59" t="s">
        <v>31</v>
      </c>
      <c r="D12" s="56" t="s">
        <v>38</v>
      </c>
      <c r="E12" t="s">
        <v>97</v>
      </c>
    </row>
    <row r="13" spans="1:15" hidden="1" x14ac:dyDescent="0.25">
      <c r="A13">
        <v>2024</v>
      </c>
      <c r="B13">
        <v>1</v>
      </c>
      <c r="C13" s="59" t="s">
        <v>24</v>
      </c>
      <c r="D13" s="56" t="s">
        <v>38</v>
      </c>
      <c r="E13" t="s">
        <v>97</v>
      </c>
    </row>
    <row r="14" spans="1:15" hidden="1" x14ac:dyDescent="0.25">
      <c r="A14">
        <v>2024</v>
      </c>
      <c r="B14">
        <v>1</v>
      </c>
      <c r="C14" s="59" t="s">
        <v>33</v>
      </c>
      <c r="D14" s="56" t="s">
        <v>38</v>
      </c>
      <c r="E14" t="s">
        <v>97</v>
      </c>
    </row>
    <row r="15" spans="1:15" hidden="1" x14ac:dyDescent="0.25">
      <c r="A15">
        <v>2024</v>
      </c>
      <c r="B15">
        <v>1</v>
      </c>
      <c r="C15" s="59" t="s">
        <v>29</v>
      </c>
      <c r="D15" s="56" t="s">
        <v>38</v>
      </c>
      <c r="E15" t="s">
        <v>97</v>
      </c>
    </row>
    <row r="16" spans="1:15" hidden="1" x14ac:dyDescent="0.25">
      <c r="A16">
        <v>2024</v>
      </c>
      <c r="B16">
        <v>1</v>
      </c>
      <c r="C16" s="59" t="s">
        <v>32</v>
      </c>
      <c r="D16" s="56" t="s">
        <v>38</v>
      </c>
      <c r="E16" t="s">
        <v>97</v>
      </c>
    </row>
    <row r="17" spans="1:6" hidden="1" x14ac:dyDescent="0.25">
      <c r="A17">
        <v>2024</v>
      </c>
      <c r="B17">
        <v>1</v>
      </c>
      <c r="C17" s="59" t="s">
        <v>27</v>
      </c>
      <c r="D17" s="56" t="s">
        <v>38</v>
      </c>
      <c r="E17" t="s">
        <v>97</v>
      </c>
    </row>
    <row r="18" spans="1:6" hidden="1" x14ac:dyDescent="0.25">
      <c r="A18">
        <v>2024</v>
      </c>
      <c r="B18">
        <v>1</v>
      </c>
      <c r="C18" s="59" t="s">
        <v>28</v>
      </c>
      <c r="D18" s="56" t="s">
        <v>38</v>
      </c>
      <c r="E18" t="s">
        <v>97</v>
      </c>
    </row>
    <row r="19" spans="1:6" hidden="1" x14ac:dyDescent="0.25">
      <c r="A19">
        <v>2024</v>
      </c>
      <c r="B19">
        <v>1</v>
      </c>
      <c r="C19" s="59" t="s">
        <v>33</v>
      </c>
      <c r="D19" s="56" t="s">
        <v>38</v>
      </c>
      <c r="E19" t="s">
        <v>97</v>
      </c>
    </row>
    <row r="20" spans="1:6" hidden="1" x14ac:dyDescent="0.25">
      <c r="A20">
        <v>2024</v>
      </c>
      <c r="B20">
        <v>1</v>
      </c>
      <c r="C20" s="59" t="s">
        <v>30</v>
      </c>
      <c r="D20" s="56" t="s">
        <v>38</v>
      </c>
      <c r="E20" t="s">
        <v>97</v>
      </c>
    </row>
    <row r="21" spans="1:6" hidden="1" x14ac:dyDescent="0.25">
      <c r="A21">
        <v>2024</v>
      </c>
      <c r="B21">
        <v>1</v>
      </c>
      <c r="C21" s="59" t="s">
        <v>27</v>
      </c>
      <c r="D21" s="56" t="s">
        <v>38</v>
      </c>
      <c r="E21" t="s">
        <v>97</v>
      </c>
    </row>
    <row r="22" spans="1:6" hidden="1" x14ac:dyDescent="0.25">
      <c r="A22">
        <v>2024</v>
      </c>
      <c r="B22">
        <v>1</v>
      </c>
      <c r="C22" s="59" t="s">
        <v>31</v>
      </c>
      <c r="D22" s="56" t="s">
        <v>38</v>
      </c>
      <c r="E22" t="s">
        <v>97</v>
      </c>
    </row>
    <row r="23" spans="1:6" hidden="1" x14ac:dyDescent="0.25">
      <c r="A23">
        <v>2024</v>
      </c>
      <c r="B23">
        <v>1</v>
      </c>
      <c r="C23" s="59" t="s">
        <v>32</v>
      </c>
      <c r="D23" s="56" t="s">
        <v>38</v>
      </c>
      <c r="E23" t="s">
        <v>97</v>
      </c>
    </row>
    <row r="24" spans="1:6" hidden="1" x14ac:dyDescent="0.25">
      <c r="A24">
        <v>2024</v>
      </c>
      <c r="B24">
        <v>1</v>
      </c>
      <c r="C24" s="59" t="s">
        <v>24</v>
      </c>
      <c r="D24" s="56" t="s">
        <v>38</v>
      </c>
      <c r="E24" t="s">
        <v>97</v>
      </c>
    </row>
    <row r="25" spans="1:6" hidden="1" x14ac:dyDescent="0.25">
      <c r="A25">
        <v>2024</v>
      </c>
      <c r="B25">
        <v>1</v>
      </c>
      <c r="C25" s="59" t="s">
        <v>29</v>
      </c>
      <c r="D25" s="56" t="s">
        <v>38</v>
      </c>
      <c r="E25" t="s">
        <v>97</v>
      </c>
    </row>
    <row r="26" spans="1:6" hidden="1" x14ac:dyDescent="0.25">
      <c r="A26">
        <v>2024</v>
      </c>
      <c r="B26" s="19">
        <v>1</v>
      </c>
      <c r="C26" s="59" t="s">
        <v>32</v>
      </c>
      <c r="D26" s="56" t="s">
        <v>38</v>
      </c>
      <c r="E26" s="19" t="s">
        <v>107</v>
      </c>
      <c r="F26" s="19"/>
    </row>
    <row r="27" spans="1:6" hidden="1" x14ac:dyDescent="0.25">
      <c r="A27">
        <v>2024</v>
      </c>
      <c r="B27" s="19">
        <v>1</v>
      </c>
      <c r="C27" s="59" t="s">
        <v>24</v>
      </c>
      <c r="D27" s="56" t="s">
        <v>38</v>
      </c>
      <c r="E27" s="19" t="s">
        <v>107</v>
      </c>
      <c r="F27" s="19"/>
    </row>
    <row r="28" spans="1:6" hidden="1" x14ac:dyDescent="0.25">
      <c r="A28">
        <v>2024</v>
      </c>
      <c r="B28" s="19">
        <v>1</v>
      </c>
      <c r="C28" s="59" t="s">
        <v>31</v>
      </c>
      <c r="D28" s="56" t="s">
        <v>38</v>
      </c>
      <c r="E28" s="19" t="s">
        <v>107</v>
      </c>
      <c r="F28" s="19"/>
    </row>
    <row r="29" spans="1:6" hidden="1" x14ac:dyDescent="0.25">
      <c r="A29">
        <v>2024</v>
      </c>
      <c r="B29" s="19">
        <v>1</v>
      </c>
      <c r="C29" s="59" t="s">
        <v>30</v>
      </c>
      <c r="D29" s="56" t="s">
        <v>38</v>
      </c>
      <c r="E29" s="19" t="s">
        <v>107</v>
      </c>
      <c r="F29" s="19"/>
    </row>
    <row r="30" spans="1:6" hidden="1" x14ac:dyDescent="0.25">
      <c r="A30">
        <v>2024</v>
      </c>
      <c r="B30" s="19">
        <v>1</v>
      </c>
      <c r="C30" s="59" t="s">
        <v>33</v>
      </c>
      <c r="D30" s="56" t="s">
        <v>38</v>
      </c>
      <c r="E30" s="19" t="s">
        <v>107</v>
      </c>
      <c r="F30" s="19"/>
    </row>
    <row r="31" spans="1:6" hidden="1" x14ac:dyDescent="0.25">
      <c r="A31">
        <v>2024</v>
      </c>
      <c r="B31" s="19">
        <v>1</v>
      </c>
      <c r="C31" s="59" t="s">
        <v>28</v>
      </c>
      <c r="D31" s="56" t="s">
        <v>38</v>
      </c>
      <c r="E31" s="19" t="s">
        <v>107</v>
      </c>
      <c r="F31" s="19"/>
    </row>
    <row r="32" spans="1:6" hidden="1" x14ac:dyDescent="0.25">
      <c r="A32">
        <v>2024</v>
      </c>
      <c r="B32" s="19">
        <v>1</v>
      </c>
      <c r="C32" s="59" t="s">
        <v>27</v>
      </c>
      <c r="D32" s="56" t="s">
        <v>38</v>
      </c>
      <c r="E32" s="19" t="s">
        <v>107</v>
      </c>
      <c r="F32" s="19"/>
    </row>
    <row r="33" spans="1:6" hidden="1" x14ac:dyDescent="0.25">
      <c r="A33">
        <v>2024</v>
      </c>
      <c r="B33" s="19">
        <v>1</v>
      </c>
      <c r="C33" s="59" t="s">
        <v>29</v>
      </c>
      <c r="D33" s="56" t="s">
        <v>38</v>
      </c>
      <c r="E33" s="19" t="s">
        <v>107</v>
      </c>
      <c r="F33" s="19"/>
    </row>
    <row r="34" spans="1:6" hidden="1" x14ac:dyDescent="0.25">
      <c r="A34">
        <v>2024</v>
      </c>
      <c r="B34" s="19">
        <v>1</v>
      </c>
      <c r="C34" s="59" t="s">
        <v>24</v>
      </c>
      <c r="D34" s="56" t="s">
        <v>38</v>
      </c>
      <c r="E34" s="19" t="s">
        <v>107</v>
      </c>
      <c r="F34" s="19"/>
    </row>
    <row r="35" spans="1:6" hidden="1" x14ac:dyDescent="0.25">
      <c r="A35">
        <v>2024</v>
      </c>
      <c r="B35" s="19">
        <v>1</v>
      </c>
      <c r="C35" s="59" t="s">
        <v>27</v>
      </c>
      <c r="D35" s="56" t="s">
        <v>38</v>
      </c>
      <c r="E35" s="19" t="s">
        <v>107</v>
      </c>
      <c r="F35" s="19"/>
    </row>
    <row r="36" spans="1:6" hidden="1" x14ac:dyDescent="0.25">
      <c r="A36">
        <v>2024</v>
      </c>
      <c r="B36" s="19">
        <v>1</v>
      </c>
      <c r="C36" s="59" t="s">
        <v>31</v>
      </c>
      <c r="D36" s="56" t="s">
        <v>38</v>
      </c>
      <c r="E36" s="19" t="s">
        <v>107</v>
      </c>
      <c r="F36" s="19"/>
    </row>
    <row r="37" spans="1:6" hidden="1" x14ac:dyDescent="0.25">
      <c r="A37">
        <v>2024</v>
      </c>
      <c r="B37" s="19">
        <v>1</v>
      </c>
      <c r="C37" s="59" t="s">
        <v>28</v>
      </c>
      <c r="D37" s="56" t="s">
        <v>38</v>
      </c>
      <c r="E37" s="19" t="s">
        <v>107</v>
      </c>
      <c r="F37" s="19"/>
    </row>
    <row r="38" spans="1:6" hidden="1" x14ac:dyDescent="0.25">
      <c r="A38">
        <v>2024</v>
      </c>
      <c r="B38" s="19">
        <v>1</v>
      </c>
      <c r="C38" s="59" t="s">
        <v>32</v>
      </c>
      <c r="D38" s="56" t="s">
        <v>38</v>
      </c>
      <c r="E38" s="19" t="s">
        <v>107</v>
      </c>
      <c r="F38" s="19"/>
    </row>
    <row r="39" spans="1:6" hidden="1" x14ac:dyDescent="0.25">
      <c r="A39">
        <v>2024</v>
      </c>
      <c r="B39" s="19">
        <v>1</v>
      </c>
      <c r="C39" s="59" t="s">
        <v>33</v>
      </c>
      <c r="D39" s="56" t="s">
        <v>38</v>
      </c>
      <c r="E39" s="19" t="s">
        <v>107</v>
      </c>
      <c r="F39" s="19"/>
    </row>
    <row r="40" spans="1:6" hidden="1" x14ac:dyDescent="0.25">
      <c r="A40">
        <v>2024</v>
      </c>
      <c r="B40" s="19">
        <v>1</v>
      </c>
      <c r="C40" s="59" t="s">
        <v>30</v>
      </c>
      <c r="D40" s="56" t="s">
        <v>38</v>
      </c>
      <c r="E40" s="19" t="s">
        <v>107</v>
      </c>
      <c r="F40" s="19"/>
    </row>
    <row r="41" spans="1:6" hidden="1" x14ac:dyDescent="0.25">
      <c r="A41">
        <v>2024</v>
      </c>
      <c r="B41" s="19">
        <v>1</v>
      </c>
      <c r="C41" s="59" t="s">
        <v>29</v>
      </c>
      <c r="D41" s="56" t="s">
        <v>38</v>
      </c>
      <c r="E41" s="19" t="s">
        <v>107</v>
      </c>
      <c r="F41" s="19"/>
    </row>
    <row r="42" spans="1:6" hidden="1" x14ac:dyDescent="0.25">
      <c r="A42">
        <v>2024</v>
      </c>
      <c r="B42" s="19">
        <v>1</v>
      </c>
      <c r="C42" s="59" t="s">
        <v>24</v>
      </c>
      <c r="D42" s="56" t="s">
        <v>38</v>
      </c>
      <c r="E42" s="19" t="s">
        <v>107</v>
      </c>
      <c r="F42" s="19"/>
    </row>
    <row r="43" spans="1:6" hidden="1" x14ac:dyDescent="0.25">
      <c r="A43">
        <v>2024</v>
      </c>
      <c r="B43" s="19">
        <v>1</v>
      </c>
      <c r="C43" s="59" t="s">
        <v>27</v>
      </c>
      <c r="D43" s="56" t="s">
        <v>38</v>
      </c>
      <c r="E43" s="19" t="s">
        <v>107</v>
      </c>
      <c r="F43" s="19"/>
    </row>
    <row r="44" spans="1:6" hidden="1" x14ac:dyDescent="0.25">
      <c r="A44">
        <v>2024</v>
      </c>
      <c r="B44" s="19">
        <v>1</v>
      </c>
      <c r="C44" s="59" t="s">
        <v>32</v>
      </c>
      <c r="D44" s="56" t="s">
        <v>38</v>
      </c>
      <c r="E44" s="19" t="s">
        <v>107</v>
      </c>
      <c r="F44" s="19"/>
    </row>
    <row r="45" spans="1:6" hidden="1" x14ac:dyDescent="0.25">
      <c r="A45">
        <v>2024</v>
      </c>
      <c r="B45" s="19">
        <v>1</v>
      </c>
      <c r="C45" s="59" t="s">
        <v>28</v>
      </c>
      <c r="D45" s="56" t="s">
        <v>38</v>
      </c>
      <c r="E45" s="19" t="s">
        <v>107</v>
      </c>
      <c r="F45" s="19"/>
    </row>
    <row r="46" spans="1:6" hidden="1" x14ac:dyDescent="0.25">
      <c r="A46">
        <v>2024</v>
      </c>
      <c r="B46" s="19">
        <v>1</v>
      </c>
      <c r="C46" s="59" t="s">
        <v>33</v>
      </c>
      <c r="D46" s="56" t="s">
        <v>38</v>
      </c>
      <c r="E46" s="19" t="s">
        <v>107</v>
      </c>
      <c r="F46" s="19"/>
    </row>
    <row r="47" spans="1:6" hidden="1" x14ac:dyDescent="0.25">
      <c r="A47">
        <v>2024</v>
      </c>
      <c r="B47" s="19">
        <v>1</v>
      </c>
      <c r="C47" s="59" t="s">
        <v>30</v>
      </c>
      <c r="D47" s="56" t="s">
        <v>38</v>
      </c>
      <c r="E47" s="19" t="s">
        <v>107</v>
      </c>
      <c r="F47" s="19"/>
    </row>
    <row r="48" spans="1:6" hidden="1" x14ac:dyDescent="0.25">
      <c r="A48">
        <v>2024</v>
      </c>
      <c r="B48" s="19">
        <v>1</v>
      </c>
      <c r="C48" s="59" t="s">
        <v>29</v>
      </c>
      <c r="D48" s="56" t="s">
        <v>38</v>
      </c>
      <c r="E48" s="19" t="s">
        <v>107</v>
      </c>
      <c r="F48" s="19"/>
    </row>
    <row r="49" spans="1:6" hidden="1" x14ac:dyDescent="0.25">
      <c r="A49">
        <v>2024</v>
      </c>
      <c r="B49" s="19">
        <v>1</v>
      </c>
      <c r="C49" s="59" t="s">
        <v>31</v>
      </c>
      <c r="D49" s="56" t="s">
        <v>38</v>
      </c>
      <c r="E49" s="19" t="s">
        <v>107</v>
      </c>
      <c r="F49" s="19"/>
    </row>
    <row r="50" spans="1:6" hidden="1" x14ac:dyDescent="0.25">
      <c r="A50">
        <v>2024</v>
      </c>
      <c r="B50">
        <v>1</v>
      </c>
      <c r="C50" t="s">
        <v>24</v>
      </c>
      <c r="D50" t="s">
        <v>25</v>
      </c>
      <c r="E50" t="s">
        <v>26</v>
      </c>
    </row>
    <row r="51" spans="1:6" hidden="1" x14ac:dyDescent="0.25">
      <c r="A51">
        <v>2024</v>
      </c>
      <c r="B51">
        <v>1</v>
      </c>
      <c r="C51" t="s">
        <v>27</v>
      </c>
      <c r="D51" t="s">
        <v>25</v>
      </c>
      <c r="E51" t="s">
        <v>26</v>
      </c>
    </row>
    <row r="52" spans="1:6" hidden="1" x14ac:dyDescent="0.25">
      <c r="A52">
        <v>2024</v>
      </c>
      <c r="B52">
        <v>1</v>
      </c>
      <c r="C52" t="s">
        <v>28</v>
      </c>
      <c r="D52" t="s">
        <v>25</v>
      </c>
      <c r="E52" t="s">
        <v>26</v>
      </c>
    </row>
    <row r="53" spans="1:6" hidden="1" x14ac:dyDescent="0.25">
      <c r="A53">
        <v>2024</v>
      </c>
      <c r="B53">
        <v>1</v>
      </c>
      <c r="C53" t="s">
        <v>29</v>
      </c>
      <c r="D53" t="s">
        <v>25</v>
      </c>
      <c r="E53" t="s">
        <v>26</v>
      </c>
    </row>
    <row r="54" spans="1:6" hidden="1" x14ac:dyDescent="0.25">
      <c r="A54">
        <v>2024</v>
      </c>
      <c r="B54">
        <v>1</v>
      </c>
      <c r="C54" t="s">
        <v>30</v>
      </c>
      <c r="D54" t="s">
        <v>25</v>
      </c>
      <c r="E54" t="s">
        <v>26</v>
      </c>
    </row>
    <row r="55" spans="1:6" hidden="1" x14ac:dyDescent="0.25">
      <c r="A55">
        <v>2024</v>
      </c>
      <c r="B55">
        <v>1</v>
      </c>
      <c r="C55" t="s">
        <v>31</v>
      </c>
      <c r="D55" t="s">
        <v>25</v>
      </c>
      <c r="E55" t="s">
        <v>26</v>
      </c>
    </row>
    <row r="56" spans="1:6" hidden="1" x14ac:dyDescent="0.25">
      <c r="A56">
        <v>2024</v>
      </c>
      <c r="B56">
        <v>1</v>
      </c>
      <c r="C56" t="s">
        <v>32</v>
      </c>
      <c r="D56" t="s">
        <v>25</v>
      </c>
      <c r="E56" t="s">
        <v>26</v>
      </c>
    </row>
    <row r="57" spans="1:6" hidden="1" x14ac:dyDescent="0.25">
      <c r="A57">
        <v>2024</v>
      </c>
      <c r="B57">
        <v>1</v>
      </c>
      <c r="C57" t="s">
        <v>33</v>
      </c>
      <c r="D57" t="s">
        <v>25</v>
      </c>
      <c r="E57" t="s">
        <v>26</v>
      </c>
    </row>
    <row r="58" spans="1:6" hidden="1" x14ac:dyDescent="0.25">
      <c r="A58">
        <v>2024</v>
      </c>
      <c r="B58">
        <v>1</v>
      </c>
      <c r="C58" t="s">
        <v>34</v>
      </c>
      <c r="D58" t="s">
        <v>25</v>
      </c>
      <c r="E58" t="s">
        <v>26</v>
      </c>
    </row>
    <row r="59" spans="1:6" hidden="1" x14ac:dyDescent="0.25">
      <c r="A59">
        <v>2024</v>
      </c>
      <c r="B59">
        <v>1</v>
      </c>
      <c r="C59" t="s">
        <v>35</v>
      </c>
      <c r="D59" t="s">
        <v>25</v>
      </c>
      <c r="E59" t="s">
        <v>26</v>
      </c>
    </row>
    <row r="60" spans="1:6" hidden="1" x14ac:dyDescent="0.25">
      <c r="A60">
        <v>2024</v>
      </c>
      <c r="B60">
        <v>1</v>
      </c>
      <c r="C60" t="s">
        <v>36</v>
      </c>
      <c r="D60" t="s">
        <v>25</v>
      </c>
      <c r="E60" t="s">
        <v>26</v>
      </c>
    </row>
    <row r="61" spans="1:6" hidden="1" x14ac:dyDescent="0.25">
      <c r="A61">
        <v>2024</v>
      </c>
      <c r="B61">
        <v>1</v>
      </c>
      <c r="C61" t="s">
        <v>37</v>
      </c>
      <c r="D61" t="s">
        <v>25</v>
      </c>
      <c r="E61" t="s">
        <v>26</v>
      </c>
    </row>
    <row r="62" spans="1:6" hidden="1" x14ac:dyDescent="0.25">
      <c r="A62">
        <v>2024</v>
      </c>
      <c r="B62">
        <v>1</v>
      </c>
      <c r="C62" t="s">
        <v>35</v>
      </c>
      <c r="D62" t="s">
        <v>25</v>
      </c>
      <c r="E62" t="s">
        <v>26</v>
      </c>
    </row>
    <row r="63" spans="1:6" hidden="1" x14ac:dyDescent="0.25">
      <c r="A63">
        <v>2024</v>
      </c>
      <c r="B63">
        <v>1</v>
      </c>
      <c r="C63" t="s">
        <v>33</v>
      </c>
      <c r="D63" t="s">
        <v>25</v>
      </c>
      <c r="E63" t="s">
        <v>26</v>
      </c>
    </row>
    <row r="64" spans="1:6" hidden="1" x14ac:dyDescent="0.25">
      <c r="A64">
        <v>2024</v>
      </c>
      <c r="B64">
        <v>1</v>
      </c>
      <c r="C64" t="s">
        <v>34</v>
      </c>
      <c r="D64" t="s">
        <v>25</v>
      </c>
      <c r="E64" t="s">
        <v>26</v>
      </c>
    </row>
    <row r="65" spans="1:5" hidden="1" x14ac:dyDescent="0.25">
      <c r="A65">
        <v>2024</v>
      </c>
      <c r="B65">
        <v>1</v>
      </c>
      <c r="C65" t="s">
        <v>27</v>
      </c>
      <c r="D65" t="s">
        <v>25</v>
      </c>
      <c r="E65" t="s">
        <v>26</v>
      </c>
    </row>
    <row r="66" spans="1:5" hidden="1" x14ac:dyDescent="0.25">
      <c r="A66">
        <v>2024</v>
      </c>
      <c r="B66">
        <v>1</v>
      </c>
      <c r="C66" t="s">
        <v>32</v>
      </c>
      <c r="D66" t="s">
        <v>25</v>
      </c>
      <c r="E66" t="s">
        <v>26</v>
      </c>
    </row>
    <row r="67" spans="1:5" hidden="1" x14ac:dyDescent="0.25">
      <c r="A67">
        <v>2024</v>
      </c>
      <c r="B67">
        <v>1</v>
      </c>
      <c r="C67" t="s">
        <v>29</v>
      </c>
      <c r="D67" t="s">
        <v>25</v>
      </c>
      <c r="E67" t="s">
        <v>26</v>
      </c>
    </row>
    <row r="68" spans="1:5" hidden="1" x14ac:dyDescent="0.25">
      <c r="A68">
        <v>2024</v>
      </c>
      <c r="B68">
        <v>1</v>
      </c>
      <c r="C68" t="s">
        <v>30</v>
      </c>
      <c r="D68" t="s">
        <v>25</v>
      </c>
      <c r="E68" t="s">
        <v>26</v>
      </c>
    </row>
    <row r="69" spans="1:5" hidden="1" x14ac:dyDescent="0.25">
      <c r="A69">
        <v>2024</v>
      </c>
      <c r="B69">
        <v>1</v>
      </c>
      <c r="C69" t="s">
        <v>36</v>
      </c>
      <c r="D69" t="s">
        <v>25</v>
      </c>
      <c r="E69" t="s">
        <v>26</v>
      </c>
    </row>
    <row r="70" spans="1:5" hidden="1" x14ac:dyDescent="0.25">
      <c r="A70">
        <v>2024</v>
      </c>
      <c r="B70">
        <v>1</v>
      </c>
      <c r="C70" t="s">
        <v>24</v>
      </c>
      <c r="D70" t="s">
        <v>25</v>
      </c>
      <c r="E70" t="s">
        <v>26</v>
      </c>
    </row>
    <row r="71" spans="1:5" hidden="1" x14ac:dyDescent="0.25">
      <c r="A71">
        <v>2024</v>
      </c>
      <c r="B71">
        <v>1</v>
      </c>
      <c r="C71" t="s">
        <v>37</v>
      </c>
      <c r="D71" t="s">
        <v>25</v>
      </c>
      <c r="E71" t="s">
        <v>26</v>
      </c>
    </row>
    <row r="72" spans="1:5" hidden="1" x14ac:dyDescent="0.25">
      <c r="A72">
        <v>2024</v>
      </c>
      <c r="B72">
        <v>1</v>
      </c>
      <c r="C72" t="s">
        <v>31</v>
      </c>
      <c r="D72" t="s">
        <v>25</v>
      </c>
      <c r="E72" t="s">
        <v>26</v>
      </c>
    </row>
    <row r="73" spans="1:5" hidden="1" x14ac:dyDescent="0.25">
      <c r="A73">
        <v>2024</v>
      </c>
      <c r="B73">
        <v>1</v>
      </c>
      <c r="C73" t="s">
        <v>28</v>
      </c>
      <c r="D73" t="s">
        <v>25</v>
      </c>
      <c r="E73" t="s">
        <v>26</v>
      </c>
    </row>
    <row r="74" spans="1:5" hidden="1" x14ac:dyDescent="0.25">
      <c r="A74">
        <v>2024</v>
      </c>
      <c r="B74">
        <v>1</v>
      </c>
      <c r="C74" t="s">
        <v>27</v>
      </c>
      <c r="D74" t="s">
        <v>25</v>
      </c>
      <c r="E74" t="s">
        <v>26</v>
      </c>
    </row>
    <row r="75" spans="1:5" hidden="1" x14ac:dyDescent="0.25">
      <c r="A75">
        <v>2024</v>
      </c>
      <c r="B75">
        <v>1</v>
      </c>
      <c r="C75" t="s">
        <v>24</v>
      </c>
      <c r="D75" t="s">
        <v>25</v>
      </c>
      <c r="E75" t="s">
        <v>26</v>
      </c>
    </row>
    <row r="76" spans="1:5" hidden="1" x14ac:dyDescent="0.25">
      <c r="A76">
        <v>2024</v>
      </c>
      <c r="B76">
        <v>1</v>
      </c>
      <c r="C76" t="s">
        <v>33</v>
      </c>
      <c r="D76" t="s">
        <v>25</v>
      </c>
      <c r="E76" t="s">
        <v>26</v>
      </c>
    </row>
    <row r="77" spans="1:5" hidden="1" x14ac:dyDescent="0.25">
      <c r="A77">
        <v>2024</v>
      </c>
      <c r="B77">
        <v>1</v>
      </c>
      <c r="C77" t="s">
        <v>34</v>
      </c>
      <c r="D77" t="s">
        <v>25</v>
      </c>
      <c r="E77" t="s">
        <v>26</v>
      </c>
    </row>
    <row r="78" spans="1:5" hidden="1" x14ac:dyDescent="0.25">
      <c r="A78">
        <v>2024</v>
      </c>
      <c r="B78">
        <v>1</v>
      </c>
      <c r="C78" t="s">
        <v>37</v>
      </c>
      <c r="D78" t="s">
        <v>25</v>
      </c>
      <c r="E78" t="s">
        <v>26</v>
      </c>
    </row>
    <row r="79" spans="1:5" hidden="1" x14ac:dyDescent="0.25">
      <c r="A79">
        <v>2024</v>
      </c>
      <c r="B79">
        <v>1</v>
      </c>
      <c r="C79" t="s">
        <v>36</v>
      </c>
      <c r="D79" t="s">
        <v>25</v>
      </c>
      <c r="E79" t="s">
        <v>26</v>
      </c>
    </row>
    <row r="80" spans="1:5" hidden="1" x14ac:dyDescent="0.25">
      <c r="A80">
        <v>2024</v>
      </c>
      <c r="B80">
        <v>1</v>
      </c>
      <c r="C80" t="s">
        <v>35</v>
      </c>
      <c r="D80" t="s">
        <v>25</v>
      </c>
      <c r="E80" t="s">
        <v>26</v>
      </c>
    </row>
    <row r="81" spans="1:5" hidden="1" x14ac:dyDescent="0.25">
      <c r="A81">
        <v>2024</v>
      </c>
      <c r="B81">
        <v>1</v>
      </c>
      <c r="C81" t="s">
        <v>28</v>
      </c>
      <c r="D81" t="s">
        <v>25</v>
      </c>
      <c r="E81" t="s">
        <v>26</v>
      </c>
    </row>
    <row r="82" spans="1:5" hidden="1" x14ac:dyDescent="0.25">
      <c r="A82">
        <v>2024</v>
      </c>
      <c r="B82">
        <v>1</v>
      </c>
      <c r="C82" t="s">
        <v>29</v>
      </c>
      <c r="D82" t="s">
        <v>25</v>
      </c>
      <c r="E82" t="s">
        <v>26</v>
      </c>
    </row>
    <row r="83" spans="1:5" hidden="1" x14ac:dyDescent="0.25">
      <c r="A83">
        <v>2024</v>
      </c>
      <c r="B83">
        <v>1</v>
      </c>
      <c r="C83" t="s">
        <v>31</v>
      </c>
      <c r="D83" t="s">
        <v>25</v>
      </c>
      <c r="E83" t="s">
        <v>26</v>
      </c>
    </row>
    <row r="84" spans="1:5" hidden="1" x14ac:dyDescent="0.25">
      <c r="A84">
        <v>2024</v>
      </c>
      <c r="B84">
        <v>1</v>
      </c>
      <c r="C84" t="s">
        <v>30</v>
      </c>
      <c r="D84" t="s">
        <v>25</v>
      </c>
      <c r="E84" t="s">
        <v>26</v>
      </c>
    </row>
    <row r="85" spans="1:5" hidden="1" x14ac:dyDescent="0.25">
      <c r="A85">
        <v>2024</v>
      </c>
      <c r="B85">
        <v>1</v>
      </c>
      <c r="C85" t="s">
        <v>32</v>
      </c>
      <c r="D85" t="s">
        <v>25</v>
      </c>
      <c r="E85" t="s">
        <v>26</v>
      </c>
    </row>
    <row r="86" spans="1:5" hidden="1" x14ac:dyDescent="0.25">
      <c r="A86">
        <v>2024</v>
      </c>
      <c r="B86">
        <v>1</v>
      </c>
      <c r="C86" t="s">
        <v>24</v>
      </c>
      <c r="D86" t="s">
        <v>38</v>
      </c>
      <c r="E86" t="s">
        <v>26</v>
      </c>
    </row>
    <row r="87" spans="1:5" hidden="1" x14ac:dyDescent="0.25">
      <c r="A87">
        <v>2024</v>
      </c>
      <c r="B87">
        <v>1</v>
      </c>
      <c r="C87" t="s">
        <v>27</v>
      </c>
      <c r="D87" t="s">
        <v>38</v>
      </c>
      <c r="E87" t="s">
        <v>26</v>
      </c>
    </row>
    <row r="88" spans="1:5" hidden="1" x14ac:dyDescent="0.25">
      <c r="A88">
        <v>2024</v>
      </c>
      <c r="B88">
        <v>1</v>
      </c>
      <c r="C88" t="s">
        <v>28</v>
      </c>
      <c r="D88" t="s">
        <v>38</v>
      </c>
      <c r="E88" t="s">
        <v>26</v>
      </c>
    </row>
    <row r="89" spans="1:5" hidden="1" x14ac:dyDescent="0.25">
      <c r="A89">
        <v>2024</v>
      </c>
      <c r="B89">
        <v>1</v>
      </c>
      <c r="C89" t="s">
        <v>29</v>
      </c>
      <c r="D89" t="s">
        <v>38</v>
      </c>
      <c r="E89" t="s">
        <v>26</v>
      </c>
    </row>
    <row r="90" spans="1:5" hidden="1" x14ac:dyDescent="0.25">
      <c r="A90">
        <v>2024</v>
      </c>
      <c r="B90">
        <v>1</v>
      </c>
      <c r="C90" t="s">
        <v>30</v>
      </c>
      <c r="D90" t="s">
        <v>38</v>
      </c>
      <c r="E90" t="s">
        <v>26</v>
      </c>
    </row>
    <row r="91" spans="1:5" hidden="1" x14ac:dyDescent="0.25">
      <c r="A91">
        <v>2024</v>
      </c>
      <c r="B91">
        <v>1</v>
      </c>
      <c r="C91" t="s">
        <v>31</v>
      </c>
      <c r="D91" t="s">
        <v>38</v>
      </c>
      <c r="E91" t="s">
        <v>26</v>
      </c>
    </row>
    <row r="92" spans="1:5" hidden="1" x14ac:dyDescent="0.25">
      <c r="A92">
        <v>2024</v>
      </c>
      <c r="B92">
        <v>1</v>
      </c>
      <c r="C92" t="s">
        <v>32</v>
      </c>
      <c r="D92" t="s">
        <v>38</v>
      </c>
      <c r="E92" t="s">
        <v>26</v>
      </c>
    </row>
    <row r="93" spans="1:5" hidden="1" x14ac:dyDescent="0.25">
      <c r="A93">
        <v>2024</v>
      </c>
      <c r="B93">
        <v>1</v>
      </c>
      <c r="C93" t="s">
        <v>33</v>
      </c>
      <c r="D93" t="s">
        <v>38</v>
      </c>
      <c r="E93" t="s">
        <v>26</v>
      </c>
    </row>
    <row r="94" spans="1:5" hidden="1" x14ac:dyDescent="0.25">
      <c r="A94">
        <v>2024</v>
      </c>
      <c r="B94">
        <v>1</v>
      </c>
      <c r="C94" t="s">
        <v>34</v>
      </c>
      <c r="D94" t="s">
        <v>38</v>
      </c>
      <c r="E94" t="s">
        <v>26</v>
      </c>
    </row>
    <row r="95" spans="1:5" hidden="1" x14ac:dyDescent="0.25">
      <c r="A95">
        <v>2024</v>
      </c>
      <c r="B95">
        <v>1</v>
      </c>
      <c r="C95" t="s">
        <v>35</v>
      </c>
      <c r="D95" t="s">
        <v>38</v>
      </c>
      <c r="E95" t="s">
        <v>26</v>
      </c>
    </row>
    <row r="96" spans="1:5" hidden="1" x14ac:dyDescent="0.25">
      <c r="A96">
        <v>2024</v>
      </c>
      <c r="B96">
        <v>1</v>
      </c>
      <c r="C96" t="s">
        <v>36</v>
      </c>
      <c r="D96" t="s">
        <v>38</v>
      </c>
      <c r="E96" t="s">
        <v>26</v>
      </c>
    </row>
    <row r="97" spans="1:5" hidden="1" x14ac:dyDescent="0.25">
      <c r="A97">
        <v>2024</v>
      </c>
      <c r="B97">
        <v>1</v>
      </c>
      <c r="C97" t="s">
        <v>37</v>
      </c>
      <c r="D97" t="s">
        <v>38</v>
      </c>
      <c r="E97" t="s">
        <v>26</v>
      </c>
    </row>
    <row r="98" spans="1:5" hidden="1" x14ac:dyDescent="0.25">
      <c r="A98">
        <v>2024</v>
      </c>
      <c r="B98">
        <v>1</v>
      </c>
      <c r="C98" t="s">
        <v>35</v>
      </c>
      <c r="D98" t="s">
        <v>38</v>
      </c>
      <c r="E98" t="s">
        <v>26</v>
      </c>
    </row>
    <row r="99" spans="1:5" hidden="1" x14ac:dyDescent="0.25">
      <c r="A99">
        <v>2024</v>
      </c>
      <c r="B99">
        <v>1</v>
      </c>
      <c r="C99" t="s">
        <v>33</v>
      </c>
      <c r="D99" t="s">
        <v>38</v>
      </c>
      <c r="E99" t="s">
        <v>26</v>
      </c>
    </row>
    <row r="100" spans="1:5" hidden="1" x14ac:dyDescent="0.25">
      <c r="A100">
        <v>2024</v>
      </c>
      <c r="B100">
        <v>1</v>
      </c>
      <c r="C100" t="s">
        <v>34</v>
      </c>
      <c r="D100" t="s">
        <v>38</v>
      </c>
      <c r="E100" t="s">
        <v>26</v>
      </c>
    </row>
    <row r="101" spans="1:5" hidden="1" x14ac:dyDescent="0.25">
      <c r="A101">
        <v>2024</v>
      </c>
      <c r="B101">
        <v>1</v>
      </c>
      <c r="C101" t="s">
        <v>27</v>
      </c>
      <c r="D101" t="s">
        <v>38</v>
      </c>
      <c r="E101" t="s">
        <v>26</v>
      </c>
    </row>
    <row r="102" spans="1:5" hidden="1" x14ac:dyDescent="0.25">
      <c r="A102">
        <v>2024</v>
      </c>
      <c r="B102">
        <v>1</v>
      </c>
      <c r="C102" t="s">
        <v>32</v>
      </c>
      <c r="D102" t="s">
        <v>38</v>
      </c>
      <c r="E102" t="s">
        <v>26</v>
      </c>
    </row>
    <row r="103" spans="1:5" hidden="1" x14ac:dyDescent="0.25">
      <c r="A103">
        <v>2024</v>
      </c>
      <c r="B103">
        <v>1</v>
      </c>
      <c r="C103" t="s">
        <v>29</v>
      </c>
      <c r="D103" t="s">
        <v>38</v>
      </c>
      <c r="E103" t="s">
        <v>26</v>
      </c>
    </row>
    <row r="104" spans="1:5" hidden="1" x14ac:dyDescent="0.25">
      <c r="A104">
        <v>2024</v>
      </c>
      <c r="B104">
        <v>1</v>
      </c>
      <c r="C104" t="s">
        <v>30</v>
      </c>
      <c r="D104" t="s">
        <v>38</v>
      </c>
      <c r="E104" t="s">
        <v>26</v>
      </c>
    </row>
    <row r="105" spans="1:5" hidden="1" x14ac:dyDescent="0.25">
      <c r="A105">
        <v>2024</v>
      </c>
      <c r="B105">
        <v>1</v>
      </c>
      <c r="C105" t="s">
        <v>36</v>
      </c>
      <c r="D105" t="s">
        <v>38</v>
      </c>
      <c r="E105" t="s">
        <v>26</v>
      </c>
    </row>
    <row r="106" spans="1:5" hidden="1" x14ac:dyDescent="0.25">
      <c r="A106">
        <v>2024</v>
      </c>
      <c r="B106">
        <v>1</v>
      </c>
      <c r="C106" t="s">
        <v>24</v>
      </c>
      <c r="D106" t="s">
        <v>38</v>
      </c>
      <c r="E106" t="s">
        <v>26</v>
      </c>
    </row>
    <row r="107" spans="1:5" hidden="1" x14ac:dyDescent="0.25">
      <c r="A107">
        <v>2024</v>
      </c>
      <c r="B107">
        <v>1</v>
      </c>
      <c r="C107" t="s">
        <v>37</v>
      </c>
      <c r="D107" t="s">
        <v>38</v>
      </c>
      <c r="E107" t="s">
        <v>26</v>
      </c>
    </row>
    <row r="108" spans="1:5" hidden="1" x14ac:dyDescent="0.25">
      <c r="A108">
        <v>2024</v>
      </c>
      <c r="B108">
        <v>1</v>
      </c>
      <c r="C108" t="s">
        <v>31</v>
      </c>
      <c r="D108" t="s">
        <v>38</v>
      </c>
      <c r="E108" t="s">
        <v>26</v>
      </c>
    </row>
    <row r="109" spans="1:5" hidden="1" x14ac:dyDescent="0.25">
      <c r="A109">
        <v>2024</v>
      </c>
      <c r="B109">
        <v>1</v>
      </c>
      <c r="C109" t="s">
        <v>28</v>
      </c>
      <c r="D109" t="s">
        <v>38</v>
      </c>
      <c r="E109" t="s">
        <v>26</v>
      </c>
    </row>
    <row r="110" spans="1:5" hidden="1" x14ac:dyDescent="0.25">
      <c r="A110">
        <v>2024</v>
      </c>
      <c r="B110">
        <v>1</v>
      </c>
      <c r="C110" t="s">
        <v>27</v>
      </c>
      <c r="D110" t="s">
        <v>38</v>
      </c>
      <c r="E110" t="s">
        <v>26</v>
      </c>
    </row>
    <row r="111" spans="1:5" hidden="1" x14ac:dyDescent="0.25">
      <c r="A111">
        <v>2024</v>
      </c>
      <c r="B111">
        <v>1</v>
      </c>
      <c r="C111" t="s">
        <v>24</v>
      </c>
      <c r="D111" t="s">
        <v>38</v>
      </c>
      <c r="E111" t="s">
        <v>26</v>
      </c>
    </row>
    <row r="112" spans="1:5" hidden="1" x14ac:dyDescent="0.25">
      <c r="A112">
        <v>2024</v>
      </c>
      <c r="B112">
        <v>1</v>
      </c>
      <c r="C112" t="s">
        <v>33</v>
      </c>
      <c r="D112" t="s">
        <v>38</v>
      </c>
      <c r="E112" t="s">
        <v>26</v>
      </c>
    </row>
    <row r="113" spans="1:5" hidden="1" x14ac:dyDescent="0.25">
      <c r="A113">
        <v>2024</v>
      </c>
      <c r="B113">
        <v>1</v>
      </c>
      <c r="C113" t="s">
        <v>34</v>
      </c>
      <c r="D113" t="s">
        <v>38</v>
      </c>
      <c r="E113" t="s">
        <v>26</v>
      </c>
    </row>
    <row r="114" spans="1:5" hidden="1" x14ac:dyDescent="0.25">
      <c r="A114">
        <v>2024</v>
      </c>
      <c r="B114">
        <v>1</v>
      </c>
      <c r="C114" t="s">
        <v>37</v>
      </c>
      <c r="D114" t="s">
        <v>38</v>
      </c>
      <c r="E114" t="s">
        <v>26</v>
      </c>
    </row>
    <row r="115" spans="1:5" hidden="1" x14ac:dyDescent="0.25">
      <c r="A115">
        <v>2024</v>
      </c>
      <c r="B115">
        <v>1</v>
      </c>
      <c r="C115" t="s">
        <v>36</v>
      </c>
      <c r="D115" t="s">
        <v>38</v>
      </c>
      <c r="E115" t="s">
        <v>26</v>
      </c>
    </row>
    <row r="116" spans="1:5" hidden="1" x14ac:dyDescent="0.25">
      <c r="A116">
        <v>2024</v>
      </c>
      <c r="B116">
        <v>1</v>
      </c>
      <c r="C116" t="s">
        <v>35</v>
      </c>
      <c r="D116" t="s">
        <v>38</v>
      </c>
      <c r="E116" t="s">
        <v>26</v>
      </c>
    </row>
    <row r="117" spans="1:5" hidden="1" x14ac:dyDescent="0.25">
      <c r="A117">
        <v>2024</v>
      </c>
      <c r="B117">
        <v>1</v>
      </c>
      <c r="C117" t="s">
        <v>28</v>
      </c>
      <c r="D117" t="s">
        <v>38</v>
      </c>
      <c r="E117" t="s">
        <v>26</v>
      </c>
    </row>
    <row r="118" spans="1:5" hidden="1" x14ac:dyDescent="0.25">
      <c r="A118">
        <v>2024</v>
      </c>
      <c r="B118">
        <v>1</v>
      </c>
      <c r="C118" t="s">
        <v>29</v>
      </c>
      <c r="D118" t="s">
        <v>38</v>
      </c>
      <c r="E118" t="s">
        <v>26</v>
      </c>
    </row>
    <row r="119" spans="1:5" hidden="1" x14ac:dyDescent="0.25">
      <c r="A119">
        <v>2024</v>
      </c>
      <c r="B119">
        <v>1</v>
      </c>
      <c r="C119" t="s">
        <v>31</v>
      </c>
      <c r="D119" t="s">
        <v>38</v>
      </c>
      <c r="E119" t="s">
        <v>26</v>
      </c>
    </row>
    <row r="120" spans="1:5" hidden="1" x14ac:dyDescent="0.25">
      <c r="A120">
        <v>2024</v>
      </c>
      <c r="B120">
        <v>1</v>
      </c>
      <c r="C120" t="s">
        <v>30</v>
      </c>
      <c r="D120" t="s">
        <v>38</v>
      </c>
      <c r="E120" t="s">
        <v>26</v>
      </c>
    </row>
    <row r="121" spans="1:5" hidden="1" x14ac:dyDescent="0.25">
      <c r="A121">
        <v>2024</v>
      </c>
      <c r="B121">
        <v>1</v>
      </c>
      <c r="C121" t="s">
        <v>32</v>
      </c>
      <c r="D121" t="s">
        <v>38</v>
      </c>
      <c r="E121" t="s">
        <v>26</v>
      </c>
    </row>
    <row r="122" spans="1:5" hidden="1" x14ac:dyDescent="0.25">
      <c r="A122">
        <v>2024</v>
      </c>
      <c r="B122">
        <v>2</v>
      </c>
      <c r="C122" t="s">
        <v>24</v>
      </c>
      <c r="D122" t="s">
        <v>25</v>
      </c>
      <c r="E122" t="s">
        <v>26</v>
      </c>
    </row>
    <row r="123" spans="1:5" hidden="1" x14ac:dyDescent="0.25">
      <c r="A123">
        <v>2024</v>
      </c>
      <c r="B123">
        <v>2</v>
      </c>
      <c r="C123" t="s">
        <v>27</v>
      </c>
      <c r="D123" t="s">
        <v>25</v>
      </c>
      <c r="E123" t="s">
        <v>26</v>
      </c>
    </row>
    <row r="124" spans="1:5" hidden="1" x14ac:dyDescent="0.25">
      <c r="A124">
        <v>2024</v>
      </c>
      <c r="B124">
        <v>2</v>
      </c>
      <c r="C124" t="s">
        <v>28</v>
      </c>
      <c r="D124" t="s">
        <v>25</v>
      </c>
      <c r="E124" t="s">
        <v>26</v>
      </c>
    </row>
    <row r="125" spans="1:5" hidden="1" x14ac:dyDescent="0.25">
      <c r="A125">
        <v>2024</v>
      </c>
      <c r="B125">
        <v>2</v>
      </c>
      <c r="C125" t="s">
        <v>29</v>
      </c>
      <c r="D125" t="s">
        <v>25</v>
      </c>
      <c r="E125" t="s">
        <v>26</v>
      </c>
    </row>
    <row r="126" spans="1:5" hidden="1" x14ac:dyDescent="0.25">
      <c r="A126">
        <v>2024</v>
      </c>
      <c r="B126">
        <v>2</v>
      </c>
      <c r="C126" t="s">
        <v>30</v>
      </c>
      <c r="D126" t="s">
        <v>25</v>
      </c>
      <c r="E126" t="s">
        <v>26</v>
      </c>
    </row>
    <row r="127" spans="1:5" hidden="1" x14ac:dyDescent="0.25">
      <c r="A127">
        <v>2024</v>
      </c>
      <c r="B127">
        <v>2</v>
      </c>
      <c r="C127" t="s">
        <v>31</v>
      </c>
      <c r="D127" t="s">
        <v>25</v>
      </c>
      <c r="E127" t="s">
        <v>26</v>
      </c>
    </row>
    <row r="128" spans="1:5" hidden="1" x14ac:dyDescent="0.25">
      <c r="A128">
        <v>2024</v>
      </c>
      <c r="B128">
        <v>2</v>
      </c>
      <c r="C128" t="s">
        <v>32</v>
      </c>
      <c r="D128" t="s">
        <v>25</v>
      </c>
      <c r="E128" t="s">
        <v>26</v>
      </c>
    </row>
    <row r="129" spans="1:5" hidden="1" x14ac:dyDescent="0.25">
      <c r="A129">
        <v>2024</v>
      </c>
      <c r="B129">
        <v>2</v>
      </c>
      <c r="C129" t="s">
        <v>33</v>
      </c>
      <c r="D129" t="s">
        <v>25</v>
      </c>
      <c r="E129" t="s">
        <v>26</v>
      </c>
    </row>
    <row r="130" spans="1:5" hidden="1" x14ac:dyDescent="0.25">
      <c r="A130">
        <v>2024</v>
      </c>
      <c r="B130">
        <v>2</v>
      </c>
      <c r="C130" t="s">
        <v>34</v>
      </c>
      <c r="D130" t="s">
        <v>25</v>
      </c>
      <c r="E130" t="s">
        <v>26</v>
      </c>
    </row>
    <row r="131" spans="1:5" hidden="1" x14ac:dyDescent="0.25">
      <c r="A131">
        <v>2024</v>
      </c>
      <c r="B131">
        <v>2</v>
      </c>
      <c r="C131" t="s">
        <v>35</v>
      </c>
      <c r="D131" t="s">
        <v>25</v>
      </c>
      <c r="E131" t="s">
        <v>26</v>
      </c>
    </row>
    <row r="132" spans="1:5" hidden="1" x14ac:dyDescent="0.25">
      <c r="A132">
        <v>2024</v>
      </c>
      <c r="B132">
        <v>2</v>
      </c>
      <c r="C132" t="s">
        <v>36</v>
      </c>
      <c r="D132" t="s">
        <v>25</v>
      </c>
      <c r="E132" t="s">
        <v>26</v>
      </c>
    </row>
    <row r="133" spans="1:5" hidden="1" x14ac:dyDescent="0.25">
      <c r="A133">
        <v>2024</v>
      </c>
      <c r="B133">
        <v>2</v>
      </c>
      <c r="C133" t="s">
        <v>37</v>
      </c>
      <c r="D133" t="s">
        <v>25</v>
      </c>
      <c r="E133" t="s">
        <v>26</v>
      </c>
    </row>
    <row r="134" spans="1:5" hidden="1" x14ac:dyDescent="0.25">
      <c r="A134">
        <v>2024</v>
      </c>
      <c r="B134">
        <v>2</v>
      </c>
      <c r="C134" t="s">
        <v>35</v>
      </c>
      <c r="D134" t="s">
        <v>25</v>
      </c>
      <c r="E134" t="s">
        <v>26</v>
      </c>
    </row>
    <row r="135" spans="1:5" hidden="1" x14ac:dyDescent="0.25">
      <c r="A135">
        <v>2024</v>
      </c>
      <c r="B135">
        <v>2</v>
      </c>
      <c r="C135" t="s">
        <v>33</v>
      </c>
      <c r="D135" t="s">
        <v>25</v>
      </c>
      <c r="E135" t="s">
        <v>26</v>
      </c>
    </row>
    <row r="136" spans="1:5" hidden="1" x14ac:dyDescent="0.25">
      <c r="A136">
        <v>2024</v>
      </c>
      <c r="B136">
        <v>2</v>
      </c>
      <c r="C136" t="s">
        <v>34</v>
      </c>
      <c r="D136" t="s">
        <v>25</v>
      </c>
      <c r="E136" t="s">
        <v>26</v>
      </c>
    </row>
    <row r="137" spans="1:5" hidden="1" x14ac:dyDescent="0.25">
      <c r="A137">
        <v>2024</v>
      </c>
      <c r="B137">
        <v>2</v>
      </c>
      <c r="C137" t="s">
        <v>27</v>
      </c>
      <c r="D137" t="s">
        <v>25</v>
      </c>
      <c r="E137" t="s">
        <v>26</v>
      </c>
    </row>
    <row r="138" spans="1:5" hidden="1" x14ac:dyDescent="0.25">
      <c r="A138">
        <v>2024</v>
      </c>
      <c r="B138">
        <v>2</v>
      </c>
      <c r="C138" t="s">
        <v>32</v>
      </c>
      <c r="D138" t="s">
        <v>25</v>
      </c>
      <c r="E138" t="s">
        <v>26</v>
      </c>
    </row>
    <row r="139" spans="1:5" hidden="1" x14ac:dyDescent="0.25">
      <c r="A139">
        <v>2024</v>
      </c>
      <c r="B139">
        <v>2</v>
      </c>
      <c r="C139" t="s">
        <v>29</v>
      </c>
      <c r="D139" t="s">
        <v>25</v>
      </c>
      <c r="E139" t="s">
        <v>26</v>
      </c>
    </row>
    <row r="140" spans="1:5" hidden="1" x14ac:dyDescent="0.25">
      <c r="A140">
        <v>2024</v>
      </c>
      <c r="B140">
        <v>2</v>
      </c>
      <c r="C140" t="s">
        <v>30</v>
      </c>
      <c r="D140" t="s">
        <v>25</v>
      </c>
      <c r="E140" t="s">
        <v>26</v>
      </c>
    </row>
    <row r="141" spans="1:5" hidden="1" x14ac:dyDescent="0.25">
      <c r="A141">
        <v>2024</v>
      </c>
      <c r="B141">
        <v>2</v>
      </c>
      <c r="C141" t="s">
        <v>36</v>
      </c>
      <c r="D141" t="s">
        <v>25</v>
      </c>
      <c r="E141" t="s">
        <v>26</v>
      </c>
    </row>
    <row r="142" spans="1:5" hidden="1" x14ac:dyDescent="0.25">
      <c r="A142">
        <v>2024</v>
      </c>
      <c r="B142">
        <v>2</v>
      </c>
      <c r="C142" t="s">
        <v>24</v>
      </c>
      <c r="D142" t="s">
        <v>25</v>
      </c>
      <c r="E142" t="s">
        <v>26</v>
      </c>
    </row>
    <row r="143" spans="1:5" hidden="1" x14ac:dyDescent="0.25">
      <c r="A143">
        <v>2024</v>
      </c>
      <c r="B143">
        <v>2</v>
      </c>
      <c r="C143" t="s">
        <v>37</v>
      </c>
      <c r="D143" t="s">
        <v>25</v>
      </c>
      <c r="E143" t="s">
        <v>26</v>
      </c>
    </row>
    <row r="144" spans="1:5" hidden="1" x14ac:dyDescent="0.25">
      <c r="A144">
        <v>2024</v>
      </c>
      <c r="B144">
        <v>2</v>
      </c>
      <c r="C144" t="s">
        <v>31</v>
      </c>
      <c r="D144" t="s">
        <v>25</v>
      </c>
      <c r="E144" t="s">
        <v>26</v>
      </c>
    </row>
    <row r="145" spans="1:5" hidden="1" x14ac:dyDescent="0.25">
      <c r="A145">
        <v>2024</v>
      </c>
      <c r="B145">
        <v>2</v>
      </c>
      <c r="C145" t="s">
        <v>28</v>
      </c>
      <c r="D145" t="s">
        <v>25</v>
      </c>
      <c r="E145" t="s">
        <v>26</v>
      </c>
    </row>
    <row r="146" spans="1:5" hidden="1" x14ac:dyDescent="0.25">
      <c r="A146">
        <v>2024</v>
      </c>
      <c r="B146">
        <v>2</v>
      </c>
      <c r="C146" s="59" t="s">
        <v>24</v>
      </c>
      <c r="D146" s="56" t="s">
        <v>38</v>
      </c>
      <c r="E146" t="s">
        <v>97</v>
      </c>
    </row>
    <row r="147" spans="1:5" hidden="1" x14ac:dyDescent="0.25">
      <c r="A147">
        <v>2024</v>
      </c>
      <c r="B147">
        <v>2</v>
      </c>
      <c r="C147" s="59" t="s">
        <v>27</v>
      </c>
      <c r="D147" s="56" t="s">
        <v>38</v>
      </c>
      <c r="E147" t="s">
        <v>97</v>
      </c>
    </row>
    <row r="148" spans="1:5" hidden="1" x14ac:dyDescent="0.25">
      <c r="A148">
        <v>2024</v>
      </c>
      <c r="B148">
        <v>2</v>
      </c>
      <c r="C148" s="59" t="s">
        <v>28</v>
      </c>
      <c r="D148" s="56" t="s">
        <v>38</v>
      </c>
      <c r="E148" t="s">
        <v>97</v>
      </c>
    </row>
    <row r="149" spans="1:5" hidden="1" x14ac:dyDescent="0.25">
      <c r="A149">
        <v>2024</v>
      </c>
      <c r="B149">
        <v>2</v>
      </c>
      <c r="C149" s="59" t="s">
        <v>29</v>
      </c>
      <c r="D149" s="56" t="s">
        <v>38</v>
      </c>
      <c r="E149" t="s">
        <v>97</v>
      </c>
    </row>
    <row r="150" spans="1:5" hidden="1" x14ac:dyDescent="0.25">
      <c r="A150">
        <v>2024</v>
      </c>
      <c r="B150">
        <v>2</v>
      </c>
      <c r="C150" s="59" t="s">
        <v>30</v>
      </c>
      <c r="D150" s="56" t="s">
        <v>38</v>
      </c>
      <c r="E150" t="s">
        <v>97</v>
      </c>
    </row>
    <row r="151" spans="1:5" hidden="1" x14ac:dyDescent="0.25">
      <c r="A151">
        <v>2024</v>
      </c>
      <c r="B151">
        <v>2</v>
      </c>
      <c r="C151" s="59" t="s">
        <v>31</v>
      </c>
      <c r="D151" s="56" t="s">
        <v>38</v>
      </c>
      <c r="E151" t="s">
        <v>97</v>
      </c>
    </row>
    <row r="152" spans="1:5" hidden="1" x14ac:dyDescent="0.25">
      <c r="A152">
        <v>2024</v>
      </c>
      <c r="B152">
        <v>2</v>
      </c>
      <c r="C152" s="59" t="s">
        <v>32</v>
      </c>
      <c r="D152" s="56" t="s">
        <v>38</v>
      </c>
      <c r="E152" t="s">
        <v>97</v>
      </c>
    </row>
    <row r="153" spans="1:5" hidden="1" x14ac:dyDescent="0.25">
      <c r="A153">
        <v>2024</v>
      </c>
      <c r="B153">
        <v>2</v>
      </c>
      <c r="C153" s="59" t="s">
        <v>33</v>
      </c>
      <c r="D153" s="56" t="s">
        <v>38</v>
      </c>
      <c r="E153" t="s">
        <v>97</v>
      </c>
    </row>
    <row r="154" spans="1:5" hidden="1" x14ac:dyDescent="0.25">
      <c r="A154">
        <v>2024</v>
      </c>
      <c r="B154">
        <v>2</v>
      </c>
      <c r="C154" s="59" t="s">
        <v>24</v>
      </c>
      <c r="D154" s="56" t="s">
        <v>38</v>
      </c>
      <c r="E154" t="s">
        <v>97</v>
      </c>
    </row>
    <row r="155" spans="1:5" hidden="1" x14ac:dyDescent="0.25">
      <c r="A155">
        <v>2024</v>
      </c>
      <c r="B155">
        <v>2</v>
      </c>
      <c r="C155" s="59" t="s">
        <v>27</v>
      </c>
      <c r="D155" s="56" t="s">
        <v>38</v>
      </c>
      <c r="E155" t="s">
        <v>97</v>
      </c>
    </row>
    <row r="156" spans="1:5" hidden="1" x14ac:dyDescent="0.25">
      <c r="A156">
        <v>2024</v>
      </c>
      <c r="B156">
        <v>2</v>
      </c>
      <c r="C156" s="59" t="s">
        <v>33</v>
      </c>
      <c r="D156" s="56" t="s">
        <v>38</v>
      </c>
      <c r="E156" t="s">
        <v>97</v>
      </c>
    </row>
    <row r="157" spans="1:5" hidden="1" x14ac:dyDescent="0.25">
      <c r="A157">
        <v>2024</v>
      </c>
      <c r="B157">
        <v>2</v>
      </c>
      <c r="C157" s="59" t="s">
        <v>32</v>
      </c>
      <c r="D157" s="56" t="s">
        <v>38</v>
      </c>
      <c r="E157" t="s">
        <v>97</v>
      </c>
    </row>
    <row r="158" spans="1:5" hidden="1" x14ac:dyDescent="0.25">
      <c r="A158">
        <v>2024</v>
      </c>
      <c r="B158">
        <v>2</v>
      </c>
      <c r="C158" s="59" t="s">
        <v>28</v>
      </c>
      <c r="D158" s="56" t="s">
        <v>38</v>
      </c>
      <c r="E158" t="s">
        <v>97</v>
      </c>
    </row>
    <row r="159" spans="1:5" hidden="1" x14ac:dyDescent="0.25">
      <c r="A159">
        <v>2024</v>
      </c>
      <c r="B159">
        <v>2</v>
      </c>
      <c r="C159" s="59" t="s">
        <v>31</v>
      </c>
      <c r="D159" s="56" t="s">
        <v>38</v>
      </c>
      <c r="E159" t="s">
        <v>97</v>
      </c>
    </row>
    <row r="160" spans="1:5" hidden="1" x14ac:dyDescent="0.25">
      <c r="A160">
        <v>2024</v>
      </c>
      <c r="B160">
        <v>2</v>
      </c>
      <c r="C160" s="59" t="s">
        <v>30</v>
      </c>
      <c r="D160" s="56" t="s">
        <v>38</v>
      </c>
      <c r="E160" t="s">
        <v>97</v>
      </c>
    </row>
    <row r="161" spans="1:6" hidden="1" x14ac:dyDescent="0.25">
      <c r="A161">
        <v>2024</v>
      </c>
      <c r="B161">
        <v>2</v>
      </c>
      <c r="C161" s="59" t="s">
        <v>29</v>
      </c>
      <c r="D161" s="56" t="s">
        <v>38</v>
      </c>
      <c r="E161" t="s">
        <v>97</v>
      </c>
    </row>
    <row r="162" spans="1:6" hidden="1" x14ac:dyDescent="0.25">
      <c r="A162">
        <v>2024</v>
      </c>
      <c r="B162">
        <v>2</v>
      </c>
      <c r="C162" s="59" t="s">
        <v>24</v>
      </c>
      <c r="D162" s="56" t="s">
        <v>38</v>
      </c>
      <c r="E162" t="s">
        <v>97</v>
      </c>
    </row>
    <row r="163" spans="1:6" hidden="1" x14ac:dyDescent="0.25">
      <c r="A163">
        <v>2024</v>
      </c>
      <c r="B163">
        <v>2</v>
      </c>
      <c r="C163" s="59" t="s">
        <v>33</v>
      </c>
      <c r="D163" s="56" t="s">
        <v>38</v>
      </c>
      <c r="E163" t="s">
        <v>97</v>
      </c>
    </row>
    <row r="164" spans="1:6" hidden="1" x14ac:dyDescent="0.25">
      <c r="A164">
        <v>2024</v>
      </c>
      <c r="B164">
        <v>2</v>
      </c>
      <c r="C164" s="59" t="s">
        <v>27</v>
      </c>
      <c r="D164" s="56" t="s">
        <v>38</v>
      </c>
      <c r="E164" t="s">
        <v>97</v>
      </c>
    </row>
    <row r="165" spans="1:6" hidden="1" x14ac:dyDescent="0.25">
      <c r="A165">
        <v>2024</v>
      </c>
      <c r="B165">
        <v>2</v>
      </c>
      <c r="C165" s="59" t="s">
        <v>29</v>
      </c>
      <c r="D165" s="56" t="s">
        <v>38</v>
      </c>
      <c r="E165" t="s">
        <v>97</v>
      </c>
    </row>
    <row r="166" spans="1:6" hidden="1" x14ac:dyDescent="0.25">
      <c r="A166">
        <v>2024</v>
      </c>
      <c r="B166">
        <v>2</v>
      </c>
      <c r="C166" s="59" t="s">
        <v>31</v>
      </c>
      <c r="D166" s="56" t="s">
        <v>38</v>
      </c>
      <c r="E166" t="s">
        <v>97</v>
      </c>
    </row>
    <row r="167" spans="1:6" hidden="1" x14ac:dyDescent="0.25">
      <c r="A167">
        <v>2024</v>
      </c>
      <c r="B167">
        <v>2</v>
      </c>
      <c r="C167" s="59" t="s">
        <v>30</v>
      </c>
      <c r="D167" s="56" t="s">
        <v>38</v>
      </c>
      <c r="E167" t="s">
        <v>97</v>
      </c>
    </row>
    <row r="168" spans="1:6" hidden="1" x14ac:dyDescent="0.25">
      <c r="A168">
        <v>2024</v>
      </c>
      <c r="B168">
        <v>2</v>
      </c>
      <c r="C168" s="59" t="s">
        <v>32</v>
      </c>
      <c r="D168" s="56" t="s">
        <v>38</v>
      </c>
      <c r="E168" t="s">
        <v>97</v>
      </c>
    </row>
    <row r="169" spans="1:6" hidden="1" x14ac:dyDescent="0.25">
      <c r="A169">
        <v>2024</v>
      </c>
      <c r="B169">
        <v>2</v>
      </c>
      <c r="C169" s="59" t="s">
        <v>28</v>
      </c>
      <c r="D169" s="56" t="s">
        <v>38</v>
      </c>
      <c r="E169" t="s">
        <v>97</v>
      </c>
    </row>
    <row r="170" spans="1:6" hidden="1" x14ac:dyDescent="0.25">
      <c r="A170">
        <v>2024</v>
      </c>
      <c r="B170" s="19">
        <v>2</v>
      </c>
      <c r="C170" s="59" t="s">
        <v>24</v>
      </c>
      <c r="D170" s="56" t="s">
        <v>38</v>
      </c>
      <c r="E170" s="19" t="s">
        <v>107</v>
      </c>
      <c r="F170" s="19"/>
    </row>
    <row r="171" spans="1:6" hidden="1" x14ac:dyDescent="0.25">
      <c r="A171">
        <v>2024</v>
      </c>
      <c r="B171" s="19">
        <v>2</v>
      </c>
      <c r="C171" s="59" t="s">
        <v>27</v>
      </c>
      <c r="D171" s="56" t="s">
        <v>38</v>
      </c>
      <c r="E171" s="19" t="s">
        <v>107</v>
      </c>
      <c r="F171" s="19"/>
    </row>
    <row r="172" spans="1:6" hidden="1" x14ac:dyDescent="0.25">
      <c r="A172">
        <v>2024</v>
      </c>
      <c r="B172" s="19">
        <v>2</v>
      </c>
      <c r="C172" s="59" t="s">
        <v>28</v>
      </c>
      <c r="D172" s="56" t="s">
        <v>38</v>
      </c>
      <c r="E172" s="19" t="s">
        <v>107</v>
      </c>
      <c r="F172" s="19"/>
    </row>
    <row r="173" spans="1:6" hidden="1" x14ac:dyDescent="0.25">
      <c r="A173">
        <v>2024</v>
      </c>
      <c r="B173" s="19">
        <v>2</v>
      </c>
      <c r="C173" s="59" t="s">
        <v>29</v>
      </c>
      <c r="D173" s="56" t="s">
        <v>38</v>
      </c>
      <c r="E173" s="19" t="s">
        <v>107</v>
      </c>
      <c r="F173" s="19"/>
    </row>
    <row r="174" spans="1:6" hidden="1" x14ac:dyDescent="0.25">
      <c r="A174">
        <v>2024</v>
      </c>
      <c r="B174" s="19">
        <v>2</v>
      </c>
      <c r="C174" s="59" t="s">
        <v>30</v>
      </c>
      <c r="D174" s="56" t="s">
        <v>38</v>
      </c>
      <c r="E174" s="19" t="s">
        <v>107</v>
      </c>
      <c r="F174" s="19"/>
    </row>
    <row r="175" spans="1:6" hidden="1" x14ac:dyDescent="0.25">
      <c r="A175">
        <v>2024</v>
      </c>
      <c r="B175" s="19">
        <v>2</v>
      </c>
      <c r="C175" s="59" t="s">
        <v>31</v>
      </c>
      <c r="D175" s="56" t="s">
        <v>38</v>
      </c>
      <c r="E175" s="19" t="s">
        <v>107</v>
      </c>
      <c r="F175" s="19"/>
    </row>
    <row r="176" spans="1:6" hidden="1" x14ac:dyDescent="0.25">
      <c r="A176">
        <v>2024</v>
      </c>
      <c r="B176" s="19">
        <v>2</v>
      </c>
      <c r="C176" s="59" t="s">
        <v>32</v>
      </c>
      <c r="D176" s="56" t="s">
        <v>38</v>
      </c>
      <c r="E176" s="19" t="s">
        <v>107</v>
      </c>
      <c r="F176" s="19"/>
    </row>
    <row r="177" spans="1:6" hidden="1" x14ac:dyDescent="0.25">
      <c r="A177">
        <v>2024</v>
      </c>
      <c r="B177" s="19">
        <v>2</v>
      </c>
      <c r="C177" s="59" t="s">
        <v>33</v>
      </c>
      <c r="D177" s="56" t="s">
        <v>38</v>
      </c>
      <c r="E177" s="19" t="s">
        <v>107</v>
      </c>
      <c r="F177" s="19"/>
    </row>
    <row r="178" spans="1:6" hidden="1" x14ac:dyDescent="0.25">
      <c r="A178">
        <v>2024</v>
      </c>
      <c r="B178" s="19">
        <v>2</v>
      </c>
      <c r="C178" s="59" t="s">
        <v>24</v>
      </c>
      <c r="D178" s="56" t="s">
        <v>38</v>
      </c>
      <c r="E178" s="19" t="s">
        <v>107</v>
      </c>
      <c r="F178" s="19"/>
    </row>
    <row r="179" spans="1:6" hidden="1" x14ac:dyDescent="0.25">
      <c r="A179">
        <v>2024</v>
      </c>
      <c r="B179" s="19">
        <v>2</v>
      </c>
      <c r="C179" s="59" t="s">
        <v>27</v>
      </c>
      <c r="D179" s="56" t="s">
        <v>38</v>
      </c>
      <c r="E179" s="19" t="s">
        <v>107</v>
      </c>
      <c r="F179" s="19"/>
    </row>
    <row r="180" spans="1:6" hidden="1" x14ac:dyDescent="0.25">
      <c r="A180">
        <v>2024</v>
      </c>
      <c r="B180" s="19">
        <v>2</v>
      </c>
      <c r="C180" s="59" t="s">
        <v>33</v>
      </c>
      <c r="D180" s="56" t="s">
        <v>38</v>
      </c>
      <c r="E180" s="19" t="s">
        <v>107</v>
      </c>
      <c r="F180" s="19"/>
    </row>
    <row r="181" spans="1:6" hidden="1" x14ac:dyDescent="0.25">
      <c r="A181">
        <v>2024</v>
      </c>
      <c r="B181" s="19">
        <v>2</v>
      </c>
      <c r="C181" s="59" t="s">
        <v>32</v>
      </c>
      <c r="D181" s="56" t="s">
        <v>38</v>
      </c>
      <c r="E181" s="19" t="s">
        <v>107</v>
      </c>
      <c r="F181" s="19"/>
    </row>
    <row r="182" spans="1:6" hidden="1" x14ac:dyDescent="0.25">
      <c r="A182">
        <v>2024</v>
      </c>
      <c r="B182" s="19">
        <v>2</v>
      </c>
      <c r="C182" s="59" t="s">
        <v>28</v>
      </c>
      <c r="D182" s="56" t="s">
        <v>38</v>
      </c>
      <c r="E182" s="19" t="s">
        <v>107</v>
      </c>
      <c r="F182" s="19"/>
    </row>
    <row r="183" spans="1:6" hidden="1" x14ac:dyDescent="0.25">
      <c r="A183">
        <v>2024</v>
      </c>
      <c r="B183" s="19">
        <v>2</v>
      </c>
      <c r="C183" s="59" t="s">
        <v>31</v>
      </c>
      <c r="D183" s="56" t="s">
        <v>38</v>
      </c>
      <c r="E183" s="19" t="s">
        <v>107</v>
      </c>
      <c r="F183" s="19"/>
    </row>
    <row r="184" spans="1:6" hidden="1" x14ac:dyDescent="0.25">
      <c r="A184">
        <v>2024</v>
      </c>
      <c r="B184" s="19">
        <v>2</v>
      </c>
      <c r="C184" s="59" t="s">
        <v>30</v>
      </c>
      <c r="D184" s="56" t="s">
        <v>38</v>
      </c>
      <c r="E184" s="19" t="s">
        <v>107</v>
      </c>
      <c r="F184" s="19"/>
    </row>
    <row r="185" spans="1:6" hidden="1" x14ac:dyDescent="0.25">
      <c r="A185">
        <v>2024</v>
      </c>
      <c r="B185" s="19">
        <v>2</v>
      </c>
      <c r="C185" s="59" t="s">
        <v>29</v>
      </c>
      <c r="D185" s="56" t="s">
        <v>38</v>
      </c>
      <c r="E185" s="19" t="s">
        <v>107</v>
      </c>
      <c r="F185" s="19"/>
    </row>
    <row r="186" spans="1:6" hidden="1" x14ac:dyDescent="0.25">
      <c r="A186">
        <v>2024</v>
      </c>
      <c r="B186" s="19">
        <v>2</v>
      </c>
      <c r="C186" s="59" t="s">
        <v>24</v>
      </c>
      <c r="D186" s="56" t="s">
        <v>38</v>
      </c>
      <c r="E186" s="19" t="s">
        <v>107</v>
      </c>
      <c r="F186" s="19"/>
    </row>
    <row r="187" spans="1:6" hidden="1" x14ac:dyDescent="0.25">
      <c r="A187">
        <v>2024</v>
      </c>
      <c r="B187" s="19">
        <v>2</v>
      </c>
      <c r="C187" s="59" t="s">
        <v>33</v>
      </c>
      <c r="D187" s="56" t="s">
        <v>38</v>
      </c>
      <c r="E187" s="19" t="s">
        <v>107</v>
      </c>
      <c r="F187" s="19"/>
    </row>
    <row r="188" spans="1:6" hidden="1" x14ac:dyDescent="0.25">
      <c r="A188">
        <v>2024</v>
      </c>
      <c r="B188" s="19">
        <v>2</v>
      </c>
      <c r="C188" s="59" t="s">
        <v>27</v>
      </c>
      <c r="D188" s="56" t="s">
        <v>38</v>
      </c>
      <c r="E188" s="19" t="s">
        <v>107</v>
      </c>
      <c r="F188" s="19"/>
    </row>
    <row r="189" spans="1:6" hidden="1" x14ac:dyDescent="0.25">
      <c r="A189">
        <v>2024</v>
      </c>
      <c r="B189" s="19">
        <v>2</v>
      </c>
      <c r="C189" s="59" t="s">
        <v>29</v>
      </c>
      <c r="D189" s="56" t="s">
        <v>38</v>
      </c>
      <c r="E189" s="19" t="s">
        <v>107</v>
      </c>
      <c r="F189" s="19"/>
    </row>
    <row r="190" spans="1:6" hidden="1" x14ac:dyDescent="0.25">
      <c r="A190">
        <v>2024</v>
      </c>
      <c r="B190" s="19">
        <v>2</v>
      </c>
      <c r="C190" s="59" t="s">
        <v>31</v>
      </c>
      <c r="D190" s="56" t="s">
        <v>38</v>
      </c>
      <c r="E190" s="19" t="s">
        <v>107</v>
      </c>
      <c r="F190" s="19"/>
    </row>
    <row r="191" spans="1:6" hidden="1" x14ac:dyDescent="0.25">
      <c r="A191">
        <v>2024</v>
      </c>
      <c r="B191" s="19">
        <v>2</v>
      </c>
      <c r="C191" s="59" t="s">
        <v>30</v>
      </c>
      <c r="D191" s="56" t="s">
        <v>38</v>
      </c>
      <c r="E191" s="19" t="s">
        <v>107</v>
      </c>
      <c r="F191" s="19"/>
    </row>
    <row r="192" spans="1:6" hidden="1" x14ac:dyDescent="0.25">
      <c r="A192">
        <v>2024</v>
      </c>
      <c r="B192" s="19">
        <v>2</v>
      </c>
      <c r="C192" s="59" t="s">
        <v>32</v>
      </c>
      <c r="D192" s="56" t="s">
        <v>38</v>
      </c>
      <c r="E192" s="19" t="s">
        <v>107</v>
      </c>
      <c r="F192" s="19"/>
    </row>
    <row r="193" spans="1:6" hidden="1" x14ac:dyDescent="0.25">
      <c r="A193">
        <v>2024</v>
      </c>
      <c r="B193" s="19">
        <v>2</v>
      </c>
      <c r="C193" s="59" t="s">
        <v>28</v>
      </c>
      <c r="D193" s="56" t="s">
        <v>38</v>
      </c>
      <c r="E193" s="19" t="s">
        <v>107</v>
      </c>
      <c r="F193" s="19"/>
    </row>
    <row r="194" spans="1:6" hidden="1" x14ac:dyDescent="0.25">
      <c r="A194">
        <v>2024</v>
      </c>
      <c r="B194">
        <v>2</v>
      </c>
      <c r="C194" t="s">
        <v>27</v>
      </c>
      <c r="D194" t="s">
        <v>25</v>
      </c>
      <c r="E194" t="s">
        <v>26</v>
      </c>
    </row>
    <row r="195" spans="1:6" hidden="1" x14ac:dyDescent="0.25">
      <c r="A195">
        <v>2024</v>
      </c>
      <c r="B195">
        <v>2</v>
      </c>
      <c r="C195" t="s">
        <v>24</v>
      </c>
      <c r="D195" t="s">
        <v>25</v>
      </c>
      <c r="E195" t="s">
        <v>26</v>
      </c>
    </row>
    <row r="196" spans="1:6" hidden="1" x14ac:dyDescent="0.25">
      <c r="A196">
        <v>2024</v>
      </c>
      <c r="B196">
        <v>2</v>
      </c>
      <c r="C196" t="s">
        <v>33</v>
      </c>
      <c r="D196" t="s">
        <v>25</v>
      </c>
      <c r="E196" t="s">
        <v>26</v>
      </c>
    </row>
    <row r="197" spans="1:6" hidden="1" x14ac:dyDescent="0.25">
      <c r="A197">
        <v>2024</v>
      </c>
      <c r="B197">
        <v>2</v>
      </c>
      <c r="C197" t="s">
        <v>34</v>
      </c>
      <c r="D197" t="s">
        <v>25</v>
      </c>
      <c r="E197" t="s">
        <v>26</v>
      </c>
    </row>
    <row r="198" spans="1:6" hidden="1" x14ac:dyDescent="0.25">
      <c r="A198">
        <v>2024</v>
      </c>
      <c r="B198">
        <v>2</v>
      </c>
      <c r="C198" t="s">
        <v>37</v>
      </c>
      <c r="D198" t="s">
        <v>25</v>
      </c>
      <c r="E198" t="s">
        <v>26</v>
      </c>
    </row>
    <row r="199" spans="1:6" hidden="1" x14ac:dyDescent="0.25">
      <c r="A199">
        <v>2024</v>
      </c>
      <c r="B199">
        <v>2</v>
      </c>
      <c r="C199" t="s">
        <v>36</v>
      </c>
      <c r="D199" t="s">
        <v>25</v>
      </c>
      <c r="E199" t="s">
        <v>26</v>
      </c>
    </row>
    <row r="200" spans="1:6" hidden="1" x14ac:dyDescent="0.25">
      <c r="A200">
        <v>2024</v>
      </c>
      <c r="B200">
        <v>2</v>
      </c>
      <c r="C200" t="s">
        <v>35</v>
      </c>
      <c r="D200" t="s">
        <v>25</v>
      </c>
      <c r="E200" t="s">
        <v>26</v>
      </c>
    </row>
    <row r="201" spans="1:6" hidden="1" x14ac:dyDescent="0.25">
      <c r="A201">
        <v>2024</v>
      </c>
      <c r="B201">
        <v>2</v>
      </c>
      <c r="C201" t="s">
        <v>28</v>
      </c>
      <c r="D201" t="s">
        <v>25</v>
      </c>
      <c r="E201" t="s">
        <v>26</v>
      </c>
    </row>
    <row r="202" spans="1:6" hidden="1" x14ac:dyDescent="0.25">
      <c r="A202">
        <v>2024</v>
      </c>
      <c r="B202">
        <v>2</v>
      </c>
      <c r="C202" t="s">
        <v>29</v>
      </c>
      <c r="D202" t="s">
        <v>25</v>
      </c>
      <c r="E202" t="s">
        <v>26</v>
      </c>
    </row>
    <row r="203" spans="1:6" hidden="1" x14ac:dyDescent="0.25">
      <c r="A203">
        <v>2024</v>
      </c>
      <c r="B203">
        <v>2</v>
      </c>
      <c r="C203" t="s">
        <v>31</v>
      </c>
      <c r="D203" t="s">
        <v>25</v>
      </c>
      <c r="E203" t="s">
        <v>26</v>
      </c>
    </row>
    <row r="204" spans="1:6" hidden="1" x14ac:dyDescent="0.25">
      <c r="A204">
        <v>2024</v>
      </c>
      <c r="B204">
        <v>2</v>
      </c>
      <c r="C204" t="s">
        <v>30</v>
      </c>
      <c r="D204" t="s">
        <v>25</v>
      </c>
      <c r="E204" t="s">
        <v>26</v>
      </c>
    </row>
    <row r="205" spans="1:6" hidden="1" x14ac:dyDescent="0.25">
      <c r="A205">
        <v>2024</v>
      </c>
      <c r="B205">
        <v>2</v>
      </c>
      <c r="C205" t="s">
        <v>32</v>
      </c>
      <c r="D205" t="s">
        <v>25</v>
      </c>
      <c r="E205" t="s">
        <v>26</v>
      </c>
    </row>
    <row r="206" spans="1:6" hidden="1" x14ac:dyDescent="0.25">
      <c r="A206">
        <v>2024</v>
      </c>
      <c r="B206">
        <v>2</v>
      </c>
      <c r="C206" t="s">
        <v>24</v>
      </c>
      <c r="D206" t="s">
        <v>38</v>
      </c>
      <c r="E206" t="s">
        <v>26</v>
      </c>
    </row>
    <row r="207" spans="1:6" hidden="1" x14ac:dyDescent="0.25">
      <c r="A207">
        <v>2024</v>
      </c>
      <c r="B207">
        <v>2</v>
      </c>
      <c r="C207" t="s">
        <v>27</v>
      </c>
      <c r="D207" t="s">
        <v>38</v>
      </c>
      <c r="E207" t="s">
        <v>26</v>
      </c>
    </row>
    <row r="208" spans="1:6" hidden="1" x14ac:dyDescent="0.25">
      <c r="A208">
        <v>2024</v>
      </c>
      <c r="B208">
        <v>2</v>
      </c>
      <c r="C208" t="s">
        <v>28</v>
      </c>
      <c r="D208" t="s">
        <v>38</v>
      </c>
      <c r="E208" t="s">
        <v>26</v>
      </c>
    </row>
    <row r="209" spans="1:5" hidden="1" x14ac:dyDescent="0.25">
      <c r="A209">
        <v>2024</v>
      </c>
      <c r="B209">
        <v>2</v>
      </c>
      <c r="C209" t="s">
        <v>29</v>
      </c>
      <c r="D209" t="s">
        <v>38</v>
      </c>
      <c r="E209" t="s">
        <v>26</v>
      </c>
    </row>
    <row r="210" spans="1:5" hidden="1" x14ac:dyDescent="0.25">
      <c r="A210">
        <v>2024</v>
      </c>
      <c r="B210">
        <v>2</v>
      </c>
      <c r="C210" t="s">
        <v>30</v>
      </c>
      <c r="D210" t="s">
        <v>38</v>
      </c>
      <c r="E210" t="s">
        <v>26</v>
      </c>
    </row>
    <row r="211" spans="1:5" hidden="1" x14ac:dyDescent="0.25">
      <c r="A211">
        <v>2024</v>
      </c>
      <c r="B211">
        <v>2</v>
      </c>
      <c r="C211" t="s">
        <v>31</v>
      </c>
      <c r="D211" t="s">
        <v>38</v>
      </c>
      <c r="E211" t="s">
        <v>26</v>
      </c>
    </row>
    <row r="212" spans="1:5" hidden="1" x14ac:dyDescent="0.25">
      <c r="A212">
        <v>2024</v>
      </c>
      <c r="B212">
        <v>2</v>
      </c>
      <c r="C212" t="s">
        <v>32</v>
      </c>
      <c r="D212" t="s">
        <v>38</v>
      </c>
      <c r="E212" t="s">
        <v>26</v>
      </c>
    </row>
    <row r="213" spans="1:5" hidden="1" x14ac:dyDescent="0.25">
      <c r="A213">
        <v>2024</v>
      </c>
      <c r="B213">
        <v>2</v>
      </c>
      <c r="C213" t="s">
        <v>33</v>
      </c>
      <c r="D213" t="s">
        <v>38</v>
      </c>
      <c r="E213" t="s">
        <v>26</v>
      </c>
    </row>
    <row r="214" spans="1:5" hidden="1" x14ac:dyDescent="0.25">
      <c r="A214">
        <v>2024</v>
      </c>
      <c r="B214">
        <v>2</v>
      </c>
      <c r="C214" t="s">
        <v>34</v>
      </c>
      <c r="D214" t="s">
        <v>38</v>
      </c>
      <c r="E214" t="s">
        <v>26</v>
      </c>
    </row>
    <row r="215" spans="1:5" hidden="1" x14ac:dyDescent="0.25">
      <c r="A215">
        <v>2024</v>
      </c>
      <c r="B215">
        <v>2</v>
      </c>
      <c r="C215" t="s">
        <v>35</v>
      </c>
      <c r="D215" t="s">
        <v>38</v>
      </c>
      <c r="E215" t="s">
        <v>26</v>
      </c>
    </row>
    <row r="216" spans="1:5" hidden="1" x14ac:dyDescent="0.25">
      <c r="A216">
        <v>2024</v>
      </c>
      <c r="B216">
        <v>2</v>
      </c>
      <c r="C216" t="s">
        <v>36</v>
      </c>
      <c r="D216" t="s">
        <v>38</v>
      </c>
      <c r="E216" t="s">
        <v>26</v>
      </c>
    </row>
    <row r="217" spans="1:5" hidden="1" x14ac:dyDescent="0.25">
      <c r="A217">
        <v>2024</v>
      </c>
      <c r="B217">
        <v>2</v>
      </c>
      <c r="C217" t="s">
        <v>37</v>
      </c>
      <c r="D217" t="s">
        <v>38</v>
      </c>
      <c r="E217" t="s">
        <v>26</v>
      </c>
    </row>
    <row r="218" spans="1:5" hidden="1" x14ac:dyDescent="0.25">
      <c r="A218">
        <v>2024</v>
      </c>
      <c r="B218">
        <v>2</v>
      </c>
      <c r="C218" t="s">
        <v>35</v>
      </c>
      <c r="D218" t="s">
        <v>38</v>
      </c>
      <c r="E218" t="s">
        <v>26</v>
      </c>
    </row>
    <row r="219" spans="1:5" hidden="1" x14ac:dyDescent="0.25">
      <c r="A219">
        <v>2024</v>
      </c>
      <c r="B219">
        <v>2</v>
      </c>
      <c r="C219" t="s">
        <v>33</v>
      </c>
      <c r="D219" t="s">
        <v>38</v>
      </c>
      <c r="E219" t="s">
        <v>26</v>
      </c>
    </row>
    <row r="220" spans="1:5" hidden="1" x14ac:dyDescent="0.25">
      <c r="A220">
        <v>2024</v>
      </c>
      <c r="B220">
        <v>2</v>
      </c>
      <c r="C220" t="s">
        <v>34</v>
      </c>
      <c r="D220" t="s">
        <v>38</v>
      </c>
      <c r="E220" t="s">
        <v>26</v>
      </c>
    </row>
    <row r="221" spans="1:5" hidden="1" x14ac:dyDescent="0.25">
      <c r="A221">
        <v>2024</v>
      </c>
      <c r="B221">
        <v>2</v>
      </c>
      <c r="C221" t="s">
        <v>27</v>
      </c>
      <c r="D221" t="s">
        <v>38</v>
      </c>
      <c r="E221" t="s">
        <v>26</v>
      </c>
    </row>
    <row r="222" spans="1:5" hidden="1" x14ac:dyDescent="0.25">
      <c r="A222">
        <v>2024</v>
      </c>
      <c r="B222">
        <v>2</v>
      </c>
      <c r="C222" t="s">
        <v>32</v>
      </c>
      <c r="D222" t="s">
        <v>38</v>
      </c>
      <c r="E222" t="s">
        <v>26</v>
      </c>
    </row>
    <row r="223" spans="1:5" hidden="1" x14ac:dyDescent="0.25">
      <c r="A223">
        <v>2024</v>
      </c>
      <c r="B223">
        <v>2</v>
      </c>
      <c r="C223" t="s">
        <v>29</v>
      </c>
      <c r="D223" t="s">
        <v>38</v>
      </c>
      <c r="E223" t="s">
        <v>26</v>
      </c>
    </row>
    <row r="224" spans="1:5" hidden="1" x14ac:dyDescent="0.25">
      <c r="A224">
        <v>2024</v>
      </c>
      <c r="B224">
        <v>2</v>
      </c>
      <c r="C224" t="s">
        <v>30</v>
      </c>
      <c r="D224" t="s">
        <v>38</v>
      </c>
      <c r="E224" t="s">
        <v>26</v>
      </c>
    </row>
    <row r="225" spans="1:5" hidden="1" x14ac:dyDescent="0.25">
      <c r="A225">
        <v>2024</v>
      </c>
      <c r="B225">
        <v>2</v>
      </c>
      <c r="C225" t="s">
        <v>36</v>
      </c>
      <c r="D225" t="s">
        <v>38</v>
      </c>
      <c r="E225" t="s">
        <v>26</v>
      </c>
    </row>
    <row r="226" spans="1:5" hidden="1" x14ac:dyDescent="0.25">
      <c r="A226">
        <v>2024</v>
      </c>
      <c r="B226">
        <v>2</v>
      </c>
      <c r="C226" t="s">
        <v>24</v>
      </c>
      <c r="D226" t="s">
        <v>38</v>
      </c>
      <c r="E226" t="s">
        <v>26</v>
      </c>
    </row>
    <row r="227" spans="1:5" hidden="1" x14ac:dyDescent="0.25">
      <c r="A227">
        <v>2024</v>
      </c>
      <c r="B227">
        <v>2</v>
      </c>
      <c r="C227" t="s">
        <v>37</v>
      </c>
      <c r="D227" t="s">
        <v>38</v>
      </c>
      <c r="E227" t="s">
        <v>26</v>
      </c>
    </row>
    <row r="228" spans="1:5" hidden="1" x14ac:dyDescent="0.25">
      <c r="A228">
        <v>2024</v>
      </c>
      <c r="B228">
        <v>2</v>
      </c>
      <c r="C228" t="s">
        <v>31</v>
      </c>
      <c r="D228" t="s">
        <v>38</v>
      </c>
      <c r="E228" t="s">
        <v>26</v>
      </c>
    </row>
    <row r="229" spans="1:5" hidden="1" x14ac:dyDescent="0.25">
      <c r="A229">
        <v>2024</v>
      </c>
      <c r="B229">
        <v>2</v>
      </c>
      <c r="C229" t="s">
        <v>28</v>
      </c>
      <c r="D229" t="s">
        <v>38</v>
      </c>
      <c r="E229" t="s">
        <v>26</v>
      </c>
    </row>
    <row r="230" spans="1:5" hidden="1" x14ac:dyDescent="0.25">
      <c r="A230">
        <v>2024</v>
      </c>
      <c r="B230">
        <v>2</v>
      </c>
      <c r="C230" t="s">
        <v>27</v>
      </c>
      <c r="D230" t="s">
        <v>38</v>
      </c>
      <c r="E230" t="s">
        <v>26</v>
      </c>
    </row>
    <row r="231" spans="1:5" hidden="1" x14ac:dyDescent="0.25">
      <c r="A231">
        <v>2024</v>
      </c>
      <c r="B231">
        <v>2</v>
      </c>
      <c r="C231" t="s">
        <v>24</v>
      </c>
      <c r="D231" t="s">
        <v>38</v>
      </c>
      <c r="E231" t="s">
        <v>26</v>
      </c>
    </row>
    <row r="232" spans="1:5" hidden="1" x14ac:dyDescent="0.25">
      <c r="A232">
        <v>2024</v>
      </c>
      <c r="B232">
        <v>2</v>
      </c>
      <c r="C232" t="s">
        <v>33</v>
      </c>
      <c r="D232" t="s">
        <v>38</v>
      </c>
      <c r="E232" t="s">
        <v>26</v>
      </c>
    </row>
    <row r="233" spans="1:5" hidden="1" x14ac:dyDescent="0.25">
      <c r="A233">
        <v>2024</v>
      </c>
      <c r="B233">
        <v>2</v>
      </c>
      <c r="C233" t="s">
        <v>34</v>
      </c>
      <c r="D233" t="s">
        <v>38</v>
      </c>
      <c r="E233" t="s">
        <v>26</v>
      </c>
    </row>
    <row r="234" spans="1:5" hidden="1" x14ac:dyDescent="0.25">
      <c r="A234">
        <v>2024</v>
      </c>
      <c r="B234">
        <v>2</v>
      </c>
      <c r="C234" t="s">
        <v>37</v>
      </c>
      <c r="D234" t="s">
        <v>38</v>
      </c>
      <c r="E234" t="s">
        <v>26</v>
      </c>
    </row>
    <row r="235" spans="1:5" hidden="1" x14ac:dyDescent="0.25">
      <c r="A235">
        <v>2024</v>
      </c>
      <c r="B235">
        <v>2</v>
      </c>
      <c r="C235" t="s">
        <v>36</v>
      </c>
      <c r="D235" t="s">
        <v>38</v>
      </c>
      <c r="E235" t="s">
        <v>26</v>
      </c>
    </row>
    <row r="236" spans="1:5" hidden="1" x14ac:dyDescent="0.25">
      <c r="A236">
        <v>2024</v>
      </c>
      <c r="B236">
        <v>2</v>
      </c>
      <c r="C236" t="s">
        <v>35</v>
      </c>
      <c r="D236" t="s">
        <v>38</v>
      </c>
      <c r="E236" t="s">
        <v>26</v>
      </c>
    </row>
    <row r="237" spans="1:5" hidden="1" x14ac:dyDescent="0.25">
      <c r="A237">
        <v>2024</v>
      </c>
      <c r="B237">
        <v>2</v>
      </c>
      <c r="C237" t="s">
        <v>28</v>
      </c>
      <c r="D237" t="s">
        <v>38</v>
      </c>
      <c r="E237" t="s">
        <v>26</v>
      </c>
    </row>
    <row r="238" spans="1:5" hidden="1" x14ac:dyDescent="0.25">
      <c r="A238">
        <v>2024</v>
      </c>
      <c r="B238">
        <v>2</v>
      </c>
      <c r="C238" t="s">
        <v>29</v>
      </c>
      <c r="D238" t="s">
        <v>38</v>
      </c>
      <c r="E238" t="s">
        <v>26</v>
      </c>
    </row>
    <row r="239" spans="1:5" hidden="1" x14ac:dyDescent="0.25">
      <c r="A239">
        <v>2024</v>
      </c>
      <c r="B239">
        <v>2</v>
      </c>
      <c r="C239" t="s">
        <v>31</v>
      </c>
      <c r="D239" t="s">
        <v>38</v>
      </c>
      <c r="E239" t="s">
        <v>26</v>
      </c>
    </row>
    <row r="240" spans="1:5" hidden="1" x14ac:dyDescent="0.25">
      <c r="A240">
        <v>2024</v>
      </c>
      <c r="B240">
        <v>2</v>
      </c>
      <c r="C240" t="s">
        <v>30</v>
      </c>
      <c r="D240" t="s">
        <v>38</v>
      </c>
      <c r="E240" t="s">
        <v>26</v>
      </c>
    </row>
    <row r="241" spans="1:5" hidden="1" x14ac:dyDescent="0.25">
      <c r="A241">
        <v>2024</v>
      </c>
      <c r="B241">
        <v>2</v>
      </c>
      <c r="C241" t="s">
        <v>32</v>
      </c>
      <c r="D241" t="s">
        <v>38</v>
      </c>
      <c r="E241" t="s">
        <v>26</v>
      </c>
    </row>
    <row r="242" spans="1:5" hidden="1" x14ac:dyDescent="0.25">
      <c r="A242">
        <v>2024</v>
      </c>
      <c r="B242">
        <v>3</v>
      </c>
      <c r="C242" t="s">
        <v>24</v>
      </c>
      <c r="D242" t="s">
        <v>25</v>
      </c>
      <c r="E242" t="s">
        <v>26</v>
      </c>
    </row>
    <row r="243" spans="1:5" hidden="1" x14ac:dyDescent="0.25">
      <c r="A243">
        <v>2024</v>
      </c>
      <c r="B243">
        <v>3</v>
      </c>
      <c r="C243" t="s">
        <v>27</v>
      </c>
      <c r="D243" t="s">
        <v>25</v>
      </c>
      <c r="E243" t="s">
        <v>26</v>
      </c>
    </row>
    <row r="244" spans="1:5" hidden="1" x14ac:dyDescent="0.25">
      <c r="A244">
        <v>2024</v>
      </c>
      <c r="B244">
        <v>3</v>
      </c>
      <c r="C244" t="s">
        <v>28</v>
      </c>
      <c r="D244" t="s">
        <v>25</v>
      </c>
      <c r="E244" t="s">
        <v>26</v>
      </c>
    </row>
    <row r="245" spans="1:5" hidden="1" x14ac:dyDescent="0.25">
      <c r="A245">
        <v>2024</v>
      </c>
      <c r="B245">
        <v>3</v>
      </c>
      <c r="C245" t="s">
        <v>29</v>
      </c>
      <c r="D245" t="s">
        <v>25</v>
      </c>
      <c r="E245" t="s">
        <v>26</v>
      </c>
    </row>
    <row r="246" spans="1:5" hidden="1" x14ac:dyDescent="0.25">
      <c r="A246">
        <v>2024</v>
      </c>
      <c r="B246">
        <v>3</v>
      </c>
      <c r="C246" t="s">
        <v>30</v>
      </c>
      <c r="D246" t="s">
        <v>25</v>
      </c>
      <c r="E246" t="s">
        <v>26</v>
      </c>
    </row>
    <row r="247" spans="1:5" hidden="1" x14ac:dyDescent="0.25">
      <c r="A247">
        <v>2024</v>
      </c>
      <c r="B247">
        <v>3</v>
      </c>
      <c r="C247" t="s">
        <v>31</v>
      </c>
      <c r="D247" t="s">
        <v>25</v>
      </c>
      <c r="E247" t="s">
        <v>26</v>
      </c>
    </row>
    <row r="248" spans="1:5" hidden="1" x14ac:dyDescent="0.25">
      <c r="A248">
        <v>2024</v>
      </c>
      <c r="B248">
        <v>3</v>
      </c>
      <c r="C248" t="s">
        <v>32</v>
      </c>
      <c r="D248" t="s">
        <v>25</v>
      </c>
      <c r="E248" t="s">
        <v>26</v>
      </c>
    </row>
    <row r="249" spans="1:5" hidden="1" x14ac:dyDescent="0.25">
      <c r="A249">
        <v>2024</v>
      </c>
      <c r="B249">
        <v>3</v>
      </c>
      <c r="C249" t="s">
        <v>33</v>
      </c>
      <c r="D249" t="s">
        <v>25</v>
      </c>
      <c r="E249" t="s">
        <v>26</v>
      </c>
    </row>
    <row r="250" spans="1:5" hidden="1" x14ac:dyDescent="0.25">
      <c r="A250">
        <v>2024</v>
      </c>
      <c r="B250">
        <v>3</v>
      </c>
      <c r="C250" t="s">
        <v>34</v>
      </c>
      <c r="D250" t="s">
        <v>25</v>
      </c>
      <c r="E250" t="s">
        <v>26</v>
      </c>
    </row>
    <row r="251" spans="1:5" hidden="1" x14ac:dyDescent="0.25">
      <c r="A251">
        <v>2024</v>
      </c>
      <c r="B251">
        <v>3</v>
      </c>
      <c r="C251" t="s">
        <v>35</v>
      </c>
      <c r="D251" t="s">
        <v>25</v>
      </c>
      <c r="E251" t="s">
        <v>26</v>
      </c>
    </row>
    <row r="252" spans="1:5" hidden="1" x14ac:dyDescent="0.25">
      <c r="A252">
        <v>2024</v>
      </c>
      <c r="B252">
        <v>3</v>
      </c>
      <c r="C252" t="s">
        <v>36</v>
      </c>
      <c r="D252" t="s">
        <v>25</v>
      </c>
      <c r="E252" t="s">
        <v>26</v>
      </c>
    </row>
    <row r="253" spans="1:5" hidden="1" x14ac:dyDescent="0.25">
      <c r="A253">
        <v>2024</v>
      </c>
      <c r="B253">
        <v>3</v>
      </c>
      <c r="C253" t="s">
        <v>37</v>
      </c>
      <c r="D253" t="s">
        <v>25</v>
      </c>
      <c r="E253" t="s">
        <v>26</v>
      </c>
    </row>
    <row r="254" spans="1:5" hidden="1" x14ac:dyDescent="0.25">
      <c r="A254">
        <v>2024</v>
      </c>
      <c r="B254">
        <v>3</v>
      </c>
      <c r="C254" t="s">
        <v>35</v>
      </c>
      <c r="D254" t="s">
        <v>25</v>
      </c>
      <c r="E254" t="s">
        <v>26</v>
      </c>
    </row>
    <row r="255" spans="1:5" hidden="1" x14ac:dyDescent="0.25">
      <c r="A255">
        <v>2024</v>
      </c>
      <c r="B255">
        <v>3</v>
      </c>
      <c r="C255" t="s">
        <v>33</v>
      </c>
      <c r="D255" t="s">
        <v>25</v>
      </c>
      <c r="E255" t="s">
        <v>26</v>
      </c>
    </row>
    <row r="256" spans="1:5" hidden="1" x14ac:dyDescent="0.25">
      <c r="A256">
        <v>2024</v>
      </c>
      <c r="B256">
        <v>3</v>
      </c>
      <c r="C256" t="s">
        <v>34</v>
      </c>
      <c r="D256" t="s">
        <v>25</v>
      </c>
      <c r="E256" t="s">
        <v>26</v>
      </c>
    </row>
    <row r="257" spans="1:5" hidden="1" x14ac:dyDescent="0.25">
      <c r="A257">
        <v>2024</v>
      </c>
      <c r="B257">
        <v>3</v>
      </c>
      <c r="C257" t="s">
        <v>27</v>
      </c>
      <c r="D257" t="s">
        <v>25</v>
      </c>
      <c r="E257" t="s">
        <v>26</v>
      </c>
    </row>
    <row r="258" spans="1:5" hidden="1" x14ac:dyDescent="0.25">
      <c r="A258">
        <v>2024</v>
      </c>
      <c r="B258">
        <v>3</v>
      </c>
      <c r="C258" t="s">
        <v>32</v>
      </c>
      <c r="D258" t="s">
        <v>25</v>
      </c>
      <c r="E258" t="s">
        <v>26</v>
      </c>
    </row>
    <row r="259" spans="1:5" hidden="1" x14ac:dyDescent="0.25">
      <c r="A259">
        <v>2024</v>
      </c>
      <c r="B259">
        <v>3</v>
      </c>
      <c r="C259" t="s">
        <v>29</v>
      </c>
      <c r="D259" t="s">
        <v>25</v>
      </c>
      <c r="E259" t="s">
        <v>26</v>
      </c>
    </row>
    <row r="260" spans="1:5" hidden="1" x14ac:dyDescent="0.25">
      <c r="A260">
        <v>2024</v>
      </c>
      <c r="B260">
        <v>3</v>
      </c>
      <c r="C260" t="s">
        <v>30</v>
      </c>
      <c r="D260" t="s">
        <v>25</v>
      </c>
      <c r="E260" t="s">
        <v>26</v>
      </c>
    </row>
    <row r="261" spans="1:5" hidden="1" x14ac:dyDescent="0.25">
      <c r="A261">
        <v>2024</v>
      </c>
      <c r="B261">
        <v>3</v>
      </c>
      <c r="C261" t="s">
        <v>36</v>
      </c>
      <c r="D261" t="s">
        <v>25</v>
      </c>
      <c r="E261" t="s">
        <v>26</v>
      </c>
    </row>
    <row r="262" spans="1:5" hidden="1" x14ac:dyDescent="0.25">
      <c r="A262">
        <v>2024</v>
      </c>
      <c r="B262">
        <v>3</v>
      </c>
      <c r="C262" t="s">
        <v>24</v>
      </c>
      <c r="D262" t="s">
        <v>25</v>
      </c>
      <c r="E262" t="s">
        <v>26</v>
      </c>
    </row>
    <row r="263" spans="1:5" hidden="1" x14ac:dyDescent="0.25">
      <c r="A263">
        <v>2024</v>
      </c>
      <c r="B263">
        <v>3</v>
      </c>
      <c r="C263" t="s">
        <v>37</v>
      </c>
      <c r="D263" t="s">
        <v>25</v>
      </c>
      <c r="E263" t="s">
        <v>26</v>
      </c>
    </row>
    <row r="264" spans="1:5" hidden="1" x14ac:dyDescent="0.25">
      <c r="A264">
        <v>2024</v>
      </c>
      <c r="B264">
        <v>3</v>
      </c>
      <c r="C264" t="s">
        <v>31</v>
      </c>
      <c r="D264" t="s">
        <v>25</v>
      </c>
      <c r="E264" t="s">
        <v>26</v>
      </c>
    </row>
    <row r="265" spans="1:5" hidden="1" x14ac:dyDescent="0.25">
      <c r="A265">
        <v>2024</v>
      </c>
      <c r="B265">
        <v>3</v>
      </c>
      <c r="C265" t="s">
        <v>28</v>
      </c>
      <c r="D265" t="s">
        <v>25</v>
      </c>
      <c r="E265" t="s">
        <v>26</v>
      </c>
    </row>
    <row r="266" spans="1:5" hidden="1" x14ac:dyDescent="0.25">
      <c r="A266">
        <v>2024</v>
      </c>
      <c r="B266">
        <v>3</v>
      </c>
      <c r="C266" t="s">
        <v>27</v>
      </c>
      <c r="D266" t="s">
        <v>25</v>
      </c>
      <c r="E266" t="s">
        <v>26</v>
      </c>
    </row>
    <row r="267" spans="1:5" hidden="1" x14ac:dyDescent="0.25">
      <c r="A267">
        <v>2024</v>
      </c>
      <c r="B267">
        <v>3</v>
      </c>
      <c r="C267" t="s">
        <v>24</v>
      </c>
      <c r="D267" t="s">
        <v>25</v>
      </c>
      <c r="E267" t="s">
        <v>26</v>
      </c>
    </row>
    <row r="268" spans="1:5" hidden="1" x14ac:dyDescent="0.25">
      <c r="A268">
        <v>2024</v>
      </c>
      <c r="B268">
        <v>3</v>
      </c>
      <c r="C268" t="s">
        <v>33</v>
      </c>
      <c r="D268" t="s">
        <v>25</v>
      </c>
      <c r="E268" t="s">
        <v>26</v>
      </c>
    </row>
    <row r="269" spans="1:5" hidden="1" x14ac:dyDescent="0.25">
      <c r="A269">
        <v>2024</v>
      </c>
      <c r="B269">
        <v>3</v>
      </c>
      <c r="C269" t="s">
        <v>34</v>
      </c>
      <c r="D269" t="s">
        <v>25</v>
      </c>
      <c r="E269" t="s">
        <v>26</v>
      </c>
    </row>
    <row r="270" spans="1:5" hidden="1" x14ac:dyDescent="0.25">
      <c r="A270">
        <v>2024</v>
      </c>
      <c r="B270">
        <v>3</v>
      </c>
      <c r="C270" t="s">
        <v>37</v>
      </c>
      <c r="D270" t="s">
        <v>25</v>
      </c>
      <c r="E270" t="s">
        <v>26</v>
      </c>
    </row>
    <row r="271" spans="1:5" hidden="1" x14ac:dyDescent="0.25">
      <c r="A271">
        <v>2024</v>
      </c>
      <c r="B271">
        <v>3</v>
      </c>
      <c r="C271" t="s">
        <v>36</v>
      </c>
      <c r="D271" t="s">
        <v>25</v>
      </c>
      <c r="E271" t="s">
        <v>26</v>
      </c>
    </row>
    <row r="272" spans="1:5" hidden="1" x14ac:dyDescent="0.25">
      <c r="A272">
        <v>2024</v>
      </c>
      <c r="B272">
        <v>3</v>
      </c>
      <c r="C272" t="s">
        <v>35</v>
      </c>
      <c r="D272" t="s">
        <v>25</v>
      </c>
      <c r="E272" t="s">
        <v>26</v>
      </c>
    </row>
    <row r="273" spans="1:5" hidden="1" x14ac:dyDescent="0.25">
      <c r="A273">
        <v>2024</v>
      </c>
      <c r="B273">
        <v>3</v>
      </c>
      <c r="C273" t="s">
        <v>28</v>
      </c>
      <c r="D273" t="s">
        <v>25</v>
      </c>
      <c r="E273" t="s">
        <v>26</v>
      </c>
    </row>
    <row r="274" spans="1:5" hidden="1" x14ac:dyDescent="0.25">
      <c r="A274">
        <v>2024</v>
      </c>
      <c r="B274">
        <v>3</v>
      </c>
      <c r="C274" t="s">
        <v>29</v>
      </c>
      <c r="D274" t="s">
        <v>25</v>
      </c>
      <c r="E274" t="s">
        <v>26</v>
      </c>
    </row>
    <row r="275" spans="1:5" hidden="1" x14ac:dyDescent="0.25">
      <c r="A275">
        <v>2024</v>
      </c>
      <c r="B275">
        <v>3</v>
      </c>
      <c r="C275" t="s">
        <v>31</v>
      </c>
      <c r="D275" t="s">
        <v>25</v>
      </c>
      <c r="E275" t="s">
        <v>26</v>
      </c>
    </row>
    <row r="276" spans="1:5" hidden="1" x14ac:dyDescent="0.25">
      <c r="A276">
        <v>2024</v>
      </c>
      <c r="B276">
        <v>3</v>
      </c>
      <c r="C276" t="s">
        <v>30</v>
      </c>
      <c r="D276" t="s">
        <v>25</v>
      </c>
      <c r="E276" t="s">
        <v>26</v>
      </c>
    </row>
    <row r="277" spans="1:5" hidden="1" x14ac:dyDescent="0.25">
      <c r="A277">
        <v>2024</v>
      </c>
      <c r="B277">
        <v>3</v>
      </c>
      <c r="C277" t="s">
        <v>32</v>
      </c>
      <c r="D277" t="s">
        <v>25</v>
      </c>
      <c r="E277" t="s">
        <v>26</v>
      </c>
    </row>
    <row r="278" spans="1:5" hidden="1" x14ac:dyDescent="0.25">
      <c r="A278">
        <v>2024</v>
      </c>
      <c r="B278">
        <v>3</v>
      </c>
      <c r="C278" t="s">
        <v>24</v>
      </c>
      <c r="D278" t="s">
        <v>38</v>
      </c>
      <c r="E278" t="s">
        <v>26</v>
      </c>
    </row>
    <row r="279" spans="1:5" hidden="1" x14ac:dyDescent="0.25">
      <c r="A279">
        <v>2024</v>
      </c>
      <c r="B279">
        <v>3</v>
      </c>
      <c r="C279" t="s">
        <v>27</v>
      </c>
      <c r="D279" t="s">
        <v>38</v>
      </c>
      <c r="E279" t="s">
        <v>26</v>
      </c>
    </row>
    <row r="280" spans="1:5" hidden="1" x14ac:dyDescent="0.25">
      <c r="A280">
        <v>2024</v>
      </c>
      <c r="B280">
        <v>3</v>
      </c>
      <c r="C280" t="s">
        <v>28</v>
      </c>
      <c r="D280" t="s">
        <v>38</v>
      </c>
      <c r="E280" t="s">
        <v>26</v>
      </c>
    </row>
    <row r="281" spans="1:5" hidden="1" x14ac:dyDescent="0.25">
      <c r="A281">
        <v>2024</v>
      </c>
      <c r="B281">
        <v>3</v>
      </c>
      <c r="C281" t="s">
        <v>29</v>
      </c>
      <c r="D281" t="s">
        <v>38</v>
      </c>
      <c r="E281" t="s">
        <v>26</v>
      </c>
    </row>
    <row r="282" spans="1:5" hidden="1" x14ac:dyDescent="0.25">
      <c r="A282">
        <v>2024</v>
      </c>
      <c r="B282">
        <v>3</v>
      </c>
      <c r="C282" t="s">
        <v>30</v>
      </c>
      <c r="D282" t="s">
        <v>38</v>
      </c>
      <c r="E282" t="s">
        <v>26</v>
      </c>
    </row>
    <row r="283" spans="1:5" hidden="1" x14ac:dyDescent="0.25">
      <c r="A283">
        <v>2024</v>
      </c>
      <c r="B283">
        <v>3</v>
      </c>
      <c r="C283" t="s">
        <v>31</v>
      </c>
      <c r="D283" t="s">
        <v>38</v>
      </c>
      <c r="E283" t="s">
        <v>26</v>
      </c>
    </row>
    <row r="284" spans="1:5" hidden="1" x14ac:dyDescent="0.25">
      <c r="A284">
        <v>2024</v>
      </c>
      <c r="B284">
        <v>3</v>
      </c>
      <c r="C284" t="s">
        <v>32</v>
      </c>
      <c r="D284" t="s">
        <v>38</v>
      </c>
      <c r="E284" t="s">
        <v>26</v>
      </c>
    </row>
    <row r="285" spans="1:5" hidden="1" x14ac:dyDescent="0.25">
      <c r="A285">
        <v>2024</v>
      </c>
      <c r="B285">
        <v>3</v>
      </c>
      <c r="C285" t="s">
        <v>33</v>
      </c>
      <c r="D285" t="s">
        <v>38</v>
      </c>
      <c r="E285" t="s">
        <v>26</v>
      </c>
    </row>
    <row r="286" spans="1:5" hidden="1" x14ac:dyDescent="0.25">
      <c r="A286">
        <v>2024</v>
      </c>
      <c r="B286">
        <v>3</v>
      </c>
      <c r="C286" t="s">
        <v>34</v>
      </c>
      <c r="D286" t="s">
        <v>38</v>
      </c>
      <c r="E286" t="s">
        <v>26</v>
      </c>
    </row>
    <row r="287" spans="1:5" hidden="1" x14ac:dyDescent="0.25">
      <c r="A287">
        <v>2024</v>
      </c>
      <c r="B287">
        <v>3</v>
      </c>
      <c r="C287" t="s">
        <v>35</v>
      </c>
      <c r="D287" t="s">
        <v>38</v>
      </c>
      <c r="E287" t="s">
        <v>26</v>
      </c>
    </row>
    <row r="288" spans="1:5" hidden="1" x14ac:dyDescent="0.25">
      <c r="A288">
        <v>2024</v>
      </c>
      <c r="B288">
        <v>3</v>
      </c>
      <c r="C288" t="s">
        <v>36</v>
      </c>
      <c r="D288" t="s">
        <v>38</v>
      </c>
      <c r="E288" t="s">
        <v>26</v>
      </c>
    </row>
    <row r="289" spans="1:5" hidden="1" x14ac:dyDescent="0.25">
      <c r="A289">
        <v>2024</v>
      </c>
      <c r="B289">
        <v>3</v>
      </c>
      <c r="C289" t="s">
        <v>37</v>
      </c>
      <c r="D289" t="s">
        <v>38</v>
      </c>
      <c r="E289" t="s">
        <v>26</v>
      </c>
    </row>
    <row r="290" spans="1:5" hidden="1" x14ac:dyDescent="0.25">
      <c r="A290">
        <v>2024</v>
      </c>
      <c r="B290" s="15">
        <v>3</v>
      </c>
      <c r="C290" s="15" t="s">
        <v>35</v>
      </c>
      <c r="D290" t="s">
        <v>38</v>
      </c>
      <c r="E290" s="15" t="s">
        <v>26</v>
      </c>
    </row>
    <row r="291" spans="1:5" hidden="1" x14ac:dyDescent="0.25">
      <c r="A291">
        <v>2024</v>
      </c>
      <c r="B291">
        <v>3</v>
      </c>
      <c r="C291" t="s">
        <v>33</v>
      </c>
      <c r="D291" t="s">
        <v>38</v>
      </c>
      <c r="E291" t="s">
        <v>26</v>
      </c>
    </row>
    <row r="292" spans="1:5" hidden="1" x14ac:dyDescent="0.25">
      <c r="A292">
        <v>2024</v>
      </c>
      <c r="B292" s="15">
        <v>3</v>
      </c>
      <c r="C292" t="s">
        <v>34</v>
      </c>
      <c r="D292" t="s">
        <v>38</v>
      </c>
      <c r="E292" t="s">
        <v>26</v>
      </c>
    </row>
    <row r="293" spans="1:5" hidden="1" x14ac:dyDescent="0.25">
      <c r="A293">
        <v>2024</v>
      </c>
      <c r="B293">
        <v>3</v>
      </c>
      <c r="C293" t="s">
        <v>27</v>
      </c>
      <c r="D293" t="s">
        <v>38</v>
      </c>
      <c r="E293" t="s">
        <v>26</v>
      </c>
    </row>
    <row r="294" spans="1:5" hidden="1" x14ac:dyDescent="0.25">
      <c r="A294">
        <v>2024</v>
      </c>
      <c r="B294" s="15">
        <v>3</v>
      </c>
      <c r="C294" t="s">
        <v>32</v>
      </c>
      <c r="D294" t="s">
        <v>38</v>
      </c>
      <c r="E294" t="s">
        <v>26</v>
      </c>
    </row>
    <row r="295" spans="1:5" hidden="1" x14ac:dyDescent="0.25">
      <c r="A295">
        <v>2024</v>
      </c>
      <c r="B295">
        <v>3</v>
      </c>
      <c r="C295" t="s">
        <v>29</v>
      </c>
      <c r="D295" t="s">
        <v>38</v>
      </c>
      <c r="E295" t="s">
        <v>26</v>
      </c>
    </row>
    <row r="296" spans="1:5" hidden="1" x14ac:dyDescent="0.25">
      <c r="A296">
        <v>2024</v>
      </c>
      <c r="B296" s="15">
        <v>3</v>
      </c>
      <c r="C296" t="s">
        <v>30</v>
      </c>
      <c r="D296" t="s">
        <v>38</v>
      </c>
      <c r="E296" t="s">
        <v>26</v>
      </c>
    </row>
    <row r="297" spans="1:5" hidden="1" x14ac:dyDescent="0.25">
      <c r="A297">
        <v>2024</v>
      </c>
      <c r="B297">
        <v>3</v>
      </c>
      <c r="C297" t="s">
        <v>36</v>
      </c>
      <c r="D297" t="s">
        <v>38</v>
      </c>
      <c r="E297" t="s">
        <v>26</v>
      </c>
    </row>
    <row r="298" spans="1:5" hidden="1" x14ac:dyDescent="0.25">
      <c r="A298">
        <v>2024</v>
      </c>
      <c r="B298" s="15">
        <v>3</v>
      </c>
      <c r="C298" t="s">
        <v>24</v>
      </c>
      <c r="D298" t="s">
        <v>38</v>
      </c>
      <c r="E298" t="s">
        <v>26</v>
      </c>
    </row>
    <row r="299" spans="1:5" hidden="1" x14ac:dyDescent="0.25">
      <c r="A299">
        <v>2024</v>
      </c>
      <c r="B299">
        <v>3</v>
      </c>
      <c r="C299" t="s">
        <v>37</v>
      </c>
      <c r="D299" t="s">
        <v>38</v>
      </c>
      <c r="E299" t="s">
        <v>26</v>
      </c>
    </row>
    <row r="300" spans="1:5" hidden="1" x14ac:dyDescent="0.25">
      <c r="A300">
        <v>2024</v>
      </c>
      <c r="B300" s="15">
        <v>3</v>
      </c>
      <c r="C300" t="s">
        <v>31</v>
      </c>
      <c r="D300" t="s">
        <v>38</v>
      </c>
      <c r="E300" t="s">
        <v>26</v>
      </c>
    </row>
    <row r="301" spans="1:5" hidden="1" x14ac:dyDescent="0.25">
      <c r="A301">
        <v>2024</v>
      </c>
      <c r="B301">
        <v>3</v>
      </c>
      <c r="C301" t="s">
        <v>28</v>
      </c>
      <c r="D301" t="s">
        <v>38</v>
      </c>
      <c r="E301" t="s">
        <v>26</v>
      </c>
    </row>
    <row r="302" spans="1:5" hidden="1" x14ac:dyDescent="0.25">
      <c r="A302">
        <v>2024</v>
      </c>
      <c r="B302" s="15">
        <v>3</v>
      </c>
      <c r="C302" t="s">
        <v>27</v>
      </c>
      <c r="D302" t="s">
        <v>38</v>
      </c>
      <c r="E302" t="s">
        <v>26</v>
      </c>
    </row>
    <row r="303" spans="1:5" hidden="1" x14ac:dyDescent="0.25">
      <c r="A303">
        <v>2024</v>
      </c>
      <c r="B303">
        <v>3</v>
      </c>
      <c r="C303" t="s">
        <v>24</v>
      </c>
      <c r="D303" t="s">
        <v>38</v>
      </c>
      <c r="E303" t="s">
        <v>26</v>
      </c>
    </row>
    <row r="304" spans="1:5" hidden="1" x14ac:dyDescent="0.25">
      <c r="A304">
        <v>2024</v>
      </c>
      <c r="B304" s="15">
        <v>3</v>
      </c>
      <c r="C304" t="s">
        <v>33</v>
      </c>
      <c r="D304" t="s">
        <v>38</v>
      </c>
      <c r="E304" t="s">
        <v>26</v>
      </c>
    </row>
    <row r="305" spans="1:15" hidden="1" x14ac:dyDescent="0.25">
      <c r="A305">
        <v>2024</v>
      </c>
      <c r="B305">
        <v>3</v>
      </c>
      <c r="C305" t="s">
        <v>34</v>
      </c>
      <c r="D305" t="s">
        <v>38</v>
      </c>
      <c r="E305" t="s">
        <v>26</v>
      </c>
    </row>
    <row r="306" spans="1:15" hidden="1" x14ac:dyDescent="0.25">
      <c r="A306">
        <v>2024</v>
      </c>
      <c r="B306" s="15">
        <v>3</v>
      </c>
      <c r="C306" t="s">
        <v>37</v>
      </c>
      <c r="D306" t="s">
        <v>38</v>
      </c>
      <c r="E306" t="s">
        <v>26</v>
      </c>
    </row>
    <row r="307" spans="1:15" hidden="1" x14ac:dyDescent="0.25">
      <c r="A307">
        <v>2024</v>
      </c>
      <c r="B307">
        <v>3</v>
      </c>
      <c r="C307" t="s">
        <v>36</v>
      </c>
      <c r="D307" t="s">
        <v>38</v>
      </c>
      <c r="E307" t="s">
        <v>26</v>
      </c>
    </row>
    <row r="308" spans="1:15" hidden="1" x14ac:dyDescent="0.25">
      <c r="A308">
        <v>2024</v>
      </c>
      <c r="B308" s="15">
        <v>3</v>
      </c>
      <c r="C308" t="s">
        <v>35</v>
      </c>
      <c r="D308" t="s">
        <v>38</v>
      </c>
      <c r="E308" t="s">
        <v>26</v>
      </c>
    </row>
    <row r="309" spans="1:15" hidden="1" x14ac:dyDescent="0.25">
      <c r="A309">
        <v>2024</v>
      </c>
      <c r="B309">
        <v>3</v>
      </c>
      <c r="C309" t="s">
        <v>28</v>
      </c>
      <c r="D309" t="s">
        <v>38</v>
      </c>
      <c r="E309" t="s">
        <v>26</v>
      </c>
    </row>
    <row r="310" spans="1:15" hidden="1" x14ac:dyDescent="0.25">
      <c r="A310">
        <v>2024</v>
      </c>
      <c r="B310" s="15">
        <v>3</v>
      </c>
      <c r="C310" t="s">
        <v>29</v>
      </c>
      <c r="D310" t="s">
        <v>38</v>
      </c>
      <c r="E310" t="s">
        <v>26</v>
      </c>
    </row>
    <row r="311" spans="1:15" hidden="1" x14ac:dyDescent="0.25">
      <c r="A311">
        <v>2024</v>
      </c>
      <c r="B311">
        <v>3</v>
      </c>
      <c r="C311" t="s">
        <v>31</v>
      </c>
      <c r="D311" t="s">
        <v>38</v>
      </c>
      <c r="E311" t="s">
        <v>26</v>
      </c>
    </row>
    <row r="312" spans="1:15" hidden="1" x14ac:dyDescent="0.25">
      <c r="A312">
        <v>2024</v>
      </c>
      <c r="B312" s="15">
        <v>3</v>
      </c>
      <c r="C312" t="s">
        <v>30</v>
      </c>
      <c r="D312" t="s">
        <v>38</v>
      </c>
      <c r="E312" t="s">
        <v>26</v>
      </c>
    </row>
    <row r="313" spans="1:15" hidden="1" x14ac:dyDescent="0.25">
      <c r="A313">
        <v>2024</v>
      </c>
      <c r="B313">
        <v>3</v>
      </c>
      <c r="C313" t="s">
        <v>32</v>
      </c>
      <c r="D313" t="s">
        <v>38</v>
      </c>
      <c r="E313" t="s">
        <v>26</v>
      </c>
    </row>
    <row r="314" spans="1:15" x14ac:dyDescent="0.25">
      <c r="A314">
        <v>2025</v>
      </c>
      <c r="B314" t="s">
        <v>103</v>
      </c>
      <c r="C314" t="s">
        <v>105</v>
      </c>
      <c r="D314" s="70" t="s">
        <v>38</v>
      </c>
      <c r="E314" t="s">
        <v>26</v>
      </c>
      <c r="F314">
        <v>3095.1859956236322</v>
      </c>
      <c r="J314" s="84">
        <v>2024</v>
      </c>
      <c r="K314" s="84" t="s">
        <v>103</v>
      </c>
      <c r="L314" s="84" t="s">
        <v>30</v>
      </c>
      <c r="M314" s="85" t="s">
        <v>25</v>
      </c>
      <c r="N314" s="84" t="s">
        <v>26</v>
      </c>
      <c r="O314" s="84"/>
    </row>
    <row r="315" spans="1:15" x14ac:dyDescent="0.25">
      <c r="A315">
        <v>2025</v>
      </c>
      <c r="B315" t="s">
        <v>103</v>
      </c>
      <c r="C315" t="s">
        <v>105</v>
      </c>
      <c r="D315" s="70" t="s">
        <v>25</v>
      </c>
      <c r="E315" t="s">
        <v>26</v>
      </c>
      <c r="J315" s="84">
        <v>2024</v>
      </c>
      <c r="K315" s="84" t="s">
        <v>103</v>
      </c>
      <c r="L315" s="84" t="s">
        <v>30</v>
      </c>
      <c r="M315" s="85" t="s">
        <v>25</v>
      </c>
      <c r="N315" s="84" t="s">
        <v>26</v>
      </c>
      <c r="O315" s="84">
        <v>1712.253829321663</v>
      </c>
    </row>
    <row r="316" spans="1:15" x14ac:dyDescent="0.25">
      <c r="A316">
        <v>2024</v>
      </c>
      <c r="B316" t="s">
        <v>103</v>
      </c>
      <c r="C316" t="s">
        <v>24</v>
      </c>
      <c r="D316" s="70" t="s">
        <v>25</v>
      </c>
      <c r="E316" t="s">
        <v>26</v>
      </c>
      <c r="F316">
        <v>1516.9584245076585</v>
      </c>
      <c r="J316" s="84">
        <v>2024</v>
      </c>
      <c r="K316" s="84" t="s">
        <v>103</v>
      </c>
      <c r="L316" s="84" t="s">
        <v>30</v>
      </c>
      <c r="M316" s="85" t="s">
        <v>25</v>
      </c>
      <c r="N316" s="84" t="s">
        <v>26</v>
      </c>
      <c r="O316" s="84">
        <v>2071.1159737417938</v>
      </c>
    </row>
    <row r="317" spans="1:15" x14ac:dyDescent="0.25">
      <c r="A317">
        <v>2024</v>
      </c>
      <c r="B317" t="s">
        <v>103</v>
      </c>
      <c r="C317" t="s">
        <v>24</v>
      </c>
      <c r="D317" s="70" t="s">
        <v>25</v>
      </c>
      <c r="E317" t="s">
        <v>26</v>
      </c>
      <c r="F317">
        <v>1430.5251641137854</v>
      </c>
      <c r="J317" s="49">
        <v>2024</v>
      </c>
      <c r="K317" s="49" t="s">
        <v>103</v>
      </c>
      <c r="L317" s="49" t="s">
        <v>30</v>
      </c>
      <c r="M317" s="77" t="s">
        <v>38</v>
      </c>
      <c r="N317" s="49" t="s">
        <v>26</v>
      </c>
      <c r="O317" s="49">
        <v>2659.7374179431072</v>
      </c>
    </row>
    <row r="318" spans="1:15" x14ac:dyDescent="0.25">
      <c r="A318">
        <v>2024</v>
      </c>
      <c r="B318" t="s">
        <v>103</v>
      </c>
      <c r="C318" t="s">
        <v>24</v>
      </c>
      <c r="D318" s="70" t="s">
        <v>25</v>
      </c>
      <c r="E318" t="s">
        <v>26</v>
      </c>
      <c r="F318">
        <v>1636.7614879649891</v>
      </c>
      <c r="J318" s="84">
        <v>2024</v>
      </c>
      <c r="K318" s="84" t="s">
        <v>103</v>
      </c>
      <c r="L318" s="84" t="s">
        <v>30</v>
      </c>
      <c r="M318" s="85" t="s">
        <v>38</v>
      </c>
      <c r="N318" s="84" t="s">
        <v>26</v>
      </c>
      <c r="O318" s="84">
        <v>3208.4245076586431</v>
      </c>
    </row>
    <row r="319" spans="1:15" x14ac:dyDescent="0.25">
      <c r="A319">
        <v>2024</v>
      </c>
      <c r="B319" t="s">
        <v>103</v>
      </c>
      <c r="C319" t="s">
        <v>24</v>
      </c>
      <c r="D319" s="70" t="s">
        <v>38</v>
      </c>
      <c r="E319" t="s">
        <v>26</v>
      </c>
      <c r="F319">
        <v>3729.7592997811817</v>
      </c>
      <c r="J319" s="49">
        <v>2024</v>
      </c>
      <c r="K319" s="49" t="s">
        <v>103</v>
      </c>
      <c r="L319" s="49" t="s">
        <v>30</v>
      </c>
      <c r="M319" s="77" t="s">
        <v>38</v>
      </c>
      <c r="N319" s="49" t="s">
        <v>26</v>
      </c>
      <c r="O319" s="49">
        <v>4084.7921225382929</v>
      </c>
    </row>
    <row r="320" spans="1:15" x14ac:dyDescent="0.25">
      <c r="A320">
        <v>2024</v>
      </c>
      <c r="B320" t="s">
        <v>103</v>
      </c>
      <c r="C320" t="s">
        <v>24</v>
      </c>
      <c r="D320" s="70" t="s">
        <v>38</v>
      </c>
      <c r="E320" t="s">
        <v>26</v>
      </c>
      <c r="F320">
        <v>4454.0481400437629</v>
      </c>
      <c r="J320">
        <v>2025</v>
      </c>
      <c r="K320" t="s">
        <v>103</v>
      </c>
      <c r="L320" t="s">
        <v>30</v>
      </c>
      <c r="M320" s="70" t="s">
        <v>38</v>
      </c>
      <c r="N320" t="s">
        <v>26</v>
      </c>
      <c r="O320">
        <v>4396.0612691466085</v>
      </c>
    </row>
    <row r="321" spans="1:15" x14ac:dyDescent="0.25">
      <c r="A321">
        <v>2024</v>
      </c>
      <c r="B321" t="s">
        <v>103</v>
      </c>
      <c r="C321" t="s">
        <v>24</v>
      </c>
      <c r="D321" s="70" t="s">
        <v>38</v>
      </c>
      <c r="E321" t="s">
        <v>26</v>
      </c>
      <c r="F321">
        <v>4184.9015317286648</v>
      </c>
      <c r="J321">
        <v>2025</v>
      </c>
      <c r="K321" t="s">
        <v>103</v>
      </c>
      <c r="L321" t="s">
        <v>30</v>
      </c>
      <c r="M321" s="70" t="s">
        <v>38</v>
      </c>
      <c r="N321" t="s">
        <v>26</v>
      </c>
      <c r="O321">
        <v>3795.404814004376</v>
      </c>
    </row>
    <row r="322" spans="1:15" x14ac:dyDescent="0.25">
      <c r="A322">
        <v>2025</v>
      </c>
      <c r="B322" t="s">
        <v>103</v>
      </c>
      <c r="C322" t="s">
        <v>24</v>
      </c>
      <c r="D322" s="70" t="s">
        <v>38</v>
      </c>
      <c r="E322" t="s">
        <v>26</v>
      </c>
      <c r="F322">
        <v>3667.3960612691467</v>
      </c>
      <c r="J322">
        <v>2025</v>
      </c>
      <c r="K322" t="s">
        <v>103</v>
      </c>
      <c r="L322" t="s">
        <v>30</v>
      </c>
      <c r="M322" s="70" t="s">
        <v>38</v>
      </c>
      <c r="N322" t="s">
        <v>26</v>
      </c>
      <c r="O322">
        <v>2227.5711159737416</v>
      </c>
    </row>
    <row r="323" spans="1:15" x14ac:dyDescent="0.25">
      <c r="A323">
        <v>2025</v>
      </c>
      <c r="B323" t="s">
        <v>103</v>
      </c>
      <c r="C323" t="s">
        <v>24</v>
      </c>
      <c r="D323" s="70" t="s">
        <v>38</v>
      </c>
      <c r="E323" t="s">
        <v>26</v>
      </c>
      <c r="F323">
        <v>4230.853391684901</v>
      </c>
      <c r="J323">
        <v>2025</v>
      </c>
      <c r="K323" t="s">
        <v>103</v>
      </c>
      <c r="L323" t="s">
        <v>30</v>
      </c>
      <c r="M323" s="70" t="s">
        <v>38</v>
      </c>
      <c r="N323" t="s">
        <v>26</v>
      </c>
      <c r="O323">
        <v>3780.087527352297</v>
      </c>
    </row>
    <row r="324" spans="1:15" x14ac:dyDescent="0.25">
      <c r="A324">
        <v>2025</v>
      </c>
      <c r="B324" t="s">
        <v>103</v>
      </c>
      <c r="C324" t="s">
        <v>24</v>
      </c>
      <c r="D324" s="70" t="s">
        <v>38</v>
      </c>
      <c r="E324" t="s">
        <v>26</v>
      </c>
      <c r="F324">
        <v>4126.9146608315095</v>
      </c>
      <c r="J324">
        <v>2025</v>
      </c>
      <c r="K324" t="s">
        <v>103</v>
      </c>
      <c r="L324" t="s">
        <v>30</v>
      </c>
      <c r="M324" s="70" t="s">
        <v>25</v>
      </c>
      <c r="N324" t="s">
        <v>26</v>
      </c>
      <c r="O324">
        <v>1944.2013129102843</v>
      </c>
    </row>
    <row r="325" spans="1:15" x14ac:dyDescent="0.25">
      <c r="A325">
        <v>2025</v>
      </c>
      <c r="B325" t="s">
        <v>103</v>
      </c>
      <c r="C325" t="s">
        <v>24</v>
      </c>
      <c r="D325" s="70" t="s">
        <v>38</v>
      </c>
      <c r="E325" t="s">
        <v>26</v>
      </c>
      <c r="F325">
        <v>2943.1072210065645</v>
      </c>
      <c r="J325">
        <v>2025</v>
      </c>
      <c r="K325" t="s">
        <v>103</v>
      </c>
      <c r="L325" t="s">
        <v>30</v>
      </c>
      <c r="M325" s="70" t="s">
        <v>25</v>
      </c>
      <c r="N325" t="s">
        <v>26</v>
      </c>
      <c r="O325">
        <v>2253.8293216630195</v>
      </c>
    </row>
    <row r="326" spans="1:15" x14ac:dyDescent="0.25">
      <c r="A326">
        <v>2025</v>
      </c>
      <c r="B326" t="s">
        <v>103</v>
      </c>
      <c r="C326" t="s">
        <v>24</v>
      </c>
      <c r="D326" s="70" t="s">
        <v>25</v>
      </c>
      <c r="E326" t="s">
        <v>26</v>
      </c>
      <c r="J326">
        <v>2025</v>
      </c>
      <c r="K326" t="s">
        <v>103</v>
      </c>
      <c r="L326" t="s">
        <v>30</v>
      </c>
      <c r="M326" s="70" t="s">
        <v>25</v>
      </c>
      <c r="N326" t="s">
        <v>26</v>
      </c>
    </row>
    <row r="327" spans="1:15" x14ac:dyDescent="0.25">
      <c r="A327">
        <v>2025</v>
      </c>
      <c r="B327" t="s">
        <v>103</v>
      </c>
      <c r="C327" t="s">
        <v>24</v>
      </c>
      <c r="D327" s="70" t="s">
        <v>25</v>
      </c>
      <c r="E327" t="s">
        <v>26</v>
      </c>
      <c r="F327">
        <v>1447.4835886214441</v>
      </c>
      <c r="J327" s="49">
        <v>2025</v>
      </c>
      <c r="K327" s="49" t="s">
        <v>103</v>
      </c>
      <c r="L327" s="49" t="s">
        <v>30</v>
      </c>
      <c r="M327" s="77" t="s">
        <v>25</v>
      </c>
      <c r="N327" s="49" t="s">
        <v>26</v>
      </c>
      <c r="O327" s="49">
        <v>2461.7067833698029</v>
      </c>
    </row>
    <row r="328" spans="1:15" x14ac:dyDescent="0.25">
      <c r="A328">
        <v>2025</v>
      </c>
      <c r="B328" t="s">
        <v>103</v>
      </c>
      <c r="C328" t="s">
        <v>24</v>
      </c>
      <c r="D328" s="70" t="s">
        <v>25</v>
      </c>
      <c r="E328" t="s">
        <v>26</v>
      </c>
      <c r="F328">
        <v>1075.4923413566739</v>
      </c>
      <c r="J328">
        <v>2024</v>
      </c>
      <c r="K328" t="s">
        <v>103</v>
      </c>
      <c r="L328" t="s">
        <v>31</v>
      </c>
      <c r="M328" s="70" t="s">
        <v>25</v>
      </c>
      <c r="N328" t="s">
        <v>26</v>
      </c>
      <c r="O328">
        <v>2586.980306345733</v>
      </c>
    </row>
    <row r="329" spans="1:15" x14ac:dyDescent="0.25">
      <c r="A329" s="49">
        <v>2025</v>
      </c>
      <c r="B329" s="49" t="s">
        <v>103</v>
      </c>
      <c r="C329" s="49" t="s">
        <v>24</v>
      </c>
      <c r="D329" s="77" t="s">
        <v>25</v>
      </c>
      <c r="E329" s="49" t="s">
        <v>26</v>
      </c>
      <c r="F329" s="49">
        <v>1323.851203501094</v>
      </c>
      <c r="J329">
        <v>2024</v>
      </c>
      <c r="K329" t="s">
        <v>103</v>
      </c>
      <c r="L329" t="s">
        <v>31</v>
      </c>
      <c r="M329" s="70" t="s">
        <v>25</v>
      </c>
      <c r="N329" t="s">
        <v>26</v>
      </c>
      <c r="O329">
        <v>1802.5164113785556</v>
      </c>
    </row>
    <row r="330" spans="1:15" x14ac:dyDescent="0.25">
      <c r="A330">
        <v>2024</v>
      </c>
      <c r="B330" t="s">
        <v>103</v>
      </c>
      <c r="C330" t="s">
        <v>27</v>
      </c>
      <c r="D330" s="70" t="s">
        <v>25</v>
      </c>
      <c r="E330" t="s">
        <v>26</v>
      </c>
      <c r="F330">
        <v>1449.671772428884</v>
      </c>
      <c r="J330">
        <v>2024</v>
      </c>
      <c r="K330" t="s">
        <v>103</v>
      </c>
      <c r="L330" t="s">
        <v>31</v>
      </c>
      <c r="M330" s="70" t="s">
        <v>25</v>
      </c>
      <c r="N330" t="s">
        <v>26</v>
      </c>
      <c r="O330">
        <v>1916.8490153172868</v>
      </c>
    </row>
    <row r="331" spans="1:15" x14ac:dyDescent="0.25">
      <c r="A331">
        <v>2024</v>
      </c>
      <c r="B331" t="s">
        <v>103</v>
      </c>
      <c r="C331" t="s">
        <v>27</v>
      </c>
      <c r="D331" s="70" t="s">
        <v>25</v>
      </c>
      <c r="E331" t="s">
        <v>26</v>
      </c>
      <c r="F331">
        <v>1636.2144420131292</v>
      </c>
      <c r="J331">
        <v>2024</v>
      </c>
      <c r="K331" t="s">
        <v>103</v>
      </c>
      <c r="L331" t="s">
        <v>31</v>
      </c>
      <c r="M331" s="70" t="s">
        <v>38</v>
      </c>
      <c r="N331" t="s">
        <v>26</v>
      </c>
      <c r="O331">
        <v>4312.3632385120345</v>
      </c>
    </row>
    <row r="332" spans="1:15" x14ac:dyDescent="0.25">
      <c r="A332">
        <v>2024</v>
      </c>
      <c r="B332" t="s">
        <v>103</v>
      </c>
      <c r="C332" t="s">
        <v>27</v>
      </c>
      <c r="D332" s="70" t="s">
        <v>25</v>
      </c>
      <c r="E332" t="s">
        <v>26</v>
      </c>
      <c r="F332">
        <v>1796.4989059080965</v>
      </c>
      <c r="J332">
        <v>2024</v>
      </c>
      <c r="K332" t="s">
        <v>103</v>
      </c>
      <c r="L332" t="s">
        <v>31</v>
      </c>
      <c r="M332" s="70" t="s">
        <v>38</v>
      </c>
      <c r="N332" t="s">
        <v>26</v>
      </c>
      <c r="O332">
        <v>3689.2778993435445</v>
      </c>
    </row>
    <row r="333" spans="1:15" x14ac:dyDescent="0.25">
      <c r="A333">
        <v>2024</v>
      </c>
      <c r="B333" t="s">
        <v>103</v>
      </c>
      <c r="C333" t="s">
        <v>27</v>
      </c>
      <c r="D333" s="70" t="s">
        <v>38</v>
      </c>
      <c r="E333" t="s">
        <v>26</v>
      </c>
      <c r="F333">
        <v>5551.9693654266957</v>
      </c>
      <c r="J333">
        <v>2024</v>
      </c>
      <c r="K333" t="s">
        <v>103</v>
      </c>
      <c r="L333" t="s">
        <v>31</v>
      </c>
      <c r="M333" s="70" t="s">
        <v>38</v>
      </c>
      <c r="N333" t="s">
        <v>26</v>
      </c>
      <c r="O333">
        <v>3602.2975929978115</v>
      </c>
    </row>
    <row r="334" spans="1:15" x14ac:dyDescent="0.25">
      <c r="A334">
        <v>2024</v>
      </c>
      <c r="B334" t="s">
        <v>103</v>
      </c>
      <c r="C334" t="s">
        <v>27</v>
      </c>
      <c r="D334" s="70" t="s">
        <v>38</v>
      </c>
      <c r="E334" t="s">
        <v>26</v>
      </c>
      <c r="F334">
        <v>4379.1028446389491</v>
      </c>
      <c r="J334">
        <v>2025</v>
      </c>
      <c r="K334" t="s">
        <v>103</v>
      </c>
      <c r="L334" t="s">
        <v>31</v>
      </c>
      <c r="M334" s="70" t="s">
        <v>38</v>
      </c>
      <c r="N334" t="s">
        <v>26</v>
      </c>
      <c r="O334">
        <v>2908.0962800875277</v>
      </c>
    </row>
    <row r="335" spans="1:15" x14ac:dyDescent="0.25">
      <c r="A335">
        <v>2024</v>
      </c>
      <c r="B335" t="s">
        <v>103</v>
      </c>
      <c r="C335" t="s">
        <v>27</v>
      </c>
      <c r="D335" s="70" t="s">
        <v>38</v>
      </c>
      <c r="E335" t="s">
        <v>26</v>
      </c>
      <c r="F335">
        <v>4652.6258205689273</v>
      </c>
      <c r="J335">
        <v>2025</v>
      </c>
      <c r="K335" t="s">
        <v>103</v>
      </c>
      <c r="L335" t="s">
        <v>31</v>
      </c>
      <c r="M335" s="70" t="s">
        <v>38</v>
      </c>
      <c r="N335" t="s">
        <v>26</v>
      </c>
      <c r="O335">
        <v>3773.5229759299782</v>
      </c>
    </row>
    <row r="336" spans="1:15" x14ac:dyDescent="0.25">
      <c r="A336">
        <v>2025</v>
      </c>
      <c r="B336" t="s">
        <v>103</v>
      </c>
      <c r="C336" t="s">
        <v>27</v>
      </c>
      <c r="D336" s="70" t="s">
        <v>38</v>
      </c>
      <c r="E336" t="s">
        <v>26</v>
      </c>
      <c r="F336">
        <v>4701.3129102844641</v>
      </c>
      <c r="J336">
        <v>2025</v>
      </c>
      <c r="K336" t="s">
        <v>103</v>
      </c>
      <c r="L336" t="s">
        <v>31</v>
      </c>
      <c r="M336" s="70" t="s">
        <v>38</v>
      </c>
      <c r="N336" t="s">
        <v>26</v>
      </c>
      <c r="O336">
        <v>3145.5142231947484</v>
      </c>
    </row>
    <row r="337" spans="1:15" x14ac:dyDescent="0.25">
      <c r="A337">
        <v>2025</v>
      </c>
      <c r="B337" t="s">
        <v>103</v>
      </c>
      <c r="C337" t="s">
        <v>27</v>
      </c>
      <c r="D337" s="70" t="s">
        <v>38</v>
      </c>
      <c r="E337" t="s">
        <v>26</v>
      </c>
      <c r="F337">
        <v>4048.1400437636762</v>
      </c>
      <c r="J337">
        <v>2025</v>
      </c>
      <c r="K337" t="s">
        <v>103</v>
      </c>
      <c r="L337" t="s">
        <v>31</v>
      </c>
      <c r="M337" s="70" t="s">
        <v>38</v>
      </c>
      <c r="N337" t="s">
        <v>26</v>
      </c>
      <c r="O337">
        <v>3071.1159737417943</v>
      </c>
    </row>
    <row r="338" spans="1:15" s="29" customFormat="1" x14ac:dyDescent="0.25">
      <c r="A338">
        <v>2025</v>
      </c>
      <c r="B338" t="s">
        <v>103</v>
      </c>
      <c r="C338" t="s">
        <v>27</v>
      </c>
      <c r="D338" s="70" t="s">
        <v>38</v>
      </c>
      <c r="E338" t="s">
        <v>26</v>
      </c>
      <c r="F338">
        <v>5472.6477024070027</v>
      </c>
      <c r="J338">
        <v>2025</v>
      </c>
      <c r="K338" t="s">
        <v>103</v>
      </c>
      <c r="L338" t="s">
        <v>31</v>
      </c>
      <c r="M338" s="70" t="s">
        <v>25</v>
      </c>
      <c r="N338" t="s">
        <v>26</v>
      </c>
      <c r="O338">
        <v>1404.8140043763678</v>
      </c>
    </row>
    <row r="339" spans="1:15" x14ac:dyDescent="0.25">
      <c r="A339">
        <v>2025</v>
      </c>
      <c r="B339" t="s">
        <v>103</v>
      </c>
      <c r="C339" t="s">
        <v>27</v>
      </c>
      <c r="D339" s="70" t="s">
        <v>38</v>
      </c>
      <c r="E339" t="s">
        <v>26</v>
      </c>
      <c r="F339">
        <v>4805.2516411378556</v>
      </c>
      <c r="J339">
        <v>2025</v>
      </c>
      <c r="K339" t="s">
        <v>103</v>
      </c>
      <c r="L339" t="s">
        <v>31</v>
      </c>
      <c r="M339" s="70" t="s">
        <v>25</v>
      </c>
      <c r="N339" t="s">
        <v>26</v>
      </c>
      <c r="O339">
        <v>1886.214442013129</v>
      </c>
    </row>
    <row r="340" spans="1:15" x14ac:dyDescent="0.25">
      <c r="A340">
        <v>2025</v>
      </c>
      <c r="B340" t="s">
        <v>103</v>
      </c>
      <c r="C340" t="s">
        <v>27</v>
      </c>
      <c r="D340" s="70" t="s">
        <v>25</v>
      </c>
      <c r="E340" t="s">
        <v>26</v>
      </c>
      <c r="J340">
        <v>2025</v>
      </c>
      <c r="K340" t="s">
        <v>103</v>
      </c>
      <c r="L340" t="s">
        <v>31</v>
      </c>
      <c r="M340" s="70" t="s">
        <v>25</v>
      </c>
      <c r="N340" t="s">
        <v>26</v>
      </c>
      <c r="O340">
        <v>1024.0700218818379</v>
      </c>
    </row>
    <row r="341" spans="1:15" x14ac:dyDescent="0.25">
      <c r="A341">
        <v>2025</v>
      </c>
      <c r="B341" t="s">
        <v>103</v>
      </c>
      <c r="C341" t="s">
        <v>27</v>
      </c>
      <c r="D341" s="70" t="s">
        <v>25</v>
      </c>
      <c r="E341" t="s">
        <v>26</v>
      </c>
      <c r="F341">
        <v>1195.8424507658642</v>
      </c>
      <c r="J341" s="49">
        <v>2025</v>
      </c>
      <c r="K341" s="49" t="s">
        <v>103</v>
      </c>
      <c r="L341" s="49" t="s">
        <v>31</v>
      </c>
      <c r="M341" s="77" t="s">
        <v>25</v>
      </c>
      <c r="N341" s="49" t="s">
        <v>26</v>
      </c>
      <c r="O341" s="49">
        <v>1282.2757111597371</v>
      </c>
    </row>
    <row r="342" spans="1:15" x14ac:dyDescent="0.25">
      <c r="A342">
        <v>2025</v>
      </c>
      <c r="B342" t="s">
        <v>103</v>
      </c>
      <c r="C342" t="s">
        <v>27</v>
      </c>
      <c r="D342" s="70" t="s">
        <v>25</v>
      </c>
      <c r="E342" t="s">
        <v>26</v>
      </c>
      <c r="J342">
        <v>2024</v>
      </c>
      <c r="K342" t="s">
        <v>103</v>
      </c>
      <c r="L342" t="s">
        <v>33</v>
      </c>
      <c r="M342" s="70" t="s">
        <v>25</v>
      </c>
      <c r="N342" t="s">
        <v>26</v>
      </c>
      <c r="O342">
        <v>1237.9649890590808</v>
      </c>
    </row>
    <row r="343" spans="1:15" x14ac:dyDescent="0.25">
      <c r="A343" s="49">
        <v>2025</v>
      </c>
      <c r="B343" s="49" t="s">
        <v>103</v>
      </c>
      <c r="C343" s="49" t="s">
        <v>27</v>
      </c>
      <c r="D343" s="77" t="s">
        <v>25</v>
      </c>
      <c r="E343" s="49" t="s">
        <v>26</v>
      </c>
      <c r="F343" s="49">
        <v>1957.3304157549233</v>
      </c>
      <c r="J343">
        <v>2024</v>
      </c>
      <c r="K343" t="s">
        <v>103</v>
      </c>
      <c r="L343" t="s">
        <v>33</v>
      </c>
      <c r="M343" s="70" t="s">
        <v>25</v>
      </c>
      <c r="N343" t="s">
        <v>26</v>
      </c>
      <c r="O343">
        <v>1647.1553610503283</v>
      </c>
    </row>
    <row r="344" spans="1:15" x14ac:dyDescent="0.25">
      <c r="A344">
        <v>2024</v>
      </c>
      <c r="B344" t="s">
        <v>103</v>
      </c>
      <c r="C344" t="s">
        <v>28</v>
      </c>
      <c r="D344" s="70" t="s">
        <v>25</v>
      </c>
      <c r="E344" t="s">
        <v>26</v>
      </c>
      <c r="F344">
        <v>1321.1159737417943</v>
      </c>
      <c r="J344">
        <v>2024</v>
      </c>
      <c r="K344" t="s">
        <v>103</v>
      </c>
      <c r="L344" t="s">
        <v>33</v>
      </c>
      <c r="M344" s="70" t="s">
        <v>25</v>
      </c>
      <c r="N344" t="s">
        <v>26</v>
      </c>
      <c r="O344">
        <v>1442.5601750547046</v>
      </c>
    </row>
    <row r="345" spans="1:15" x14ac:dyDescent="0.25">
      <c r="A345">
        <v>2024</v>
      </c>
      <c r="B345" t="s">
        <v>103</v>
      </c>
      <c r="C345" t="s">
        <v>28</v>
      </c>
      <c r="D345" s="70" t="s">
        <v>25</v>
      </c>
      <c r="E345" t="s">
        <v>26</v>
      </c>
      <c r="F345">
        <v>1613.785557986871</v>
      </c>
      <c r="J345">
        <v>2024</v>
      </c>
      <c r="K345" t="s">
        <v>103</v>
      </c>
      <c r="L345" t="s">
        <v>33</v>
      </c>
      <c r="M345" s="70" t="s">
        <v>38</v>
      </c>
      <c r="N345" t="s">
        <v>26</v>
      </c>
      <c r="O345">
        <v>4120.3501094091898</v>
      </c>
    </row>
    <row r="346" spans="1:15" x14ac:dyDescent="0.25">
      <c r="A346">
        <v>2024</v>
      </c>
      <c r="B346" t="s">
        <v>103</v>
      </c>
      <c r="C346" t="s">
        <v>28</v>
      </c>
      <c r="D346" s="70" t="s">
        <v>25</v>
      </c>
      <c r="E346" t="s">
        <v>26</v>
      </c>
      <c r="F346">
        <v>1548.1400437636764</v>
      </c>
      <c r="J346">
        <v>2024</v>
      </c>
      <c r="K346" t="s">
        <v>103</v>
      </c>
      <c r="L346" t="s">
        <v>33</v>
      </c>
      <c r="M346" s="70" t="s">
        <v>38</v>
      </c>
      <c r="N346" t="s">
        <v>26</v>
      </c>
      <c r="O346">
        <v>5253.2822757111599</v>
      </c>
    </row>
    <row r="347" spans="1:15" x14ac:dyDescent="0.25">
      <c r="A347">
        <v>2024</v>
      </c>
      <c r="B347" t="s">
        <v>103</v>
      </c>
      <c r="C347" t="s">
        <v>28</v>
      </c>
      <c r="D347" s="70" t="s">
        <v>38</v>
      </c>
      <c r="E347" t="s">
        <v>26</v>
      </c>
      <c r="F347">
        <v>3612.1444201312902</v>
      </c>
      <c r="J347">
        <v>2024</v>
      </c>
      <c r="K347" t="s">
        <v>103</v>
      </c>
      <c r="L347" t="s">
        <v>33</v>
      </c>
      <c r="M347" s="70" t="s">
        <v>38</v>
      </c>
      <c r="N347" t="s">
        <v>26</v>
      </c>
      <c r="O347">
        <v>4450.2188183807439</v>
      </c>
    </row>
    <row r="348" spans="1:15" x14ac:dyDescent="0.25">
      <c r="A348">
        <v>2024</v>
      </c>
      <c r="B348" t="s">
        <v>103</v>
      </c>
      <c r="C348" t="s">
        <v>28</v>
      </c>
      <c r="D348" s="70" t="s">
        <v>38</v>
      </c>
      <c r="E348" t="s">
        <v>26</v>
      </c>
      <c r="F348">
        <v>3242.34135667396</v>
      </c>
      <c r="J348">
        <v>2025</v>
      </c>
      <c r="K348" t="s">
        <v>103</v>
      </c>
      <c r="L348" t="s">
        <v>33</v>
      </c>
      <c r="M348" s="70" t="s">
        <v>38</v>
      </c>
      <c r="N348" t="s">
        <v>26</v>
      </c>
      <c r="O348">
        <v>3653.172866520787</v>
      </c>
    </row>
    <row r="349" spans="1:15" x14ac:dyDescent="0.25">
      <c r="A349">
        <v>2024</v>
      </c>
      <c r="B349" t="s">
        <v>103</v>
      </c>
      <c r="C349" t="s">
        <v>28</v>
      </c>
      <c r="D349" s="70" t="s">
        <v>38</v>
      </c>
      <c r="E349" t="s">
        <v>26</v>
      </c>
      <c r="F349">
        <v>4363.2385120350109</v>
      </c>
      <c r="J349">
        <v>2025</v>
      </c>
      <c r="K349" t="s">
        <v>103</v>
      </c>
      <c r="L349" t="s">
        <v>33</v>
      </c>
      <c r="M349" s="70" t="s">
        <v>38</v>
      </c>
      <c r="N349" t="s">
        <v>26</v>
      </c>
      <c r="O349">
        <v>4133.4792122538292</v>
      </c>
    </row>
    <row r="350" spans="1:15" x14ac:dyDescent="0.25">
      <c r="A350">
        <v>2025</v>
      </c>
      <c r="B350" t="s">
        <v>103</v>
      </c>
      <c r="C350" t="s">
        <v>28</v>
      </c>
      <c r="D350" s="70" t="s">
        <v>38</v>
      </c>
      <c r="E350" t="s">
        <v>26</v>
      </c>
      <c r="F350">
        <v>2508.7527352297593</v>
      </c>
      <c r="J350">
        <v>2025</v>
      </c>
      <c r="K350" t="s">
        <v>103</v>
      </c>
      <c r="L350" t="s">
        <v>33</v>
      </c>
      <c r="M350" s="70" t="s">
        <v>38</v>
      </c>
      <c r="N350" t="s">
        <v>26</v>
      </c>
      <c r="O350">
        <v>2398.2494529540481</v>
      </c>
    </row>
    <row r="351" spans="1:15" x14ac:dyDescent="0.25">
      <c r="A351">
        <v>2025</v>
      </c>
      <c r="B351" t="s">
        <v>103</v>
      </c>
      <c r="C351" t="s">
        <v>28</v>
      </c>
      <c r="D351" s="70" t="s">
        <v>38</v>
      </c>
      <c r="E351" t="s">
        <v>26</v>
      </c>
      <c r="F351">
        <v>2947.4835886214437</v>
      </c>
      <c r="J351">
        <v>2025</v>
      </c>
      <c r="K351" t="s">
        <v>103</v>
      </c>
      <c r="L351" t="s">
        <v>33</v>
      </c>
      <c r="M351" s="70" t="s">
        <v>38</v>
      </c>
      <c r="N351" t="s">
        <v>26</v>
      </c>
      <c r="O351">
        <v>3340.2625820568928</v>
      </c>
    </row>
    <row r="352" spans="1:15" x14ac:dyDescent="0.25">
      <c r="A352">
        <v>2025</v>
      </c>
      <c r="B352" t="s">
        <v>103</v>
      </c>
      <c r="C352" t="s">
        <v>28</v>
      </c>
      <c r="D352" s="70" t="s">
        <v>38</v>
      </c>
      <c r="E352" t="s">
        <v>26</v>
      </c>
      <c r="F352">
        <v>3653.172866520787</v>
      </c>
      <c r="J352">
        <v>2025</v>
      </c>
      <c r="K352" t="s">
        <v>103</v>
      </c>
      <c r="L352" t="s">
        <v>33</v>
      </c>
      <c r="M352" s="70" t="s">
        <v>25</v>
      </c>
      <c r="N352" t="s">
        <v>26</v>
      </c>
      <c r="O352">
        <v>1469.3654266958424</v>
      </c>
    </row>
    <row r="353" spans="1:15" x14ac:dyDescent="0.25">
      <c r="A353">
        <v>2025</v>
      </c>
      <c r="B353" t="s">
        <v>103</v>
      </c>
      <c r="C353" t="s">
        <v>28</v>
      </c>
      <c r="D353" s="70" t="s">
        <v>38</v>
      </c>
      <c r="E353" t="s">
        <v>26</v>
      </c>
      <c r="F353">
        <v>3567.8336980306344</v>
      </c>
      <c r="J353">
        <v>2025</v>
      </c>
      <c r="K353" t="s">
        <v>103</v>
      </c>
      <c r="L353" t="s">
        <v>33</v>
      </c>
      <c r="M353" s="70" t="s">
        <v>25</v>
      </c>
      <c r="N353" t="s">
        <v>26</v>
      </c>
      <c r="O353">
        <v>1578.7746170678338</v>
      </c>
    </row>
    <row r="354" spans="1:15" x14ac:dyDescent="0.25">
      <c r="A354">
        <v>2025</v>
      </c>
      <c r="B354" t="s">
        <v>103</v>
      </c>
      <c r="C354" t="s">
        <v>28</v>
      </c>
      <c r="D354" s="70" t="s">
        <v>25</v>
      </c>
      <c r="E354" t="s">
        <v>26</v>
      </c>
      <c r="F354">
        <v>1561.2691466083149</v>
      </c>
      <c r="J354">
        <v>2025</v>
      </c>
      <c r="K354" t="s">
        <v>103</v>
      </c>
      <c r="L354" t="s">
        <v>33</v>
      </c>
      <c r="M354" s="70" t="s">
        <v>25</v>
      </c>
      <c r="N354" t="s">
        <v>26</v>
      </c>
    </row>
    <row r="355" spans="1:15" x14ac:dyDescent="0.25">
      <c r="A355">
        <v>2025</v>
      </c>
      <c r="B355" t="s">
        <v>103</v>
      </c>
      <c r="C355" t="s">
        <v>28</v>
      </c>
      <c r="D355" s="70" t="s">
        <v>25</v>
      </c>
      <c r="E355" t="s">
        <v>26</v>
      </c>
      <c r="F355">
        <v>1100.6564551422318</v>
      </c>
      <c r="J355" s="49">
        <v>2025</v>
      </c>
      <c r="K355" s="49" t="s">
        <v>103</v>
      </c>
      <c r="L355" s="49" t="s">
        <v>33</v>
      </c>
      <c r="M355" s="77" t="s">
        <v>25</v>
      </c>
      <c r="N355" s="49" t="s">
        <v>26</v>
      </c>
      <c r="O355" s="49">
        <v>1614.8796498905906</v>
      </c>
    </row>
    <row r="356" spans="1:15" x14ac:dyDescent="0.25">
      <c r="A356">
        <v>2025</v>
      </c>
      <c r="B356" t="s">
        <v>103</v>
      </c>
      <c r="C356" t="s">
        <v>28</v>
      </c>
      <c r="D356" s="70" t="s">
        <v>25</v>
      </c>
      <c r="E356" t="s">
        <v>26</v>
      </c>
      <c r="F356">
        <v>1315.0984682713345</v>
      </c>
      <c r="J356">
        <v>2024</v>
      </c>
      <c r="K356" t="s">
        <v>103</v>
      </c>
      <c r="L356" t="s">
        <v>32</v>
      </c>
      <c r="M356" s="70" t="s">
        <v>25</v>
      </c>
      <c r="N356" t="s">
        <v>26</v>
      </c>
      <c r="O356">
        <v>1771.8818380743983</v>
      </c>
    </row>
    <row r="357" spans="1:15" x14ac:dyDescent="0.25">
      <c r="A357" s="49">
        <v>2025</v>
      </c>
      <c r="B357" s="49" t="s">
        <v>103</v>
      </c>
      <c r="C357" s="49" t="s">
        <v>28</v>
      </c>
      <c r="D357" s="77" t="s">
        <v>25</v>
      </c>
      <c r="E357" s="49" t="s">
        <v>26</v>
      </c>
      <c r="F357" s="49">
        <v>1589.7155361050329</v>
      </c>
      <c r="J357">
        <v>2024</v>
      </c>
      <c r="K357" t="s">
        <v>103</v>
      </c>
      <c r="L357" t="s">
        <v>32</v>
      </c>
      <c r="M357" s="70" t="s">
        <v>25</v>
      </c>
      <c r="N357" t="s">
        <v>26</v>
      </c>
      <c r="O357">
        <v>1438.1838074398249</v>
      </c>
    </row>
    <row r="358" spans="1:15" x14ac:dyDescent="0.25">
      <c r="A358">
        <v>2024</v>
      </c>
      <c r="B358" t="s">
        <v>103</v>
      </c>
      <c r="C358" t="s">
        <v>34</v>
      </c>
      <c r="D358" s="70" t="s">
        <v>25</v>
      </c>
      <c r="E358" t="s">
        <v>26</v>
      </c>
      <c r="F358">
        <v>952.95404814004382</v>
      </c>
      <c r="J358">
        <v>2024</v>
      </c>
      <c r="K358" t="s">
        <v>103</v>
      </c>
      <c r="L358" t="s">
        <v>32</v>
      </c>
      <c r="M358" s="70" t="s">
        <v>25</v>
      </c>
      <c r="N358" t="s">
        <v>26</v>
      </c>
      <c r="O358">
        <v>1861.0503282275711</v>
      </c>
    </row>
    <row r="359" spans="1:15" x14ac:dyDescent="0.25">
      <c r="A359">
        <v>2024</v>
      </c>
      <c r="B359" t="s">
        <v>103</v>
      </c>
      <c r="C359" t="s">
        <v>34</v>
      </c>
      <c r="D359" s="70" t="s">
        <v>25</v>
      </c>
      <c r="E359" t="s">
        <v>26</v>
      </c>
      <c r="F359">
        <v>1360.5032822757114</v>
      </c>
      <c r="J359">
        <v>2024</v>
      </c>
      <c r="K359" t="s">
        <v>103</v>
      </c>
      <c r="L359" t="s">
        <v>32</v>
      </c>
      <c r="M359" s="70" t="s">
        <v>38</v>
      </c>
      <c r="N359" t="s">
        <v>26</v>
      </c>
      <c r="O359">
        <v>2979.2122538293206</v>
      </c>
    </row>
    <row r="360" spans="1:15" x14ac:dyDescent="0.25">
      <c r="A360">
        <v>2024</v>
      </c>
      <c r="B360" t="s">
        <v>103</v>
      </c>
      <c r="C360" t="s">
        <v>34</v>
      </c>
      <c r="D360" s="70" t="s">
        <v>25</v>
      </c>
      <c r="E360" t="s">
        <v>26</v>
      </c>
      <c r="F360">
        <v>1736.870897155361</v>
      </c>
      <c r="J360">
        <v>2024</v>
      </c>
      <c r="K360" t="s">
        <v>103</v>
      </c>
      <c r="L360" t="s">
        <v>32</v>
      </c>
      <c r="M360" s="70" t="s">
        <v>38</v>
      </c>
      <c r="N360" t="s">
        <v>26</v>
      </c>
      <c r="O360">
        <v>4084.2450765864328</v>
      </c>
    </row>
    <row r="361" spans="1:15" x14ac:dyDescent="0.25">
      <c r="A361">
        <v>2024</v>
      </c>
      <c r="B361" t="s">
        <v>103</v>
      </c>
      <c r="C361" t="s">
        <v>34</v>
      </c>
      <c r="D361" s="70" t="s">
        <v>38</v>
      </c>
      <c r="E361" t="s">
        <v>26</v>
      </c>
      <c r="F361">
        <v>3164.1137855579868</v>
      </c>
      <c r="J361">
        <v>2024</v>
      </c>
      <c r="K361" t="s">
        <v>103</v>
      </c>
      <c r="L361" s="84" t="s">
        <v>32</v>
      </c>
      <c r="M361" s="85" t="s">
        <v>38</v>
      </c>
      <c r="N361" t="s">
        <v>26</v>
      </c>
      <c r="O361" s="84">
        <v>3345.1859956236299</v>
      </c>
    </row>
    <row r="362" spans="1:15" s="19" customFormat="1" x14ac:dyDescent="0.25">
      <c r="A362">
        <v>2024</v>
      </c>
      <c r="B362" t="s">
        <v>103</v>
      </c>
      <c r="C362" t="s">
        <v>34</v>
      </c>
      <c r="D362" s="70" t="s">
        <v>38</v>
      </c>
      <c r="E362" t="s">
        <v>26</v>
      </c>
      <c r="F362">
        <v>3196.936542669584</v>
      </c>
      <c r="J362">
        <v>2025</v>
      </c>
      <c r="K362" t="s">
        <v>103</v>
      </c>
      <c r="L362" t="s">
        <v>32</v>
      </c>
      <c r="M362" s="70" t="s">
        <v>38</v>
      </c>
      <c r="N362" t="s">
        <v>26</v>
      </c>
      <c r="O362">
        <v>3669.5842450765858</v>
      </c>
    </row>
    <row r="363" spans="1:15" s="19" customFormat="1" x14ac:dyDescent="0.25">
      <c r="A363">
        <v>2024</v>
      </c>
      <c r="B363" t="s">
        <v>103</v>
      </c>
      <c r="C363" t="s">
        <v>34</v>
      </c>
      <c r="D363" s="70" t="s">
        <v>38</v>
      </c>
      <c r="E363" t="s">
        <v>26</v>
      </c>
      <c r="F363">
        <v>2958.4245076586435</v>
      </c>
      <c r="J363">
        <v>2025</v>
      </c>
      <c r="K363" t="s">
        <v>103</v>
      </c>
      <c r="L363" t="s">
        <v>32</v>
      </c>
      <c r="M363" s="70" t="s">
        <v>38</v>
      </c>
      <c r="N363" t="s">
        <v>26</v>
      </c>
      <c r="O363">
        <v>3456.236323851203</v>
      </c>
    </row>
    <row r="364" spans="1:15" s="19" customFormat="1" x14ac:dyDescent="0.25">
      <c r="A364">
        <v>2024</v>
      </c>
      <c r="B364" t="s">
        <v>103</v>
      </c>
      <c r="C364" t="s">
        <v>37</v>
      </c>
      <c r="D364" s="70" t="s">
        <v>25</v>
      </c>
      <c r="E364" t="s">
        <v>26</v>
      </c>
      <c r="F364">
        <v>1498.90590809628</v>
      </c>
      <c r="J364">
        <v>2025</v>
      </c>
      <c r="K364" t="s">
        <v>103</v>
      </c>
      <c r="L364" t="s">
        <v>32</v>
      </c>
      <c r="M364" s="70" t="s">
        <v>38</v>
      </c>
      <c r="N364" t="s">
        <v>26</v>
      </c>
      <c r="O364">
        <v>3731.9474835886213</v>
      </c>
    </row>
    <row r="365" spans="1:15" s="19" customFormat="1" x14ac:dyDescent="0.25">
      <c r="A365">
        <v>2024</v>
      </c>
      <c r="B365" t="s">
        <v>103</v>
      </c>
      <c r="C365" t="s">
        <v>37</v>
      </c>
      <c r="D365" s="70" t="s">
        <v>25</v>
      </c>
      <c r="E365" t="s">
        <v>26</v>
      </c>
      <c r="F365">
        <v>1812.3632385120352</v>
      </c>
      <c r="J365">
        <v>2025</v>
      </c>
      <c r="K365" t="s">
        <v>103</v>
      </c>
      <c r="L365" t="s">
        <v>32</v>
      </c>
      <c r="M365" s="70" t="s">
        <v>38</v>
      </c>
      <c r="N365" t="s">
        <v>26</v>
      </c>
      <c r="O365">
        <v>3572.2100656455141</v>
      </c>
    </row>
    <row r="366" spans="1:15" s="19" customFormat="1" x14ac:dyDescent="0.25">
      <c r="A366">
        <v>2024</v>
      </c>
      <c r="B366" t="s">
        <v>103</v>
      </c>
      <c r="C366" t="s">
        <v>37</v>
      </c>
      <c r="D366" s="70" t="s">
        <v>25</v>
      </c>
      <c r="E366" t="s">
        <v>26</v>
      </c>
      <c r="F366">
        <v>1681.0722100656455</v>
      </c>
      <c r="J366">
        <v>2025</v>
      </c>
      <c r="K366" t="s">
        <v>103</v>
      </c>
      <c r="L366" t="s">
        <v>32</v>
      </c>
      <c r="M366" s="70" t="s">
        <v>25</v>
      </c>
      <c r="N366" t="s">
        <v>26</v>
      </c>
      <c r="O366">
        <v>1645.5142231947482</v>
      </c>
    </row>
    <row r="367" spans="1:15" s="19" customFormat="1" x14ac:dyDescent="0.25">
      <c r="A367">
        <v>2024</v>
      </c>
      <c r="B367" t="s">
        <v>103</v>
      </c>
      <c r="C367" s="84" t="s">
        <v>37</v>
      </c>
      <c r="D367" s="85" t="s">
        <v>38</v>
      </c>
      <c r="E367" t="s">
        <v>26</v>
      </c>
      <c r="F367" s="84">
        <v>3277.8993435448579</v>
      </c>
      <c r="J367">
        <v>2025</v>
      </c>
      <c r="K367" t="s">
        <v>103</v>
      </c>
      <c r="L367" t="s">
        <v>32</v>
      </c>
      <c r="M367" s="70" t="s">
        <v>25</v>
      </c>
      <c r="N367" t="s">
        <v>26</v>
      </c>
      <c r="O367">
        <v>1439.8249452954049</v>
      </c>
    </row>
    <row r="368" spans="1:15" s="19" customFormat="1" x14ac:dyDescent="0.25">
      <c r="A368">
        <v>2024</v>
      </c>
      <c r="B368" t="s">
        <v>103</v>
      </c>
      <c r="C368" t="s">
        <v>37</v>
      </c>
      <c r="D368" s="70" t="s">
        <v>38</v>
      </c>
      <c r="E368" t="s">
        <v>26</v>
      </c>
      <c r="F368">
        <v>2572.7571115973742</v>
      </c>
      <c r="J368">
        <v>2025</v>
      </c>
      <c r="K368" t="s">
        <v>103</v>
      </c>
      <c r="L368" t="s">
        <v>32</v>
      </c>
      <c r="M368" s="70" t="s">
        <v>25</v>
      </c>
      <c r="N368" t="s">
        <v>26</v>
      </c>
      <c r="O368">
        <v>1669.5842450765861</v>
      </c>
    </row>
    <row r="369" spans="1:15" s="19" customFormat="1" x14ac:dyDescent="0.25">
      <c r="A369">
        <v>2024</v>
      </c>
      <c r="B369" t="s">
        <v>103</v>
      </c>
      <c r="C369" t="s">
        <v>37</v>
      </c>
      <c r="D369" s="70" t="s">
        <v>38</v>
      </c>
      <c r="E369" t="s">
        <v>26</v>
      </c>
      <c r="F369">
        <v>4041.575492341356</v>
      </c>
      <c r="J369">
        <v>2025</v>
      </c>
      <c r="K369" t="s">
        <v>103</v>
      </c>
      <c r="L369" t="s">
        <v>32</v>
      </c>
      <c r="M369" s="70" t="s">
        <v>25</v>
      </c>
      <c r="N369" t="s">
        <v>26</v>
      </c>
      <c r="O369">
        <v>1505.4704595185995</v>
      </c>
    </row>
    <row r="370" spans="1:15" s="19" customFormat="1" x14ac:dyDescent="0.25">
      <c r="A370">
        <v>2024</v>
      </c>
      <c r="B370" t="s">
        <v>103</v>
      </c>
      <c r="C370" t="s">
        <v>35</v>
      </c>
      <c r="D370" s="70" t="s">
        <v>25</v>
      </c>
      <c r="E370" t="s">
        <v>26</v>
      </c>
      <c r="F370">
        <v>856.12691466083152</v>
      </c>
      <c r="J370">
        <v>2024</v>
      </c>
      <c r="K370" t="s">
        <v>103</v>
      </c>
      <c r="L370" t="s">
        <v>29</v>
      </c>
      <c r="M370" s="70" t="s">
        <v>25</v>
      </c>
      <c r="N370" t="s">
        <v>26</v>
      </c>
      <c r="O370">
        <v>1450.2188183807439</v>
      </c>
    </row>
    <row r="371" spans="1:15" s="19" customFormat="1" x14ac:dyDescent="0.25">
      <c r="A371">
        <v>2024</v>
      </c>
      <c r="B371" t="s">
        <v>103</v>
      </c>
      <c r="C371" t="s">
        <v>35</v>
      </c>
      <c r="D371" s="70" t="s">
        <v>25</v>
      </c>
      <c r="E371" t="s">
        <v>26</v>
      </c>
      <c r="F371">
        <v>586.43326039387307</v>
      </c>
      <c r="J371">
        <v>2024</v>
      </c>
      <c r="K371" t="s">
        <v>103</v>
      </c>
      <c r="L371" t="s">
        <v>29</v>
      </c>
      <c r="M371" s="70" t="s">
        <v>25</v>
      </c>
      <c r="N371" t="s">
        <v>26</v>
      </c>
      <c r="O371">
        <v>1684.9015317286651</v>
      </c>
    </row>
    <row r="372" spans="1:15" s="19" customFormat="1" x14ac:dyDescent="0.25">
      <c r="A372">
        <v>2024</v>
      </c>
      <c r="B372" t="s">
        <v>103</v>
      </c>
      <c r="C372" t="s">
        <v>35</v>
      </c>
      <c r="D372" s="70" t="s">
        <v>25</v>
      </c>
      <c r="E372" t="s">
        <v>26</v>
      </c>
      <c r="F372">
        <v>691.46608315098479</v>
      </c>
      <c r="J372">
        <v>2024</v>
      </c>
      <c r="K372" t="s">
        <v>103</v>
      </c>
      <c r="L372" t="s">
        <v>29</v>
      </c>
      <c r="M372" s="70" t="s">
        <v>25</v>
      </c>
      <c r="N372" t="s">
        <v>26</v>
      </c>
      <c r="O372">
        <v>2449.1247264770241</v>
      </c>
    </row>
    <row r="373" spans="1:15" s="19" customFormat="1" x14ac:dyDescent="0.25">
      <c r="A373">
        <v>2024</v>
      </c>
      <c r="B373" t="s">
        <v>103</v>
      </c>
      <c r="C373" t="s">
        <v>35</v>
      </c>
      <c r="D373" s="70" t="s">
        <v>38</v>
      </c>
      <c r="E373" t="s">
        <v>26</v>
      </c>
      <c r="F373"/>
      <c r="J373">
        <v>2024</v>
      </c>
      <c r="K373" t="s">
        <v>103</v>
      </c>
      <c r="L373" t="s">
        <v>29</v>
      </c>
      <c r="M373" s="70" t="s">
        <v>38</v>
      </c>
      <c r="N373" t="s">
        <v>26</v>
      </c>
      <c r="O373">
        <v>3928.3369803063447</v>
      </c>
    </row>
    <row r="374" spans="1:15" s="19" customFormat="1" x14ac:dyDescent="0.25">
      <c r="A374">
        <v>2024</v>
      </c>
      <c r="B374" t="s">
        <v>103</v>
      </c>
      <c r="C374" t="s">
        <v>35</v>
      </c>
      <c r="D374" s="70" t="s">
        <v>38</v>
      </c>
      <c r="E374" t="s">
        <v>26</v>
      </c>
      <c r="F374"/>
      <c r="J374">
        <v>2024</v>
      </c>
      <c r="K374" t="s">
        <v>103</v>
      </c>
      <c r="L374" t="s">
        <v>29</v>
      </c>
      <c r="M374" s="70" t="s">
        <v>38</v>
      </c>
      <c r="N374" t="s">
        <v>26</v>
      </c>
      <c r="O374">
        <v>4579.8687089715531</v>
      </c>
    </row>
    <row r="375" spans="1:15" s="19" customFormat="1" x14ac:dyDescent="0.25">
      <c r="A375">
        <v>2024</v>
      </c>
      <c r="B375" t="s">
        <v>103</v>
      </c>
      <c r="C375" t="s">
        <v>35</v>
      </c>
      <c r="D375" s="70" t="s">
        <v>38</v>
      </c>
      <c r="E375" t="s">
        <v>26</v>
      </c>
      <c r="F375">
        <v>2442.5601750547044</v>
      </c>
      <c r="J375">
        <v>2024</v>
      </c>
      <c r="K375" t="s">
        <v>103</v>
      </c>
      <c r="L375" t="s">
        <v>29</v>
      </c>
      <c r="M375" s="70" t="s">
        <v>38</v>
      </c>
      <c r="N375" t="s">
        <v>26</v>
      </c>
      <c r="O375">
        <v>3097.3741794310722</v>
      </c>
    </row>
    <row r="376" spans="1:15" s="19" customFormat="1" x14ac:dyDescent="0.25">
      <c r="A376">
        <v>2024</v>
      </c>
      <c r="B376" t="s">
        <v>103</v>
      </c>
      <c r="C376" t="s">
        <v>36</v>
      </c>
      <c r="D376" s="70" t="s">
        <v>25</v>
      </c>
      <c r="E376" t="s">
        <v>26</v>
      </c>
      <c r="F376">
        <v>910.83150984682698</v>
      </c>
      <c r="J376">
        <v>2025</v>
      </c>
      <c r="K376" t="s">
        <v>103</v>
      </c>
      <c r="L376" t="s">
        <v>29</v>
      </c>
      <c r="M376" s="70" t="s">
        <v>38</v>
      </c>
      <c r="N376" t="s">
        <v>26</v>
      </c>
      <c r="O376">
        <v>3146.6083150984682</v>
      </c>
    </row>
    <row r="377" spans="1:15" s="19" customFormat="1" x14ac:dyDescent="0.25">
      <c r="A377">
        <v>2024</v>
      </c>
      <c r="B377" t="s">
        <v>103</v>
      </c>
      <c r="C377" t="s">
        <v>36</v>
      </c>
      <c r="D377" s="70" t="s">
        <v>25</v>
      </c>
      <c r="E377" t="s">
        <v>26</v>
      </c>
      <c r="F377">
        <v>894.96717724288851</v>
      </c>
      <c r="J377">
        <v>2025</v>
      </c>
      <c r="K377" t="s">
        <v>103</v>
      </c>
      <c r="L377" t="s">
        <v>29</v>
      </c>
      <c r="M377" s="70" t="s">
        <v>38</v>
      </c>
      <c r="N377" t="s">
        <v>26</v>
      </c>
      <c r="O377">
        <v>3010.9409190371989</v>
      </c>
    </row>
    <row r="378" spans="1:15" s="19" customFormat="1" x14ac:dyDescent="0.25">
      <c r="A378">
        <v>2024</v>
      </c>
      <c r="B378" t="s">
        <v>103</v>
      </c>
      <c r="C378" t="s">
        <v>36</v>
      </c>
      <c r="D378" s="70" t="s">
        <v>25</v>
      </c>
      <c r="E378" t="s">
        <v>26</v>
      </c>
      <c r="F378">
        <v>1155.9080962800874</v>
      </c>
      <c r="J378">
        <v>2025</v>
      </c>
      <c r="K378" t="s">
        <v>103</v>
      </c>
      <c r="L378" t="s">
        <v>29</v>
      </c>
      <c r="M378" s="70" t="s">
        <v>38</v>
      </c>
      <c r="N378" t="s">
        <v>26</v>
      </c>
      <c r="O378">
        <v>3595.1859956236322</v>
      </c>
    </row>
    <row r="379" spans="1:15" s="19" customFormat="1" x14ac:dyDescent="0.25">
      <c r="A379">
        <v>2024</v>
      </c>
      <c r="B379" t="s">
        <v>103</v>
      </c>
      <c r="C379" t="s">
        <v>36</v>
      </c>
      <c r="D379" s="70" t="s">
        <v>38</v>
      </c>
      <c r="E379" t="s">
        <v>26</v>
      </c>
      <c r="F379">
        <v>2830.9628008752738</v>
      </c>
      <c r="J379">
        <v>2025</v>
      </c>
      <c r="K379" t="s">
        <v>103</v>
      </c>
      <c r="L379" t="s">
        <v>29</v>
      </c>
      <c r="M379" s="70" t="s">
        <v>38</v>
      </c>
      <c r="N379" t="s">
        <v>26</v>
      </c>
      <c r="O379">
        <v>3799.7811816192557</v>
      </c>
    </row>
    <row r="380" spans="1:15" s="19" customFormat="1" x14ac:dyDescent="0.25">
      <c r="A380">
        <v>2024</v>
      </c>
      <c r="B380" t="s">
        <v>103</v>
      </c>
      <c r="C380" t="s">
        <v>36</v>
      </c>
      <c r="D380" s="70" t="s">
        <v>38</v>
      </c>
      <c r="E380" t="s">
        <v>26</v>
      </c>
      <c r="F380">
        <v>3094.6389496717725</v>
      </c>
      <c r="J380">
        <v>2025</v>
      </c>
      <c r="K380" t="s">
        <v>103</v>
      </c>
      <c r="L380" t="s">
        <v>29</v>
      </c>
      <c r="M380" s="70" t="s">
        <v>25</v>
      </c>
      <c r="N380" t="s">
        <v>26</v>
      </c>
      <c r="O380">
        <v>1178.3369803063456</v>
      </c>
    </row>
    <row r="381" spans="1:15" s="19" customFormat="1" x14ac:dyDescent="0.25">
      <c r="A381">
        <v>2024</v>
      </c>
      <c r="B381" t="s">
        <v>103</v>
      </c>
      <c r="C381" t="s">
        <v>36</v>
      </c>
      <c r="D381" s="70" t="s">
        <v>38</v>
      </c>
      <c r="E381" t="s">
        <v>26</v>
      </c>
      <c r="F381">
        <v>2670.6783369803061</v>
      </c>
      <c r="J381">
        <v>2025</v>
      </c>
      <c r="K381" t="s">
        <v>103</v>
      </c>
      <c r="L381" t="s">
        <v>29</v>
      </c>
      <c r="M381" s="70" t="s">
        <v>25</v>
      </c>
      <c r="N381" t="s">
        <v>26</v>
      </c>
      <c r="O381">
        <v>1096.2800875273522</v>
      </c>
    </row>
    <row r="382" spans="1:15" s="19" customFormat="1" x14ac:dyDescent="0.25">
      <c r="A382">
        <v>2024</v>
      </c>
      <c r="B382" t="s">
        <v>103</v>
      </c>
      <c r="C382" t="s">
        <v>30</v>
      </c>
      <c r="D382" s="70" t="s">
        <v>25</v>
      </c>
      <c r="E382" t="s">
        <v>26</v>
      </c>
      <c r="F382"/>
      <c r="J382">
        <v>2025</v>
      </c>
      <c r="K382" t="s">
        <v>103</v>
      </c>
      <c r="L382" t="s">
        <v>29</v>
      </c>
      <c r="M382" s="70" t="s">
        <v>25</v>
      </c>
      <c r="N382" t="s">
        <v>26</v>
      </c>
      <c r="O382"/>
    </row>
    <row r="383" spans="1:15" s="19" customFormat="1" x14ac:dyDescent="0.25">
      <c r="A383">
        <v>2024</v>
      </c>
      <c r="B383" t="s">
        <v>103</v>
      </c>
      <c r="C383" t="s">
        <v>30</v>
      </c>
      <c r="D383" s="70" t="s">
        <v>25</v>
      </c>
      <c r="E383" t="s">
        <v>26</v>
      </c>
      <c r="F383">
        <v>1712.253829321663</v>
      </c>
      <c r="J383">
        <v>2025</v>
      </c>
      <c r="K383" t="s">
        <v>103</v>
      </c>
      <c r="L383" t="s">
        <v>29</v>
      </c>
      <c r="M383" s="70" t="s">
        <v>25</v>
      </c>
      <c r="N383" t="s">
        <v>26</v>
      </c>
      <c r="O383">
        <v>1766.9584245076585</v>
      </c>
    </row>
    <row r="384" spans="1:15" s="19" customFormat="1" x14ac:dyDescent="0.25">
      <c r="A384">
        <v>2024</v>
      </c>
      <c r="B384" t="s">
        <v>103</v>
      </c>
      <c r="C384" t="s">
        <v>30</v>
      </c>
      <c r="D384" s="70" t="s">
        <v>25</v>
      </c>
      <c r="E384" t="s">
        <v>26</v>
      </c>
      <c r="F384">
        <v>2071.1159737417938</v>
      </c>
    </row>
    <row r="385" spans="1:6" s="20" customFormat="1" x14ac:dyDescent="0.25">
      <c r="A385">
        <v>2024</v>
      </c>
      <c r="B385" t="s">
        <v>103</v>
      </c>
      <c r="C385" s="49" t="s">
        <v>30</v>
      </c>
      <c r="D385" s="77" t="s">
        <v>38</v>
      </c>
      <c r="E385" t="s">
        <v>26</v>
      </c>
      <c r="F385" s="49">
        <v>2659.7374179431072</v>
      </c>
    </row>
    <row r="386" spans="1:6" s="19" customFormat="1" hidden="1" x14ac:dyDescent="0.25">
      <c r="A386">
        <v>2025</v>
      </c>
      <c r="B386">
        <v>1</v>
      </c>
      <c r="C386" t="s">
        <v>24</v>
      </c>
      <c r="D386" t="s">
        <v>38</v>
      </c>
      <c r="E386" t="s">
        <v>26</v>
      </c>
      <c r="F386">
        <v>3667.3960612691467</v>
      </c>
    </row>
    <row r="387" spans="1:6" s="19" customFormat="1" hidden="1" x14ac:dyDescent="0.25">
      <c r="A387">
        <v>2025</v>
      </c>
      <c r="B387">
        <v>1</v>
      </c>
      <c r="C387" t="s">
        <v>29</v>
      </c>
      <c r="D387" t="s">
        <v>38</v>
      </c>
      <c r="E387" t="s">
        <v>26</v>
      </c>
      <c r="F387">
        <v>3095.1859956236322</v>
      </c>
    </row>
    <row r="388" spans="1:6" s="19" customFormat="1" hidden="1" x14ac:dyDescent="0.25">
      <c r="A388">
        <v>2025</v>
      </c>
      <c r="B388">
        <v>1</v>
      </c>
      <c r="C388" t="s">
        <v>28</v>
      </c>
      <c r="D388" t="s">
        <v>38</v>
      </c>
      <c r="E388" t="s">
        <v>26</v>
      </c>
      <c r="F388">
        <v>4701.3129102844641</v>
      </c>
    </row>
    <row r="389" spans="1:6" s="19" customFormat="1" hidden="1" x14ac:dyDescent="0.25">
      <c r="A389">
        <v>2025</v>
      </c>
      <c r="B389">
        <v>1</v>
      </c>
      <c r="C389" t="s">
        <v>32</v>
      </c>
      <c r="D389" t="s">
        <v>38</v>
      </c>
      <c r="E389" t="s">
        <v>26</v>
      </c>
      <c r="F389">
        <v>3653.172866520787</v>
      </c>
    </row>
    <row r="390" spans="1:6" s="19" customFormat="1" hidden="1" x14ac:dyDescent="0.25">
      <c r="A390">
        <v>2025</v>
      </c>
      <c r="B390">
        <v>1</v>
      </c>
      <c r="C390" t="s">
        <v>29</v>
      </c>
      <c r="D390" t="s">
        <v>38</v>
      </c>
      <c r="E390" t="s">
        <v>26</v>
      </c>
      <c r="F390">
        <v>3146.6083150984682</v>
      </c>
    </row>
    <row r="391" spans="1:6" s="19" customFormat="1" hidden="1" x14ac:dyDescent="0.25">
      <c r="A391">
        <v>2025</v>
      </c>
      <c r="B391">
        <v>1</v>
      </c>
      <c r="C391" t="s">
        <v>24</v>
      </c>
      <c r="D391" t="s">
        <v>38</v>
      </c>
      <c r="E391" t="s">
        <v>26</v>
      </c>
      <c r="F391">
        <v>4396.0612691466085</v>
      </c>
    </row>
    <row r="392" spans="1:6" s="19" customFormat="1" hidden="1" x14ac:dyDescent="0.25">
      <c r="A392">
        <v>2025</v>
      </c>
      <c r="B392">
        <v>1</v>
      </c>
      <c r="C392" t="s">
        <v>28</v>
      </c>
      <c r="D392" t="s">
        <v>38</v>
      </c>
      <c r="E392" t="s">
        <v>26</v>
      </c>
      <c r="F392">
        <v>2508.7527352297593</v>
      </c>
    </row>
    <row r="393" spans="1:6" s="19" customFormat="1" hidden="1" x14ac:dyDescent="0.25">
      <c r="A393">
        <v>2025</v>
      </c>
      <c r="B393">
        <v>1</v>
      </c>
      <c r="C393" t="s">
        <v>32</v>
      </c>
      <c r="D393" t="s">
        <v>38</v>
      </c>
      <c r="E393" t="s">
        <v>26</v>
      </c>
      <c r="F393">
        <v>2908.0962800875277</v>
      </c>
    </row>
    <row r="394" spans="1:6" s="19" customFormat="1" hidden="1" x14ac:dyDescent="0.25">
      <c r="A394">
        <v>2025</v>
      </c>
      <c r="B394">
        <v>1</v>
      </c>
      <c r="C394" t="s">
        <v>24</v>
      </c>
      <c r="D394" t="s">
        <v>38</v>
      </c>
      <c r="E394" t="s">
        <v>26</v>
      </c>
      <c r="F394">
        <v>3669.5842450765858</v>
      </c>
    </row>
    <row r="395" spans="1:6" s="19" customFormat="1" hidden="1" x14ac:dyDescent="0.25">
      <c r="A395">
        <v>2025</v>
      </c>
      <c r="B395">
        <v>1</v>
      </c>
      <c r="C395" t="s">
        <v>29</v>
      </c>
      <c r="D395" t="s">
        <v>38</v>
      </c>
      <c r="E395" t="s">
        <v>26</v>
      </c>
      <c r="F395">
        <v>2947.4835886214437</v>
      </c>
    </row>
    <row r="396" spans="1:6" s="19" customFormat="1" hidden="1" x14ac:dyDescent="0.25">
      <c r="A396">
        <v>2025</v>
      </c>
      <c r="B396">
        <v>1</v>
      </c>
      <c r="C396" t="s">
        <v>32</v>
      </c>
      <c r="D396" t="s">
        <v>38</v>
      </c>
      <c r="E396" t="s">
        <v>26</v>
      </c>
      <c r="F396">
        <v>3010.9409190371989</v>
      </c>
    </row>
    <row r="397" spans="1:6" s="19" customFormat="1" hidden="1" x14ac:dyDescent="0.25">
      <c r="A397">
        <v>2025</v>
      </c>
      <c r="B397">
        <v>1</v>
      </c>
      <c r="C397" t="s">
        <v>28</v>
      </c>
      <c r="D397" t="s">
        <v>38</v>
      </c>
      <c r="E397" t="s">
        <v>26</v>
      </c>
      <c r="F397">
        <v>3456.236323851203</v>
      </c>
    </row>
    <row r="398" spans="1:6" s="19" customFormat="1" hidden="1" x14ac:dyDescent="0.25">
      <c r="A398">
        <v>2025</v>
      </c>
      <c r="B398">
        <v>1</v>
      </c>
      <c r="C398" t="s">
        <v>24</v>
      </c>
      <c r="D398" t="s">
        <v>25</v>
      </c>
      <c r="E398" t="s">
        <v>26</v>
      </c>
      <c r="F398">
        <v>4133.4792122538292</v>
      </c>
    </row>
    <row r="399" spans="1:6" s="19" customFormat="1" hidden="1" x14ac:dyDescent="0.25">
      <c r="A399">
        <v>2025</v>
      </c>
      <c r="B399">
        <v>1</v>
      </c>
      <c r="C399" t="s">
        <v>29</v>
      </c>
      <c r="D399" t="s">
        <v>25</v>
      </c>
      <c r="E399" t="s">
        <v>26</v>
      </c>
      <c r="F399">
        <v>4048.1400437636762</v>
      </c>
    </row>
    <row r="400" spans="1:6" s="19" customFormat="1" hidden="1" x14ac:dyDescent="0.25">
      <c r="A400">
        <v>2025</v>
      </c>
      <c r="B400">
        <v>1</v>
      </c>
      <c r="C400" t="s">
        <v>28</v>
      </c>
      <c r="D400" t="s">
        <v>25</v>
      </c>
      <c r="E400" t="s">
        <v>26</v>
      </c>
      <c r="F400">
        <v>4230.853391684901</v>
      </c>
    </row>
    <row r="401" spans="1:6" s="19" customFormat="1" hidden="1" x14ac:dyDescent="0.25">
      <c r="A401">
        <v>2025</v>
      </c>
      <c r="B401">
        <v>1</v>
      </c>
      <c r="C401" t="s">
        <v>32</v>
      </c>
      <c r="D401" t="s">
        <v>25</v>
      </c>
      <c r="E401" t="s">
        <v>26</v>
      </c>
      <c r="F401">
        <v>3773.5229759299782</v>
      </c>
    </row>
    <row r="402" spans="1:6" s="19" customFormat="1" hidden="1" x14ac:dyDescent="0.25">
      <c r="A402">
        <v>2025</v>
      </c>
      <c r="B402">
        <v>1</v>
      </c>
      <c r="C402" t="s">
        <v>29</v>
      </c>
      <c r="D402" t="s">
        <v>25</v>
      </c>
      <c r="E402" t="s">
        <v>26</v>
      </c>
      <c r="F402">
        <v>3795.404814004376</v>
      </c>
    </row>
    <row r="403" spans="1:6" s="19" customFormat="1" hidden="1" x14ac:dyDescent="0.25">
      <c r="A403">
        <v>2025</v>
      </c>
      <c r="B403">
        <v>1</v>
      </c>
      <c r="C403" t="s">
        <v>24</v>
      </c>
      <c r="D403" t="s">
        <v>25</v>
      </c>
      <c r="E403" t="s">
        <v>26</v>
      </c>
      <c r="F403">
        <v>5472.6477024070027</v>
      </c>
    </row>
    <row r="404" spans="1:6" s="19" customFormat="1" hidden="1" x14ac:dyDescent="0.25">
      <c r="A404">
        <v>2025</v>
      </c>
      <c r="B404">
        <v>1</v>
      </c>
      <c r="C404" t="s">
        <v>28</v>
      </c>
      <c r="D404" t="s">
        <v>25</v>
      </c>
      <c r="E404" t="s">
        <v>26</v>
      </c>
      <c r="F404">
        <v>2398.2494529540481</v>
      </c>
    </row>
    <row r="405" spans="1:6" s="19" customFormat="1" hidden="1" x14ac:dyDescent="0.25">
      <c r="A405">
        <v>2025</v>
      </c>
      <c r="B405">
        <v>1</v>
      </c>
      <c r="C405" t="s">
        <v>32</v>
      </c>
      <c r="D405" t="s">
        <v>25</v>
      </c>
      <c r="E405" t="s">
        <v>26</v>
      </c>
      <c r="F405">
        <v>3595.1859956236322</v>
      </c>
    </row>
    <row r="406" spans="1:6" s="19" customFormat="1" hidden="1" x14ac:dyDescent="0.25">
      <c r="A406">
        <v>2025</v>
      </c>
      <c r="B406">
        <v>1</v>
      </c>
      <c r="C406" t="s">
        <v>24</v>
      </c>
      <c r="D406" t="s">
        <v>25</v>
      </c>
      <c r="E406" t="s">
        <v>26</v>
      </c>
      <c r="F406">
        <v>2227.5711159737416</v>
      </c>
    </row>
    <row r="407" spans="1:6" s="19" customFormat="1" hidden="1" x14ac:dyDescent="0.25">
      <c r="A407">
        <v>2025</v>
      </c>
      <c r="B407">
        <v>1</v>
      </c>
      <c r="C407" t="s">
        <v>29</v>
      </c>
      <c r="D407" t="s">
        <v>25</v>
      </c>
      <c r="E407" t="s">
        <v>26</v>
      </c>
      <c r="F407">
        <v>4126.9146608315095</v>
      </c>
    </row>
    <row r="408" spans="1:6" s="19" customFormat="1" hidden="1" x14ac:dyDescent="0.25">
      <c r="A408">
        <v>2025</v>
      </c>
      <c r="B408">
        <v>1</v>
      </c>
      <c r="C408" t="s">
        <v>32</v>
      </c>
      <c r="D408" t="s">
        <v>25</v>
      </c>
      <c r="E408" t="s">
        <v>26</v>
      </c>
      <c r="F408">
        <v>3145.5142231947484</v>
      </c>
    </row>
    <row r="409" spans="1:6" s="20" customFormat="1" hidden="1" x14ac:dyDescent="0.25">
      <c r="A409">
        <v>2025</v>
      </c>
      <c r="B409">
        <v>1</v>
      </c>
      <c r="C409" s="49" t="s">
        <v>28</v>
      </c>
      <c r="D409" t="s">
        <v>25</v>
      </c>
      <c r="E409" t="s">
        <v>26</v>
      </c>
      <c r="F409" s="49">
        <v>3653.172866520787</v>
      </c>
    </row>
    <row r="410" spans="1:6" s="19" customFormat="1" hidden="1" x14ac:dyDescent="0.25">
      <c r="A410">
        <v>2025</v>
      </c>
      <c r="B410">
        <v>2</v>
      </c>
      <c r="C410" t="s">
        <v>24</v>
      </c>
      <c r="D410" t="s">
        <v>38</v>
      </c>
      <c r="E410" t="s">
        <v>26</v>
      </c>
      <c r="F410">
        <v>3731.9474835886213</v>
      </c>
    </row>
    <row r="411" spans="1:6" s="19" customFormat="1" hidden="1" x14ac:dyDescent="0.25">
      <c r="A411">
        <v>2025</v>
      </c>
      <c r="B411">
        <v>2</v>
      </c>
      <c r="C411" t="s">
        <v>29</v>
      </c>
      <c r="D411" t="s">
        <v>38</v>
      </c>
      <c r="E411" t="s">
        <v>26</v>
      </c>
      <c r="F411">
        <v>3340.2625820568928</v>
      </c>
    </row>
    <row r="412" spans="1:6" s="19" customFormat="1" hidden="1" x14ac:dyDescent="0.25">
      <c r="A412">
        <v>2025</v>
      </c>
      <c r="B412">
        <v>2</v>
      </c>
      <c r="C412" t="s">
        <v>28</v>
      </c>
      <c r="D412" t="s">
        <v>38</v>
      </c>
      <c r="E412" t="s">
        <v>26</v>
      </c>
      <c r="F412">
        <v>2943.1072210065645</v>
      </c>
    </row>
    <row r="413" spans="1:6" s="19" customFormat="1" hidden="1" x14ac:dyDescent="0.25">
      <c r="A413">
        <v>2025</v>
      </c>
      <c r="B413">
        <v>2</v>
      </c>
      <c r="C413" t="s">
        <v>32</v>
      </c>
      <c r="D413" t="s">
        <v>38</v>
      </c>
      <c r="E413" t="s">
        <v>26</v>
      </c>
      <c r="F413">
        <v>3799.7811816192557</v>
      </c>
    </row>
    <row r="414" spans="1:6" s="19" customFormat="1" hidden="1" x14ac:dyDescent="0.25">
      <c r="A414">
        <v>2025</v>
      </c>
      <c r="B414">
        <v>2</v>
      </c>
      <c r="C414" t="s">
        <v>29</v>
      </c>
      <c r="D414" t="s">
        <v>38</v>
      </c>
      <c r="E414" t="s">
        <v>26</v>
      </c>
      <c r="F414">
        <v>3572.2100656455141</v>
      </c>
    </row>
    <row r="415" spans="1:6" s="19" customFormat="1" hidden="1" x14ac:dyDescent="0.25">
      <c r="A415">
        <v>2025</v>
      </c>
      <c r="B415">
        <v>2</v>
      </c>
      <c r="C415" t="s">
        <v>24</v>
      </c>
      <c r="D415" t="s">
        <v>38</v>
      </c>
      <c r="E415" t="s">
        <v>26</v>
      </c>
      <c r="F415">
        <v>3567.8336980306344</v>
      </c>
    </row>
    <row r="416" spans="1:6" s="19" customFormat="1" hidden="1" x14ac:dyDescent="0.25">
      <c r="A416">
        <v>2025</v>
      </c>
      <c r="B416">
        <v>2</v>
      </c>
      <c r="C416" t="s">
        <v>28</v>
      </c>
      <c r="D416" t="s">
        <v>38</v>
      </c>
      <c r="E416" t="s">
        <v>26</v>
      </c>
      <c r="F416">
        <v>4805.2516411378556</v>
      </c>
    </row>
    <row r="417" spans="1:6" s="19" customFormat="1" hidden="1" x14ac:dyDescent="0.25">
      <c r="A417">
        <v>2025</v>
      </c>
      <c r="B417">
        <v>2</v>
      </c>
      <c r="C417" t="s">
        <v>32</v>
      </c>
      <c r="D417" t="s">
        <v>38</v>
      </c>
      <c r="E417" t="s">
        <v>26</v>
      </c>
      <c r="F417">
        <v>3780.087527352297</v>
      </c>
    </row>
    <row r="418" spans="1:6" s="19" customFormat="1" hidden="1" x14ac:dyDescent="0.25">
      <c r="A418">
        <v>2025</v>
      </c>
      <c r="B418">
        <v>2</v>
      </c>
      <c r="C418" t="s">
        <v>24</v>
      </c>
      <c r="D418" t="s">
        <v>38</v>
      </c>
      <c r="E418" t="s">
        <v>26</v>
      </c>
      <c r="F418">
        <v>3071.1159737417943</v>
      </c>
    </row>
    <row r="419" spans="1:6" s="19" customFormat="1" hidden="1" x14ac:dyDescent="0.25">
      <c r="A419">
        <v>2025</v>
      </c>
      <c r="B419">
        <v>2</v>
      </c>
      <c r="C419" t="s">
        <v>29</v>
      </c>
      <c r="D419" t="s">
        <v>38</v>
      </c>
      <c r="E419" t="s">
        <v>26</v>
      </c>
      <c r="F419"/>
    </row>
    <row r="420" spans="1:6" s="19" customFormat="1" hidden="1" x14ac:dyDescent="0.25">
      <c r="A420">
        <v>2025</v>
      </c>
      <c r="B420">
        <v>2</v>
      </c>
      <c r="C420" t="s">
        <v>32</v>
      </c>
      <c r="D420" t="s">
        <v>38</v>
      </c>
      <c r="E420" t="s">
        <v>26</v>
      </c>
      <c r="F420"/>
    </row>
    <row r="421" spans="1:6" s="19" customFormat="1" hidden="1" x14ac:dyDescent="0.25">
      <c r="A421">
        <v>2025</v>
      </c>
      <c r="B421">
        <v>2</v>
      </c>
      <c r="C421" t="s">
        <v>28</v>
      </c>
      <c r="D421" t="s">
        <v>38</v>
      </c>
      <c r="E421" t="s">
        <v>26</v>
      </c>
      <c r="F421"/>
    </row>
    <row r="422" spans="1:6" s="19" customFormat="1" hidden="1" x14ac:dyDescent="0.25">
      <c r="A422">
        <v>2025</v>
      </c>
      <c r="B422">
        <v>2</v>
      </c>
      <c r="C422" t="s">
        <v>24</v>
      </c>
      <c r="D422" t="s">
        <v>25</v>
      </c>
      <c r="E422" t="s">
        <v>26</v>
      </c>
      <c r="F422">
        <v>1469.3654266958424</v>
      </c>
    </row>
    <row r="423" spans="1:6" s="19" customFormat="1" hidden="1" x14ac:dyDescent="0.25">
      <c r="A423">
        <v>2025</v>
      </c>
      <c r="B423">
        <v>2</v>
      </c>
      <c r="C423" t="s">
        <v>29</v>
      </c>
      <c r="D423" t="s">
        <v>25</v>
      </c>
      <c r="E423" t="s">
        <v>26</v>
      </c>
      <c r="F423">
        <v>1178.3369803063456</v>
      </c>
    </row>
    <row r="424" spans="1:6" s="19" customFormat="1" hidden="1" x14ac:dyDescent="0.25">
      <c r="A424">
        <v>2025</v>
      </c>
      <c r="B424">
        <v>2</v>
      </c>
      <c r="C424" t="s">
        <v>28</v>
      </c>
      <c r="D424" t="s">
        <v>25</v>
      </c>
      <c r="E424" t="s">
        <v>26</v>
      </c>
      <c r="F424">
        <v>1944.2013129102843</v>
      </c>
    </row>
    <row r="425" spans="1:6" s="19" customFormat="1" hidden="1" x14ac:dyDescent="0.25">
      <c r="A425">
        <v>2025</v>
      </c>
      <c r="B425">
        <v>2</v>
      </c>
      <c r="C425" t="s">
        <v>32</v>
      </c>
      <c r="D425" t="s">
        <v>25</v>
      </c>
      <c r="E425" t="s">
        <v>26</v>
      </c>
      <c r="F425">
        <v>1561.2691466083149</v>
      </c>
    </row>
    <row r="426" spans="1:6" s="19" customFormat="1" hidden="1" x14ac:dyDescent="0.25">
      <c r="A426">
        <v>2025</v>
      </c>
      <c r="B426">
        <v>2</v>
      </c>
      <c r="C426" t="s">
        <v>29</v>
      </c>
      <c r="D426" t="s">
        <v>25</v>
      </c>
      <c r="E426" t="s">
        <v>26</v>
      </c>
      <c r="F426">
        <v>1404.8140043763678</v>
      </c>
    </row>
    <row r="427" spans="1:6" s="19" customFormat="1" hidden="1" x14ac:dyDescent="0.25">
      <c r="A427">
        <v>2025</v>
      </c>
      <c r="B427">
        <v>2</v>
      </c>
      <c r="C427" t="s">
        <v>24</v>
      </c>
      <c r="D427" t="s">
        <v>25</v>
      </c>
      <c r="E427" t="s">
        <v>26</v>
      </c>
      <c r="F427">
        <v>1645.5142231947482</v>
      </c>
    </row>
    <row r="428" spans="1:6" s="19" customFormat="1" hidden="1" x14ac:dyDescent="0.25">
      <c r="A428">
        <v>2025</v>
      </c>
      <c r="B428">
        <v>2</v>
      </c>
      <c r="C428" t="s">
        <v>28</v>
      </c>
      <c r="D428" t="s">
        <v>25</v>
      </c>
      <c r="E428" t="s">
        <v>26</v>
      </c>
      <c r="F428">
        <v>1100.6564551422318</v>
      </c>
    </row>
    <row r="429" spans="1:6" s="19" customFormat="1" hidden="1" x14ac:dyDescent="0.25">
      <c r="A429">
        <v>2025</v>
      </c>
      <c r="B429">
        <v>2</v>
      </c>
      <c r="C429" t="s">
        <v>32</v>
      </c>
      <c r="D429" t="s">
        <v>25</v>
      </c>
      <c r="E429" t="s">
        <v>26</v>
      </c>
      <c r="F429">
        <v>1096.2800875273522</v>
      </c>
    </row>
    <row r="430" spans="1:6" s="19" customFormat="1" hidden="1" x14ac:dyDescent="0.25">
      <c r="A430">
        <v>2025</v>
      </c>
      <c r="B430">
        <v>2</v>
      </c>
      <c r="C430" t="s">
        <v>24</v>
      </c>
      <c r="D430" t="s">
        <v>25</v>
      </c>
      <c r="E430" t="s">
        <v>26</v>
      </c>
      <c r="F430">
        <v>1439.8249452954049</v>
      </c>
    </row>
    <row r="431" spans="1:6" s="19" customFormat="1" hidden="1" x14ac:dyDescent="0.25">
      <c r="A431">
        <v>2025</v>
      </c>
      <c r="B431">
        <v>2</v>
      </c>
      <c r="C431" t="s">
        <v>29</v>
      </c>
      <c r="D431" t="s">
        <v>25</v>
      </c>
      <c r="E431" t="s">
        <v>26</v>
      </c>
      <c r="F431">
        <v>1578.7746170678338</v>
      </c>
    </row>
    <row r="432" spans="1:6" s="19" customFormat="1" hidden="1" x14ac:dyDescent="0.25">
      <c r="A432">
        <v>2025</v>
      </c>
      <c r="B432">
        <v>2</v>
      </c>
      <c r="C432" t="s">
        <v>32</v>
      </c>
      <c r="D432" t="s">
        <v>25</v>
      </c>
      <c r="E432" t="s">
        <v>26</v>
      </c>
      <c r="F432">
        <v>1195.8424507658642</v>
      </c>
    </row>
    <row r="433" spans="1:6" s="19" customFormat="1" hidden="1" x14ac:dyDescent="0.25">
      <c r="A433">
        <v>2025</v>
      </c>
      <c r="B433">
        <v>2</v>
      </c>
      <c r="C433" t="s">
        <v>28</v>
      </c>
      <c r="D433" t="s">
        <v>25</v>
      </c>
      <c r="E433" t="s">
        <v>26</v>
      </c>
      <c r="F433">
        <v>1447.4835886214441</v>
      </c>
    </row>
    <row r="434" spans="1:6" hidden="1" x14ac:dyDescent="0.25">
      <c r="A434" s="15">
        <v>2025</v>
      </c>
      <c r="B434" s="15">
        <v>3</v>
      </c>
      <c r="C434" s="15" t="s">
        <v>24</v>
      </c>
      <c r="D434" s="15" t="s">
        <v>38</v>
      </c>
      <c r="E434" s="15" t="s">
        <v>26</v>
      </c>
      <c r="F434" s="15">
        <v>1886.214442013129</v>
      </c>
    </row>
    <row r="435" spans="1:6" hidden="1" x14ac:dyDescent="0.25">
      <c r="A435">
        <v>2025</v>
      </c>
      <c r="B435">
        <v>3</v>
      </c>
      <c r="C435" t="s">
        <v>29</v>
      </c>
      <c r="D435" t="s">
        <v>38</v>
      </c>
      <c r="E435" t="s">
        <v>26</v>
      </c>
      <c r="F435">
        <v>2253.8293216630195</v>
      </c>
    </row>
    <row r="436" spans="1:6" hidden="1" x14ac:dyDescent="0.25">
      <c r="A436">
        <v>2025</v>
      </c>
      <c r="B436">
        <v>3</v>
      </c>
      <c r="C436" t="s">
        <v>28</v>
      </c>
      <c r="D436" t="s">
        <v>38</v>
      </c>
      <c r="E436" t="s">
        <v>26</v>
      </c>
    </row>
    <row r="437" spans="1:6" hidden="1" x14ac:dyDescent="0.25">
      <c r="A437">
        <v>2025</v>
      </c>
      <c r="B437">
        <v>3</v>
      </c>
      <c r="C437" t="s">
        <v>32</v>
      </c>
      <c r="D437" t="s">
        <v>38</v>
      </c>
      <c r="E437" t="s">
        <v>26</v>
      </c>
    </row>
    <row r="438" spans="1:6" hidden="1" x14ac:dyDescent="0.25">
      <c r="A438">
        <v>2025</v>
      </c>
      <c r="B438">
        <v>3</v>
      </c>
      <c r="C438" t="s">
        <v>29</v>
      </c>
      <c r="D438" t="s">
        <v>38</v>
      </c>
      <c r="E438" t="s">
        <v>26</v>
      </c>
    </row>
    <row r="439" spans="1:6" hidden="1" x14ac:dyDescent="0.25">
      <c r="A439">
        <v>2025</v>
      </c>
      <c r="B439">
        <v>3</v>
      </c>
      <c r="C439" t="s">
        <v>24</v>
      </c>
      <c r="D439" t="s">
        <v>38</v>
      </c>
      <c r="E439" t="s">
        <v>26</v>
      </c>
    </row>
    <row r="440" spans="1:6" hidden="1" x14ac:dyDescent="0.25">
      <c r="A440">
        <v>2025</v>
      </c>
      <c r="B440">
        <v>3</v>
      </c>
      <c r="C440" t="s">
        <v>28</v>
      </c>
      <c r="D440" t="s">
        <v>38</v>
      </c>
      <c r="E440" t="s">
        <v>26</v>
      </c>
      <c r="F440">
        <v>1075.4923413566739</v>
      </c>
    </row>
    <row r="441" spans="1:6" hidden="1" x14ac:dyDescent="0.25">
      <c r="A441">
        <v>2025</v>
      </c>
      <c r="B441">
        <v>3</v>
      </c>
      <c r="C441" t="s">
        <v>32</v>
      </c>
      <c r="D441" t="s">
        <v>38</v>
      </c>
      <c r="E441" t="s">
        <v>26</v>
      </c>
      <c r="F441">
        <v>1024.0700218818379</v>
      </c>
    </row>
    <row r="442" spans="1:6" hidden="1" x14ac:dyDescent="0.25">
      <c r="A442">
        <v>2025</v>
      </c>
      <c r="B442">
        <v>3</v>
      </c>
      <c r="C442" t="s">
        <v>24</v>
      </c>
      <c r="D442" t="s">
        <v>38</v>
      </c>
      <c r="E442" t="s">
        <v>26</v>
      </c>
      <c r="F442">
        <v>1315.0984682713345</v>
      </c>
    </row>
    <row r="443" spans="1:6" hidden="1" x14ac:dyDescent="0.25">
      <c r="A443">
        <v>2025</v>
      </c>
      <c r="B443">
        <v>3</v>
      </c>
      <c r="C443" t="s">
        <v>29</v>
      </c>
      <c r="D443" t="s">
        <v>38</v>
      </c>
      <c r="E443" t="s">
        <v>26</v>
      </c>
      <c r="F443">
        <v>1669.5842450765861</v>
      </c>
    </row>
    <row r="444" spans="1:6" hidden="1" x14ac:dyDescent="0.25">
      <c r="A444">
        <v>2025</v>
      </c>
      <c r="B444">
        <v>3</v>
      </c>
      <c r="C444" t="s">
        <v>32</v>
      </c>
      <c r="D444" t="s">
        <v>38</v>
      </c>
      <c r="E444" t="s">
        <v>26</v>
      </c>
      <c r="F444">
        <v>1614.8796498905906</v>
      </c>
    </row>
    <row r="445" spans="1:6" hidden="1" x14ac:dyDescent="0.25">
      <c r="A445">
        <v>2025</v>
      </c>
      <c r="B445">
        <v>3</v>
      </c>
      <c r="C445" t="s">
        <v>28</v>
      </c>
      <c r="D445" t="s">
        <v>38</v>
      </c>
      <c r="E445" t="s">
        <v>26</v>
      </c>
      <c r="F445">
        <v>1323.851203501094</v>
      </c>
    </row>
    <row r="446" spans="1:6" hidden="1" x14ac:dyDescent="0.25">
      <c r="A446">
        <v>2025</v>
      </c>
      <c r="B446">
        <v>3</v>
      </c>
      <c r="C446" t="s">
        <v>24</v>
      </c>
      <c r="D446" t="s">
        <v>25</v>
      </c>
      <c r="E446" t="s">
        <v>26</v>
      </c>
      <c r="F446">
        <v>1766.9584245076585</v>
      </c>
    </row>
    <row r="447" spans="1:6" hidden="1" x14ac:dyDescent="0.25">
      <c r="A447">
        <v>2025</v>
      </c>
      <c r="B447">
        <v>3</v>
      </c>
      <c r="C447" t="s">
        <v>29</v>
      </c>
      <c r="D447" t="s">
        <v>25</v>
      </c>
      <c r="E447" t="s">
        <v>26</v>
      </c>
      <c r="F447">
        <v>1505.4704595185995</v>
      </c>
    </row>
    <row r="448" spans="1:6" hidden="1" x14ac:dyDescent="0.25">
      <c r="A448">
        <v>2025</v>
      </c>
      <c r="B448">
        <v>3</v>
      </c>
      <c r="C448" t="s">
        <v>28</v>
      </c>
      <c r="D448" t="s">
        <v>25</v>
      </c>
      <c r="E448" t="s">
        <v>26</v>
      </c>
      <c r="F448">
        <v>1589.7155361050329</v>
      </c>
    </row>
    <row r="449" spans="1:6" hidden="1" x14ac:dyDescent="0.25">
      <c r="A449">
        <v>2025</v>
      </c>
      <c r="B449">
        <v>3</v>
      </c>
      <c r="C449" t="s">
        <v>32</v>
      </c>
      <c r="D449" t="s">
        <v>25</v>
      </c>
      <c r="E449" t="s">
        <v>26</v>
      </c>
      <c r="F449">
        <v>1957.3304157549233</v>
      </c>
    </row>
    <row r="450" spans="1:6" hidden="1" x14ac:dyDescent="0.25">
      <c r="A450">
        <v>2025</v>
      </c>
      <c r="B450">
        <v>3</v>
      </c>
      <c r="C450" t="s">
        <v>29</v>
      </c>
      <c r="D450" t="s">
        <v>25</v>
      </c>
      <c r="E450" t="s">
        <v>26</v>
      </c>
      <c r="F450">
        <v>2461.7067833698029</v>
      </c>
    </row>
    <row r="451" spans="1:6" hidden="1" x14ac:dyDescent="0.25">
      <c r="A451">
        <v>2025</v>
      </c>
      <c r="B451">
        <v>3</v>
      </c>
      <c r="C451" t="s">
        <v>24</v>
      </c>
      <c r="D451" t="s">
        <v>25</v>
      </c>
      <c r="E451" t="s">
        <v>26</v>
      </c>
      <c r="F451">
        <v>1282.2757111597371</v>
      </c>
    </row>
    <row r="452" spans="1:6" hidden="1" x14ac:dyDescent="0.25">
      <c r="A452">
        <v>2025</v>
      </c>
      <c r="B452">
        <v>3</v>
      </c>
      <c r="C452" t="s">
        <v>28</v>
      </c>
      <c r="D452" t="s">
        <v>25</v>
      </c>
      <c r="E452" t="s">
        <v>26</v>
      </c>
    </row>
    <row r="453" spans="1:6" hidden="1" x14ac:dyDescent="0.25">
      <c r="A453">
        <v>2025</v>
      </c>
      <c r="B453">
        <v>3</v>
      </c>
      <c r="C453" t="s">
        <v>32</v>
      </c>
      <c r="D453" t="s">
        <v>25</v>
      </c>
      <c r="E453" t="s">
        <v>26</v>
      </c>
    </row>
    <row r="454" spans="1:6" hidden="1" x14ac:dyDescent="0.25">
      <c r="A454">
        <v>2025</v>
      </c>
      <c r="B454">
        <v>3</v>
      </c>
      <c r="C454" t="s">
        <v>24</v>
      </c>
      <c r="D454" t="s">
        <v>25</v>
      </c>
      <c r="E454" t="s">
        <v>26</v>
      </c>
    </row>
    <row r="455" spans="1:6" hidden="1" x14ac:dyDescent="0.25">
      <c r="A455">
        <v>2025</v>
      </c>
      <c r="B455">
        <v>3</v>
      </c>
      <c r="C455" t="s">
        <v>29</v>
      </c>
      <c r="D455" t="s">
        <v>25</v>
      </c>
      <c r="E455" t="s">
        <v>26</v>
      </c>
    </row>
    <row r="456" spans="1:6" hidden="1" x14ac:dyDescent="0.25">
      <c r="A456">
        <v>2025</v>
      </c>
      <c r="B456">
        <v>3</v>
      </c>
      <c r="C456" t="s">
        <v>32</v>
      </c>
      <c r="D456" t="s">
        <v>25</v>
      </c>
      <c r="E456" t="s">
        <v>26</v>
      </c>
    </row>
    <row r="457" spans="1:6" hidden="1" x14ac:dyDescent="0.25">
      <c r="A457">
        <v>2025</v>
      </c>
      <c r="B457">
        <v>3</v>
      </c>
      <c r="C457" t="s">
        <v>28</v>
      </c>
      <c r="D457" t="s">
        <v>25</v>
      </c>
      <c r="E457" t="s">
        <v>26</v>
      </c>
    </row>
    <row r="458" spans="1:6" hidden="1" x14ac:dyDescent="0.25">
      <c r="A458" s="15">
        <v>2025</v>
      </c>
      <c r="B458" s="15">
        <v>4</v>
      </c>
      <c r="C458" s="15" t="s">
        <v>24</v>
      </c>
      <c r="D458" s="15" t="s">
        <v>38</v>
      </c>
      <c r="E458" s="15" t="s">
        <v>26</v>
      </c>
      <c r="F458" s="15"/>
    </row>
    <row r="459" spans="1:6" hidden="1" x14ac:dyDescent="0.25">
      <c r="A459">
        <v>2025</v>
      </c>
      <c r="B459">
        <v>4</v>
      </c>
      <c r="C459" t="s">
        <v>29</v>
      </c>
      <c r="D459" t="s">
        <v>38</v>
      </c>
      <c r="E459" t="s">
        <v>26</v>
      </c>
    </row>
    <row r="460" spans="1:6" hidden="1" x14ac:dyDescent="0.25">
      <c r="A460">
        <v>2025</v>
      </c>
      <c r="B460">
        <v>4</v>
      </c>
      <c r="C460" t="s">
        <v>28</v>
      </c>
      <c r="D460" t="s">
        <v>38</v>
      </c>
      <c r="E460" t="s">
        <v>26</v>
      </c>
    </row>
    <row r="461" spans="1:6" hidden="1" x14ac:dyDescent="0.25">
      <c r="A461">
        <v>2025</v>
      </c>
      <c r="B461">
        <v>4</v>
      </c>
      <c r="C461" t="s">
        <v>32</v>
      </c>
      <c r="D461" t="s">
        <v>38</v>
      </c>
      <c r="E461" t="s">
        <v>26</v>
      </c>
    </row>
    <row r="462" spans="1:6" hidden="1" x14ac:dyDescent="0.25">
      <c r="A462">
        <v>2025</v>
      </c>
      <c r="B462">
        <v>4</v>
      </c>
      <c r="C462" t="s">
        <v>29</v>
      </c>
      <c r="D462" t="s">
        <v>38</v>
      </c>
      <c r="E462" t="s">
        <v>26</v>
      </c>
    </row>
    <row r="463" spans="1:6" hidden="1" x14ac:dyDescent="0.25">
      <c r="A463">
        <v>2025</v>
      </c>
      <c r="B463">
        <v>4</v>
      </c>
      <c r="C463" t="s">
        <v>24</v>
      </c>
      <c r="D463" t="s">
        <v>38</v>
      </c>
      <c r="E463" t="s">
        <v>26</v>
      </c>
    </row>
    <row r="464" spans="1:6" hidden="1" x14ac:dyDescent="0.25">
      <c r="A464">
        <v>2025</v>
      </c>
      <c r="B464">
        <v>4</v>
      </c>
      <c r="C464" t="s">
        <v>28</v>
      </c>
      <c r="D464" t="s">
        <v>38</v>
      </c>
      <c r="E464" t="s">
        <v>26</v>
      </c>
    </row>
    <row r="465" spans="1:5" hidden="1" x14ac:dyDescent="0.25">
      <c r="A465">
        <v>2025</v>
      </c>
      <c r="B465">
        <v>4</v>
      </c>
      <c r="C465" t="s">
        <v>32</v>
      </c>
      <c r="D465" t="s">
        <v>38</v>
      </c>
      <c r="E465" t="s">
        <v>26</v>
      </c>
    </row>
    <row r="466" spans="1:5" hidden="1" x14ac:dyDescent="0.25">
      <c r="A466">
        <v>2025</v>
      </c>
      <c r="B466">
        <v>4</v>
      </c>
      <c r="C466" t="s">
        <v>24</v>
      </c>
      <c r="D466" t="s">
        <v>38</v>
      </c>
      <c r="E466" t="s">
        <v>26</v>
      </c>
    </row>
    <row r="467" spans="1:5" hidden="1" x14ac:dyDescent="0.25">
      <c r="A467">
        <v>2025</v>
      </c>
      <c r="B467">
        <v>4</v>
      </c>
      <c r="C467" t="s">
        <v>29</v>
      </c>
      <c r="D467" t="s">
        <v>38</v>
      </c>
      <c r="E467" t="s">
        <v>26</v>
      </c>
    </row>
    <row r="468" spans="1:5" hidden="1" x14ac:dyDescent="0.25">
      <c r="A468">
        <v>2025</v>
      </c>
      <c r="B468">
        <v>4</v>
      </c>
      <c r="C468" t="s">
        <v>32</v>
      </c>
      <c r="D468" t="s">
        <v>38</v>
      </c>
      <c r="E468" t="s">
        <v>26</v>
      </c>
    </row>
    <row r="469" spans="1:5" hidden="1" x14ac:dyDescent="0.25">
      <c r="A469">
        <v>2025</v>
      </c>
      <c r="B469">
        <v>4</v>
      </c>
      <c r="C469" t="s">
        <v>28</v>
      </c>
      <c r="D469" t="s">
        <v>38</v>
      </c>
      <c r="E469" t="s">
        <v>26</v>
      </c>
    </row>
    <row r="470" spans="1:5" hidden="1" x14ac:dyDescent="0.25">
      <c r="A470">
        <v>2025</v>
      </c>
      <c r="B470">
        <v>4</v>
      </c>
      <c r="C470" t="s">
        <v>24</v>
      </c>
      <c r="D470" t="s">
        <v>25</v>
      </c>
      <c r="E470" t="s">
        <v>26</v>
      </c>
    </row>
    <row r="471" spans="1:5" hidden="1" x14ac:dyDescent="0.25">
      <c r="A471">
        <v>2025</v>
      </c>
      <c r="B471">
        <v>4</v>
      </c>
      <c r="C471" t="s">
        <v>29</v>
      </c>
      <c r="D471" t="s">
        <v>25</v>
      </c>
      <c r="E471" t="s">
        <v>26</v>
      </c>
    </row>
    <row r="472" spans="1:5" hidden="1" x14ac:dyDescent="0.25">
      <c r="A472">
        <v>2025</v>
      </c>
      <c r="B472">
        <v>4</v>
      </c>
      <c r="C472" t="s">
        <v>28</v>
      </c>
      <c r="D472" t="s">
        <v>25</v>
      </c>
      <c r="E472" t="s">
        <v>26</v>
      </c>
    </row>
    <row r="473" spans="1:5" hidden="1" x14ac:dyDescent="0.25">
      <c r="A473">
        <v>2025</v>
      </c>
      <c r="B473">
        <v>4</v>
      </c>
      <c r="C473" t="s">
        <v>32</v>
      </c>
      <c r="D473" t="s">
        <v>25</v>
      </c>
      <c r="E473" t="s">
        <v>26</v>
      </c>
    </row>
    <row r="474" spans="1:5" hidden="1" x14ac:dyDescent="0.25">
      <c r="A474">
        <v>2025</v>
      </c>
      <c r="B474">
        <v>4</v>
      </c>
      <c r="C474" t="s">
        <v>29</v>
      </c>
      <c r="D474" t="s">
        <v>25</v>
      </c>
      <c r="E474" t="s">
        <v>26</v>
      </c>
    </row>
    <row r="475" spans="1:5" hidden="1" x14ac:dyDescent="0.25">
      <c r="A475">
        <v>2025</v>
      </c>
      <c r="B475">
        <v>4</v>
      </c>
      <c r="C475" t="s">
        <v>24</v>
      </c>
      <c r="D475" t="s">
        <v>25</v>
      </c>
      <c r="E475" t="s">
        <v>26</v>
      </c>
    </row>
    <row r="476" spans="1:5" hidden="1" x14ac:dyDescent="0.25">
      <c r="A476">
        <v>2025</v>
      </c>
      <c r="B476">
        <v>4</v>
      </c>
      <c r="C476" t="s">
        <v>28</v>
      </c>
      <c r="D476" t="s">
        <v>25</v>
      </c>
      <c r="E476" t="s">
        <v>26</v>
      </c>
    </row>
    <row r="477" spans="1:5" hidden="1" x14ac:dyDescent="0.25">
      <c r="A477">
        <v>2025</v>
      </c>
      <c r="B477">
        <v>4</v>
      </c>
      <c r="C477" t="s">
        <v>32</v>
      </c>
      <c r="D477" t="s">
        <v>25</v>
      </c>
      <c r="E477" t="s">
        <v>26</v>
      </c>
    </row>
    <row r="478" spans="1:5" hidden="1" x14ac:dyDescent="0.25">
      <c r="A478">
        <v>2025</v>
      </c>
      <c r="B478">
        <v>4</v>
      </c>
      <c r="C478" t="s">
        <v>24</v>
      </c>
      <c r="D478" t="s">
        <v>25</v>
      </c>
      <c r="E478" t="s">
        <v>26</v>
      </c>
    </row>
    <row r="479" spans="1:5" hidden="1" x14ac:dyDescent="0.25">
      <c r="A479">
        <v>2025</v>
      </c>
      <c r="B479">
        <v>4</v>
      </c>
      <c r="C479" t="s">
        <v>29</v>
      </c>
      <c r="D479" t="s">
        <v>25</v>
      </c>
      <c r="E479" t="s">
        <v>26</v>
      </c>
    </row>
    <row r="480" spans="1:5" hidden="1" x14ac:dyDescent="0.25">
      <c r="A480">
        <v>2025</v>
      </c>
      <c r="B480">
        <v>4</v>
      </c>
      <c r="C480" t="s">
        <v>32</v>
      </c>
      <c r="D480" t="s">
        <v>25</v>
      </c>
      <c r="E480" t="s">
        <v>26</v>
      </c>
    </row>
    <row r="481" spans="1:5" hidden="1" x14ac:dyDescent="0.25">
      <c r="A481">
        <v>2025</v>
      </c>
      <c r="B481">
        <v>4</v>
      </c>
      <c r="C481" t="s">
        <v>28</v>
      </c>
      <c r="D481" t="s">
        <v>25</v>
      </c>
      <c r="E481" t="s">
        <v>26</v>
      </c>
    </row>
    <row r="482" spans="1:5" hidden="1" x14ac:dyDescent="0.25">
      <c r="A482">
        <v>2024</v>
      </c>
      <c r="B482" t="s">
        <v>103</v>
      </c>
      <c r="C482" s="59" t="s">
        <v>28</v>
      </c>
      <c r="D482" s="70" t="s">
        <v>38</v>
      </c>
      <c r="E482" t="s">
        <v>97</v>
      </c>
    </row>
    <row r="483" spans="1:5" hidden="1" x14ac:dyDescent="0.25">
      <c r="A483">
        <v>2024</v>
      </c>
      <c r="B483" t="s">
        <v>103</v>
      </c>
      <c r="C483" s="59" t="s">
        <v>31</v>
      </c>
      <c r="D483" s="70" t="s">
        <v>38</v>
      </c>
      <c r="E483" t="s">
        <v>97</v>
      </c>
    </row>
    <row r="484" spans="1:5" hidden="1" x14ac:dyDescent="0.25">
      <c r="A484">
        <v>2024</v>
      </c>
      <c r="B484" t="s">
        <v>103</v>
      </c>
      <c r="C484" s="59" t="s">
        <v>28</v>
      </c>
      <c r="D484" s="70" t="s">
        <v>38</v>
      </c>
      <c r="E484" t="s">
        <v>97</v>
      </c>
    </row>
    <row r="485" spans="1:5" hidden="1" x14ac:dyDescent="0.25">
      <c r="A485">
        <v>2024</v>
      </c>
      <c r="B485" t="s">
        <v>103</v>
      </c>
      <c r="C485" s="59" t="s">
        <v>28</v>
      </c>
      <c r="D485" s="70" t="s">
        <v>38</v>
      </c>
      <c r="E485" t="s">
        <v>97</v>
      </c>
    </row>
    <row r="486" spans="1:5" hidden="1" x14ac:dyDescent="0.25">
      <c r="A486">
        <v>2024</v>
      </c>
      <c r="B486" t="s">
        <v>103</v>
      </c>
      <c r="C486" s="59" t="s">
        <v>27</v>
      </c>
      <c r="D486" s="70" t="s">
        <v>38</v>
      </c>
      <c r="E486" t="s">
        <v>97</v>
      </c>
    </row>
    <row r="487" spans="1:5" hidden="1" x14ac:dyDescent="0.25">
      <c r="A487">
        <v>2024</v>
      </c>
      <c r="B487" t="s">
        <v>103</v>
      </c>
      <c r="C487" s="59" t="s">
        <v>24</v>
      </c>
      <c r="D487" s="70" t="s">
        <v>38</v>
      </c>
      <c r="E487" t="s">
        <v>97</v>
      </c>
    </row>
    <row r="488" spans="1:5" hidden="1" x14ac:dyDescent="0.25">
      <c r="A488">
        <v>2024</v>
      </c>
      <c r="B488" t="s">
        <v>103</v>
      </c>
      <c r="C488" s="59" t="s">
        <v>33</v>
      </c>
      <c r="D488" s="70" t="s">
        <v>38</v>
      </c>
      <c r="E488" t="s">
        <v>97</v>
      </c>
    </row>
    <row r="489" spans="1:5" hidden="1" x14ac:dyDescent="0.25">
      <c r="A489">
        <v>2024</v>
      </c>
      <c r="B489" t="s">
        <v>103</v>
      </c>
      <c r="C489" s="59" t="s">
        <v>31</v>
      </c>
      <c r="D489" s="70" t="s">
        <v>38</v>
      </c>
      <c r="E489" t="s">
        <v>97</v>
      </c>
    </row>
    <row r="490" spans="1:5" hidden="1" x14ac:dyDescent="0.25">
      <c r="A490">
        <v>2024</v>
      </c>
      <c r="B490" t="s">
        <v>103</v>
      </c>
      <c r="C490" s="59" t="s">
        <v>27</v>
      </c>
      <c r="D490" s="70" t="s">
        <v>38</v>
      </c>
      <c r="E490" t="s">
        <v>97</v>
      </c>
    </row>
    <row r="491" spans="1:5" hidden="1" x14ac:dyDescent="0.25">
      <c r="A491">
        <v>2024</v>
      </c>
      <c r="B491" t="s">
        <v>103</v>
      </c>
      <c r="C491" s="59" t="s">
        <v>30</v>
      </c>
      <c r="D491" s="70" t="s">
        <v>38</v>
      </c>
      <c r="E491" t="s">
        <v>97</v>
      </c>
    </row>
    <row r="492" spans="1:5" hidden="1" x14ac:dyDescent="0.25">
      <c r="A492">
        <v>2024</v>
      </c>
      <c r="B492" t="s">
        <v>103</v>
      </c>
      <c r="C492" s="59" t="s">
        <v>30</v>
      </c>
      <c r="D492" s="70" t="s">
        <v>38</v>
      </c>
      <c r="E492" t="s">
        <v>97</v>
      </c>
    </row>
    <row r="493" spans="1:5" hidden="1" x14ac:dyDescent="0.25">
      <c r="A493">
        <v>2024</v>
      </c>
      <c r="B493" t="s">
        <v>103</v>
      </c>
      <c r="C493" s="59" t="s">
        <v>29</v>
      </c>
      <c r="D493" s="70" t="s">
        <v>38</v>
      </c>
      <c r="E493" t="s">
        <v>97</v>
      </c>
    </row>
    <row r="494" spans="1:5" hidden="1" x14ac:dyDescent="0.25">
      <c r="A494">
        <v>2024</v>
      </c>
      <c r="B494" t="s">
        <v>103</v>
      </c>
      <c r="C494" s="59" t="s">
        <v>32</v>
      </c>
      <c r="D494" s="70" t="s">
        <v>38</v>
      </c>
      <c r="E494" t="s">
        <v>97</v>
      </c>
    </row>
    <row r="495" spans="1:5" hidden="1" x14ac:dyDescent="0.25">
      <c r="A495">
        <v>2024</v>
      </c>
      <c r="B495" t="s">
        <v>103</v>
      </c>
      <c r="C495" s="59" t="s">
        <v>29</v>
      </c>
      <c r="D495" s="70" t="s">
        <v>38</v>
      </c>
      <c r="E495" t="s">
        <v>97</v>
      </c>
    </row>
    <row r="496" spans="1:5" hidden="1" x14ac:dyDescent="0.25">
      <c r="A496">
        <v>2024</v>
      </c>
      <c r="B496" t="s">
        <v>103</v>
      </c>
      <c r="C496" s="59" t="s">
        <v>27</v>
      </c>
      <c r="D496" s="70" t="s">
        <v>38</v>
      </c>
      <c r="E496" t="s">
        <v>97</v>
      </c>
    </row>
    <row r="497" spans="1:6" hidden="1" x14ac:dyDescent="0.25">
      <c r="A497">
        <v>2024</v>
      </c>
      <c r="B497" t="s">
        <v>103</v>
      </c>
      <c r="C497" s="59" t="s">
        <v>24</v>
      </c>
      <c r="D497" s="70" t="s">
        <v>38</v>
      </c>
      <c r="E497" t="s">
        <v>97</v>
      </c>
    </row>
    <row r="498" spans="1:6" hidden="1" x14ac:dyDescent="0.25">
      <c r="A498">
        <v>2024</v>
      </c>
      <c r="B498" t="s">
        <v>103</v>
      </c>
      <c r="C498" s="59" t="s">
        <v>32</v>
      </c>
      <c r="D498" s="70" t="s">
        <v>38</v>
      </c>
      <c r="E498" t="s">
        <v>97</v>
      </c>
    </row>
    <row r="499" spans="1:6" hidden="1" x14ac:dyDescent="0.25">
      <c r="A499">
        <v>2024</v>
      </c>
      <c r="B499" t="s">
        <v>103</v>
      </c>
      <c r="C499" s="59" t="s">
        <v>24</v>
      </c>
      <c r="D499" s="70" t="s">
        <v>38</v>
      </c>
      <c r="E499" t="s">
        <v>97</v>
      </c>
    </row>
    <row r="500" spans="1:6" hidden="1" x14ac:dyDescent="0.25">
      <c r="A500">
        <v>2024</v>
      </c>
      <c r="B500" t="s">
        <v>103</v>
      </c>
      <c r="C500" s="59" t="s">
        <v>32</v>
      </c>
      <c r="D500" s="70" t="s">
        <v>38</v>
      </c>
      <c r="E500" t="s">
        <v>97</v>
      </c>
    </row>
    <row r="501" spans="1:6" hidden="1" x14ac:dyDescent="0.25">
      <c r="A501">
        <v>2024</v>
      </c>
      <c r="B501" t="s">
        <v>103</v>
      </c>
      <c r="C501" s="59" t="s">
        <v>33</v>
      </c>
      <c r="D501" s="70" t="s">
        <v>38</v>
      </c>
      <c r="E501" t="s">
        <v>97</v>
      </c>
    </row>
    <row r="502" spans="1:6" hidden="1" x14ac:dyDescent="0.25">
      <c r="A502">
        <v>2024</v>
      </c>
      <c r="B502" t="s">
        <v>103</v>
      </c>
      <c r="C502" s="59" t="s">
        <v>30</v>
      </c>
      <c r="D502" s="70" t="s">
        <v>38</v>
      </c>
      <c r="E502" t="s">
        <v>97</v>
      </c>
    </row>
    <row r="503" spans="1:6" hidden="1" x14ac:dyDescent="0.25">
      <c r="A503">
        <v>2024</v>
      </c>
      <c r="B503" t="s">
        <v>103</v>
      </c>
      <c r="C503" s="59" t="s">
        <v>31</v>
      </c>
      <c r="D503" s="70" t="s">
        <v>38</v>
      </c>
      <c r="E503" t="s">
        <v>97</v>
      </c>
    </row>
    <row r="504" spans="1:6" hidden="1" x14ac:dyDescent="0.25">
      <c r="A504">
        <v>2024</v>
      </c>
      <c r="B504" t="s">
        <v>103</v>
      </c>
      <c r="C504" s="59" t="s">
        <v>33</v>
      </c>
      <c r="D504" s="70" t="s">
        <v>38</v>
      </c>
      <c r="E504" t="s">
        <v>97</v>
      </c>
    </row>
    <row r="505" spans="1:6" hidden="1" x14ac:dyDescent="0.25">
      <c r="A505">
        <v>2024</v>
      </c>
      <c r="B505" t="s">
        <v>103</v>
      </c>
      <c r="C505" s="59" t="s">
        <v>29</v>
      </c>
      <c r="D505" s="70" t="s">
        <v>38</v>
      </c>
      <c r="E505" t="s">
        <v>97</v>
      </c>
    </row>
    <row r="506" spans="1:6" hidden="1" x14ac:dyDescent="0.25">
      <c r="A506">
        <v>2024</v>
      </c>
      <c r="B506" s="19" t="s">
        <v>103</v>
      </c>
      <c r="C506" s="59" t="s">
        <v>27</v>
      </c>
      <c r="D506" s="70" t="s">
        <v>38</v>
      </c>
      <c r="E506" s="19" t="s">
        <v>107</v>
      </c>
      <c r="F506" s="19"/>
    </row>
    <row r="507" spans="1:6" hidden="1" x14ac:dyDescent="0.25">
      <c r="A507">
        <v>2024</v>
      </c>
      <c r="B507" s="19" t="s">
        <v>103</v>
      </c>
      <c r="C507" s="59" t="s">
        <v>33</v>
      </c>
      <c r="D507" s="70" t="s">
        <v>38</v>
      </c>
      <c r="E507" s="19" t="s">
        <v>107</v>
      </c>
      <c r="F507" s="19"/>
    </row>
    <row r="508" spans="1:6" hidden="1" x14ac:dyDescent="0.25">
      <c r="A508">
        <v>2024</v>
      </c>
      <c r="B508" s="19" t="s">
        <v>103</v>
      </c>
      <c r="C508" s="59" t="s">
        <v>31</v>
      </c>
      <c r="D508" s="70" t="s">
        <v>38</v>
      </c>
      <c r="E508" s="19" t="s">
        <v>107</v>
      </c>
      <c r="F508" s="19"/>
    </row>
    <row r="509" spans="1:6" hidden="1" x14ac:dyDescent="0.25">
      <c r="A509">
        <v>2024</v>
      </c>
      <c r="B509" s="19" t="s">
        <v>103</v>
      </c>
      <c r="C509" s="59" t="s">
        <v>33</v>
      </c>
      <c r="D509" s="70" t="s">
        <v>38</v>
      </c>
      <c r="E509" s="19" t="s">
        <v>107</v>
      </c>
      <c r="F509" s="19"/>
    </row>
    <row r="510" spans="1:6" hidden="1" x14ac:dyDescent="0.25">
      <c r="A510">
        <v>2024</v>
      </c>
      <c r="B510" s="19" t="s">
        <v>103</v>
      </c>
      <c r="C510" s="59" t="s">
        <v>28</v>
      </c>
      <c r="D510" s="70" t="s">
        <v>38</v>
      </c>
      <c r="E510" s="19" t="s">
        <v>107</v>
      </c>
      <c r="F510" s="19"/>
    </row>
    <row r="511" spans="1:6" hidden="1" x14ac:dyDescent="0.25">
      <c r="A511">
        <v>2024</v>
      </c>
      <c r="B511" s="19" t="s">
        <v>103</v>
      </c>
      <c r="C511" s="59" t="s">
        <v>27</v>
      </c>
      <c r="D511" s="70" t="s">
        <v>38</v>
      </c>
      <c r="E511" s="19" t="s">
        <v>107</v>
      </c>
      <c r="F511" s="19"/>
    </row>
    <row r="512" spans="1:6" hidden="1" x14ac:dyDescent="0.25">
      <c r="A512">
        <v>2024</v>
      </c>
      <c r="B512" s="19" t="s">
        <v>103</v>
      </c>
      <c r="C512" s="59" t="s">
        <v>24</v>
      </c>
      <c r="D512" s="70" t="s">
        <v>38</v>
      </c>
      <c r="E512" s="19" t="s">
        <v>107</v>
      </c>
      <c r="F512" s="19"/>
    </row>
    <row r="513" spans="1:6" hidden="1" x14ac:dyDescent="0.25">
      <c r="A513">
        <v>2024</v>
      </c>
      <c r="B513" s="19" t="s">
        <v>103</v>
      </c>
      <c r="C513" s="59" t="s">
        <v>29</v>
      </c>
      <c r="D513" s="70" t="s">
        <v>38</v>
      </c>
      <c r="E513" s="19" t="s">
        <v>107</v>
      </c>
      <c r="F513" s="19"/>
    </row>
    <row r="514" spans="1:6" hidden="1" x14ac:dyDescent="0.25">
      <c r="A514">
        <v>2024</v>
      </c>
      <c r="B514" s="19" t="s">
        <v>103</v>
      </c>
      <c r="C514" s="59" t="s">
        <v>31</v>
      </c>
      <c r="D514" s="70" t="s">
        <v>38</v>
      </c>
      <c r="E514" s="19" t="s">
        <v>107</v>
      </c>
      <c r="F514" s="19"/>
    </row>
    <row r="515" spans="1:6" hidden="1" x14ac:dyDescent="0.25">
      <c r="A515">
        <v>2024</v>
      </c>
      <c r="B515" s="19" t="s">
        <v>103</v>
      </c>
      <c r="C515" s="59" t="s">
        <v>27</v>
      </c>
      <c r="D515" s="70" t="s">
        <v>38</v>
      </c>
      <c r="E515" s="19" t="s">
        <v>107</v>
      </c>
      <c r="F515" s="19"/>
    </row>
    <row r="516" spans="1:6" hidden="1" x14ac:dyDescent="0.25">
      <c r="A516">
        <v>2024</v>
      </c>
      <c r="B516" s="19" t="s">
        <v>103</v>
      </c>
      <c r="C516" s="59" t="s">
        <v>28</v>
      </c>
      <c r="D516" s="70" t="s">
        <v>38</v>
      </c>
      <c r="E516" s="19" t="s">
        <v>107</v>
      </c>
      <c r="F516" s="19"/>
    </row>
    <row r="517" spans="1:6" hidden="1" x14ac:dyDescent="0.25">
      <c r="A517">
        <v>2024</v>
      </c>
      <c r="B517" s="19" t="s">
        <v>103</v>
      </c>
      <c r="C517" s="59" t="s">
        <v>29</v>
      </c>
      <c r="D517" s="70" t="s">
        <v>38</v>
      </c>
      <c r="E517" s="19" t="s">
        <v>107</v>
      </c>
      <c r="F517" s="19"/>
    </row>
    <row r="518" spans="1:6" hidden="1" x14ac:dyDescent="0.25">
      <c r="A518">
        <v>2024</v>
      </c>
      <c r="B518" s="19" t="s">
        <v>103</v>
      </c>
      <c r="C518" s="59" t="s">
        <v>32</v>
      </c>
      <c r="D518" s="70" t="s">
        <v>38</v>
      </c>
      <c r="E518" s="19" t="s">
        <v>107</v>
      </c>
      <c r="F518" s="19"/>
    </row>
    <row r="519" spans="1:6" hidden="1" x14ac:dyDescent="0.25">
      <c r="A519">
        <v>2024</v>
      </c>
      <c r="B519" s="19" t="s">
        <v>103</v>
      </c>
      <c r="C519" s="59" t="s">
        <v>32</v>
      </c>
      <c r="D519" s="70" t="s">
        <v>38</v>
      </c>
      <c r="E519" s="19" t="s">
        <v>107</v>
      </c>
      <c r="F519" s="19"/>
    </row>
    <row r="520" spans="1:6" hidden="1" x14ac:dyDescent="0.25">
      <c r="A520">
        <v>2024</v>
      </c>
      <c r="B520" s="19" t="s">
        <v>103</v>
      </c>
      <c r="C520" s="59" t="s">
        <v>30</v>
      </c>
      <c r="D520" s="70" t="s">
        <v>38</v>
      </c>
      <c r="E520" s="19" t="s">
        <v>107</v>
      </c>
      <c r="F520" s="19"/>
    </row>
    <row r="521" spans="1:6" hidden="1" x14ac:dyDescent="0.25">
      <c r="A521">
        <v>2024</v>
      </c>
      <c r="B521" s="19" t="s">
        <v>103</v>
      </c>
      <c r="C521" s="59" t="s">
        <v>30</v>
      </c>
      <c r="D521" s="70" t="s">
        <v>38</v>
      </c>
      <c r="E521" s="19" t="s">
        <v>107</v>
      </c>
      <c r="F521" s="19"/>
    </row>
    <row r="522" spans="1:6" hidden="1" x14ac:dyDescent="0.25">
      <c r="A522">
        <v>2024</v>
      </c>
      <c r="B522" s="19" t="s">
        <v>103</v>
      </c>
      <c r="C522" s="59" t="s">
        <v>32</v>
      </c>
      <c r="D522" s="70" t="s">
        <v>38</v>
      </c>
      <c r="E522" s="19" t="s">
        <v>107</v>
      </c>
      <c r="F522" s="19"/>
    </row>
    <row r="523" spans="1:6" hidden="1" x14ac:dyDescent="0.25">
      <c r="A523">
        <v>2024</v>
      </c>
      <c r="B523" s="19" t="s">
        <v>103</v>
      </c>
      <c r="C523" s="59" t="s">
        <v>31</v>
      </c>
      <c r="D523" s="70" t="s">
        <v>38</v>
      </c>
      <c r="E523" s="19" t="s">
        <v>107</v>
      </c>
      <c r="F523" s="19"/>
    </row>
    <row r="524" spans="1:6" hidden="1" x14ac:dyDescent="0.25">
      <c r="A524">
        <v>2024</v>
      </c>
      <c r="B524" s="19" t="s">
        <v>103</v>
      </c>
      <c r="C524" s="59" t="s">
        <v>28</v>
      </c>
      <c r="D524" s="70" t="s">
        <v>38</v>
      </c>
      <c r="E524" s="19" t="s">
        <v>107</v>
      </c>
      <c r="F524" s="19"/>
    </row>
    <row r="525" spans="1:6" hidden="1" x14ac:dyDescent="0.25">
      <c r="A525">
        <v>2024</v>
      </c>
      <c r="B525" s="19" t="s">
        <v>103</v>
      </c>
      <c r="C525" s="59" t="s">
        <v>33</v>
      </c>
      <c r="D525" s="70" t="s">
        <v>38</v>
      </c>
      <c r="E525" s="19" t="s">
        <v>107</v>
      </c>
      <c r="F525" s="19"/>
    </row>
    <row r="526" spans="1:6" hidden="1" x14ac:dyDescent="0.25">
      <c r="A526" s="29">
        <v>2024</v>
      </c>
      <c r="B526" s="30" t="s">
        <v>103</v>
      </c>
      <c r="C526" s="60" t="s">
        <v>24</v>
      </c>
      <c r="D526" s="70" t="s">
        <v>38</v>
      </c>
      <c r="E526" s="30" t="s">
        <v>107</v>
      </c>
      <c r="F526" s="30"/>
    </row>
    <row r="527" spans="1:6" hidden="1" x14ac:dyDescent="0.25">
      <c r="A527" s="29">
        <v>2024</v>
      </c>
      <c r="B527" s="30" t="s">
        <v>103</v>
      </c>
      <c r="C527" s="60" t="s">
        <v>30</v>
      </c>
      <c r="D527" s="71" t="s">
        <v>38</v>
      </c>
      <c r="E527" s="30" t="s">
        <v>107</v>
      </c>
      <c r="F527" s="30"/>
    </row>
    <row r="528" spans="1:6" hidden="1" x14ac:dyDescent="0.25">
      <c r="A528" s="29">
        <v>2024</v>
      </c>
      <c r="B528" s="30" t="s">
        <v>103</v>
      </c>
      <c r="C528" s="60" t="s">
        <v>29</v>
      </c>
      <c r="D528" s="71" t="s">
        <v>38</v>
      </c>
      <c r="E528" s="30" t="s">
        <v>107</v>
      </c>
      <c r="F528" s="30"/>
    </row>
    <row r="529" spans="1:6" hidden="1" x14ac:dyDescent="0.25">
      <c r="A529" s="29">
        <v>2024</v>
      </c>
      <c r="B529" s="30" t="s">
        <v>103</v>
      </c>
      <c r="C529" s="60" t="s">
        <v>24</v>
      </c>
      <c r="D529" s="71" t="s">
        <v>38</v>
      </c>
      <c r="E529" s="30" t="s">
        <v>107</v>
      </c>
      <c r="F529" s="30"/>
    </row>
    <row r="530" spans="1:6" hidden="1" x14ac:dyDescent="0.25">
      <c r="A530">
        <v>2025</v>
      </c>
      <c r="B530">
        <v>5</v>
      </c>
      <c r="C530" t="s">
        <v>24</v>
      </c>
      <c r="D530" t="s">
        <v>38</v>
      </c>
      <c r="E530" t="s">
        <v>26</v>
      </c>
    </row>
    <row r="531" spans="1:6" hidden="1" x14ac:dyDescent="0.25">
      <c r="A531">
        <v>2025</v>
      </c>
      <c r="B531">
        <v>5</v>
      </c>
      <c r="C531" t="s">
        <v>29</v>
      </c>
      <c r="D531" t="s">
        <v>38</v>
      </c>
      <c r="E531" t="s">
        <v>26</v>
      </c>
    </row>
    <row r="532" spans="1:6" hidden="1" x14ac:dyDescent="0.25">
      <c r="A532">
        <v>2025</v>
      </c>
      <c r="B532">
        <v>5</v>
      </c>
      <c r="C532" t="s">
        <v>28</v>
      </c>
      <c r="D532" t="s">
        <v>38</v>
      </c>
      <c r="E532" t="s">
        <v>26</v>
      </c>
    </row>
    <row r="533" spans="1:6" hidden="1" x14ac:dyDescent="0.25">
      <c r="A533">
        <v>2025</v>
      </c>
      <c r="B533">
        <v>5</v>
      </c>
      <c r="C533" t="s">
        <v>32</v>
      </c>
      <c r="D533" t="s">
        <v>38</v>
      </c>
      <c r="E533" t="s">
        <v>26</v>
      </c>
    </row>
    <row r="534" spans="1:6" hidden="1" x14ac:dyDescent="0.25">
      <c r="A534">
        <v>2025</v>
      </c>
      <c r="B534">
        <v>5</v>
      </c>
      <c r="C534" t="s">
        <v>29</v>
      </c>
      <c r="D534" t="s">
        <v>38</v>
      </c>
      <c r="E534" t="s">
        <v>26</v>
      </c>
    </row>
    <row r="535" spans="1:6" hidden="1" x14ac:dyDescent="0.25">
      <c r="A535">
        <v>2025</v>
      </c>
      <c r="B535">
        <v>5</v>
      </c>
      <c r="C535" t="s">
        <v>24</v>
      </c>
      <c r="D535" t="s">
        <v>38</v>
      </c>
      <c r="E535" t="s">
        <v>26</v>
      </c>
    </row>
    <row r="536" spans="1:6" hidden="1" x14ac:dyDescent="0.25">
      <c r="A536">
        <v>2025</v>
      </c>
      <c r="B536">
        <v>5</v>
      </c>
      <c r="C536" t="s">
        <v>28</v>
      </c>
      <c r="D536" t="s">
        <v>38</v>
      </c>
      <c r="E536" t="s">
        <v>26</v>
      </c>
    </row>
    <row r="537" spans="1:6" hidden="1" x14ac:dyDescent="0.25">
      <c r="A537">
        <v>2025</v>
      </c>
      <c r="B537">
        <v>5</v>
      </c>
      <c r="C537" t="s">
        <v>32</v>
      </c>
      <c r="D537" t="s">
        <v>38</v>
      </c>
      <c r="E537" t="s">
        <v>26</v>
      </c>
    </row>
    <row r="538" spans="1:6" hidden="1" x14ac:dyDescent="0.25">
      <c r="A538">
        <v>2025</v>
      </c>
      <c r="B538">
        <v>5</v>
      </c>
      <c r="C538" t="s">
        <v>24</v>
      </c>
      <c r="D538" t="s">
        <v>38</v>
      </c>
      <c r="E538" t="s">
        <v>26</v>
      </c>
    </row>
    <row r="539" spans="1:6" hidden="1" x14ac:dyDescent="0.25">
      <c r="A539">
        <v>2025</v>
      </c>
      <c r="B539">
        <v>5</v>
      </c>
      <c r="C539" t="s">
        <v>29</v>
      </c>
      <c r="D539" t="s">
        <v>38</v>
      </c>
      <c r="E539" t="s">
        <v>26</v>
      </c>
    </row>
    <row r="540" spans="1:6" hidden="1" x14ac:dyDescent="0.25">
      <c r="A540">
        <v>2025</v>
      </c>
      <c r="B540">
        <v>5</v>
      </c>
      <c r="C540" t="s">
        <v>32</v>
      </c>
      <c r="D540" t="s">
        <v>38</v>
      </c>
      <c r="E540" t="s">
        <v>26</v>
      </c>
    </row>
    <row r="541" spans="1:6" hidden="1" x14ac:dyDescent="0.25">
      <c r="A541">
        <v>2025</v>
      </c>
      <c r="B541">
        <v>5</v>
      </c>
      <c r="C541" t="s">
        <v>28</v>
      </c>
      <c r="D541" t="s">
        <v>38</v>
      </c>
      <c r="E541" t="s">
        <v>26</v>
      </c>
    </row>
    <row r="542" spans="1:6" hidden="1" x14ac:dyDescent="0.25">
      <c r="A542">
        <v>2025</v>
      </c>
      <c r="B542">
        <v>5</v>
      </c>
      <c r="C542" t="s">
        <v>24</v>
      </c>
      <c r="D542" t="s">
        <v>25</v>
      </c>
      <c r="E542" t="s">
        <v>26</v>
      </c>
    </row>
    <row r="543" spans="1:6" hidden="1" x14ac:dyDescent="0.25">
      <c r="A543">
        <v>2025</v>
      </c>
      <c r="B543">
        <v>5</v>
      </c>
      <c r="C543" t="s">
        <v>29</v>
      </c>
      <c r="D543" t="s">
        <v>25</v>
      </c>
      <c r="E543" t="s">
        <v>26</v>
      </c>
    </row>
    <row r="544" spans="1:6" hidden="1" x14ac:dyDescent="0.25">
      <c r="A544">
        <v>2025</v>
      </c>
      <c r="B544">
        <v>5</v>
      </c>
      <c r="C544" t="s">
        <v>28</v>
      </c>
      <c r="D544" t="s">
        <v>25</v>
      </c>
      <c r="E544" t="s">
        <v>26</v>
      </c>
    </row>
    <row r="545" spans="1:5" hidden="1" x14ac:dyDescent="0.25">
      <c r="A545">
        <v>2025</v>
      </c>
      <c r="B545">
        <v>5</v>
      </c>
      <c r="C545" t="s">
        <v>32</v>
      </c>
      <c r="D545" t="s">
        <v>25</v>
      </c>
      <c r="E545" t="s">
        <v>26</v>
      </c>
    </row>
    <row r="546" spans="1:5" hidden="1" x14ac:dyDescent="0.25">
      <c r="A546">
        <v>2025</v>
      </c>
      <c r="B546">
        <v>5</v>
      </c>
      <c r="C546" t="s">
        <v>29</v>
      </c>
      <c r="D546" t="s">
        <v>25</v>
      </c>
      <c r="E546" t="s">
        <v>26</v>
      </c>
    </row>
    <row r="547" spans="1:5" hidden="1" x14ac:dyDescent="0.25">
      <c r="A547">
        <v>2025</v>
      </c>
      <c r="B547">
        <v>5</v>
      </c>
      <c r="C547" t="s">
        <v>24</v>
      </c>
      <c r="D547" t="s">
        <v>25</v>
      </c>
      <c r="E547" t="s">
        <v>26</v>
      </c>
    </row>
    <row r="548" spans="1:5" hidden="1" x14ac:dyDescent="0.25">
      <c r="A548">
        <v>2025</v>
      </c>
      <c r="B548">
        <v>5</v>
      </c>
      <c r="C548" t="s">
        <v>28</v>
      </c>
      <c r="D548" t="s">
        <v>25</v>
      </c>
      <c r="E548" t="s">
        <v>26</v>
      </c>
    </row>
    <row r="549" spans="1:5" hidden="1" x14ac:dyDescent="0.25">
      <c r="A549">
        <v>2025</v>
      </c>
      <c r="B549">
        <v>5</v>
      </c>
      <c r="C549" t="s">
        <v>32</v>
      </c>
      <c r="D549" t="s">
        <v>25</v>
      </c>
      <c r="E549" t="s">
        <v>26</v>
      </c>
    </row>
    <row r="550" spans="1:5" hidden="1" x14ac:dyDescent="0.25">
      <c r="A550">
        <v>2025</v>
      </c>
      <c r="B550">
        <v>5</v>
      </c>
      <c r="C550" t="s">
        <v>24</v>
      </c>
      <c r="D550" t="s">
        <v>25</v>
      </c>
      <c r="E550" t="s">
        <v>26</v>
      </c>
    </row>
    <row r="551" spans="1:5" hidden="1" x14ac:dyDescent="0.25">
      <c r="A551">
        <v>2025</v>
      </c>
      <c r="B551">
        <v>5</v>
      </c>
      <c r="C551" t="s">
        <v>29</v>
      </c>
      <c r="D551" t="s">
        <v>25</v>
      </c>
      <c r="E551" t="s">
        <v>26</v>
      </c>
    </row>
    <row r="552" spans="1:5" hidden="1" x14ac:dyDescent="0.25">
      <c r="A552">
        <v>2025</v>
      </c>
      <c r="B552">
        <v>5</v>
      </c>
      <c r="C552" t="s">
        <v>32</v>
      </c>
      <c r="D552" t="s">
        <v>25</v>
      </c>
      <c r="E552" t="s">
        <v>26</v>
      </c>
    </row>
    <row r="553" spans="1:5" hidden="1" x14ac:dyDescent="0.25">
      <c r="A553">
        <v>2025</v>
      </c>
      <c r="B553">
        <v>5</v>
      </c>
      <c r="C553" t="s">
        <v>28</v>
      </c>
      <c r="D553" t="s">
        <v>25</v>
      </c>
      <c r="E553" t="s">
        <v>26</v>
      </c>
    </row>
    <row r="554" spans="1:5" hidden="1" x14ac:dyDescent="0.25">
      <c r="A554">
        <v>2025</v>
      </c>
      <c r="B554">
        <v>6</v>
      </c>
      <c r="C554" t="s">
        <v>24</v>
      </c>
      <c r="D554" t="s">
        <v>38</v>
      </c>
      <c r="E554" t="s">
        <v>26</v>
      </c>
    </row>
    <row r="555" spans="1:5" hidden="1" x14ac:dyDescent="0.25">
      <c r="A555">
        <v>2025</v>
      </c>
      <c r="B555">
        <v>6</v>
      </c>
      <c r="C555" t="s">
        <v>29</v>
      </c>
      <c r="D555" t="s">
        <v>38</v>
      </c>
      <c r="E555" t="s">
        <v>26</v>
      </c>
    </row>
    <row r="556" spans="1:5" hidden="1" x14ac:dyDescent="0.25">
      <c r="A556">
        <v>2025</v>
      </c>
      <c r="B556">
        <v>6</v>
      </c>
      <c r="C556" t="s">
        <v>28</v>
      </c>
      <c r="D556" t="s">
        <v>38</v>
      </c>
      <c r="E556" t="s">
        <v>26</v>
      </c>
    </row>
    <row r="557" spans="1:5" hidden="1" x14ac:dyDescent="0.25">
      <c r="A557">
        <v>2025</v>
      </c>
      <c r="B557">
        <v>6</v>
      </c>
      <c r="C557" t="s">
        <v>32</v>
      </c>
      <c r="D557" t="s">
        <v>38</v>
      </c>
      <c r="E557" t="s">
        <v>26</v>
      </c>
    </row>
    <row r="558" spans="1:5" hidden="1" x14ac:dyDescent="0.25">
      <c r="A558">
        <v>2025</v>
      </c>
      <c r="B558">
        <v>6</v>
      </c>
      <c r="C558" t="s">
        <v>29</v>
      </c>
      <c r="D558" t="s">
        <v>38</v>
      </c>
      <c r="E558" t="s">
        <v>26</v>
      </c>
    </row>
    <row r="559" spans="1:5" hidden="1" x14ac:dyDescent="0.25">
      <c r="A559">
        <v>2025</v>
      </c>
      <c r="B559">
        <v>6</v>
      </c>
      <c r="C559" t="s">
        <v>24</v>
      </c>
      <c r="D559" t="s">
        <v>38</v>
      </c>
      <c r="E559" t="s">
        <v>26</v>
      </c>
    </row>
    <row r="560" spans="1:5" hidden="1" x14ac:dyDescent="0.25">
      <c r="A560">
        <v>2025</v>
      </c>
      <c r="B560">
        <v>6</v>
      </c>
      <c r="C560" t="s">
        <v>28</v>
      </c>
      <c r="D560" t="s">
        <v>38</v>
      </c>
      <c r="E560" t="s">
        <v>26</v>
      </c>
    </row>
    <row r="561" spans="1:5" hidden="1" x14ac:dyDescent="0.25">
      <c r="A561">
        <v>2025</v>
      </c>
      <c r="B561">
        <v>6</v>
      </c>
      <c r="C561" t="s">
        <v>32</v>
      </c>
      <c r="D561" t="s">
        <v>38</v>
      </c>
      <c r="E561" t="s">
        <v>26</v>
      </c>
    </row>
    <row r="562" spans="1:5" hidden="1" x14ac:dyDescent="0.25">
      <c r="A562">
        <v>2025</v>
      </c>
      <c r="B562">
        <v>6</v>
      </c>
      <c r="C562" t="s">
        <v>24</v>
      </c>
      <c r="D562" t="s">
        <v>38</v>
      </c>
      <c r="E562" t="s">
        <v>26</v>
      </c>
    </row>
    <row r="563" spans="1:5" hidden="1" x14ac:dyDescent="0.25">
      <c r="A563">
        <v>2025</v>
      </c>
      <c r="B563">
        <v>6</v>
      </c>
      <c r="C563" t="s">
        <v>29</v>
      </c>
      <c r="D563" t="s">
        <v>38</v>
      </c>
      <c r="E563" t="s">
        <v>26</v>
      </c>
    </row>
    <row r="564" spans="1:5" hidden="1" x14ac:dyDescent="0.25">
      <c r="A564">
        <v>2025</v>
      </c>
      <c r="B564">
        <v>6</v>
      </c>
      <c r="C564" t="s">
        <v>32</v>
      </c>
      <c r="D564" t="s">
        <v>38</v>
      </c>
      <c r="E564" t="s">
        <v>26</v>
      </c>
    </row>
    <row r="565" spans="1:5" hidden="1" x14ac:dyDescent="0.25">
      <c r="A565">
        <v>2025</v>
      </c>
      <c r="B565">
        <v>6</v>
      </c>
      <c r="C565" t="s">
        <v>28</v>
      </c>
      <c r="D565" t="s">
        <v>38</v>
      </c>
      <c r="E565" t="s">
        <v>26</v>
      </c>
    </row>
    <row r="566" spans="1:5" hidden="1" x14ac:dyDescent="0.25">
      <c r="A566">
        <v>2025</v>
      </c>
      <c r="B566">
        <v>6</v>
      </c>
      <c r="C566" t="s">
        <v>24</v>
      </c>
      <c r="D566" t="s">
        <v>25</v>
      </c>
      <c r="E566" t="s">
        <v>26</v>
      </c>
    </row>
    <row r="567" spans="1:5" hidden="1" x14ac:dyDescent="0.25">
      <c r="A567">
        <v>2025</v>
      </c>
      <c r="B567">
        <v>6</v>
      </c>
      <c r="C567" t="s">
        <v>29</v>
      </c>
      <c r="D567" t="s">
        <v>25</v>
      </c>
      <c r="E567" t="s">
        <v>26</v>
      </c>
    </row>
    <row r="568" spans="1:5" hidden="1" x14ac:dyDescent="0.25">
      <c r="A568">
        <v>2025</v>
      </c>
      <c r="B568">
        <v>6</v>
      </c>
      <c r="C568" t="s">
        <v>28</v>
      </c>
      <c r="D568" t="s">
        <v>25</v>
      </c>
      <c r="E568" t="s">
        <v>26</v>
      </c>
    </row>
    <row r="569" spans="1:5" hidden="1" x14ac:dyDescent="0.25">
      <c r="A569">
        <v>2025</v>
      </c>
      <c r="B569">
        <v>6</v>
      </c>
      <c r="C569" t="s">
        <v>32</v>
      </c>
      <c r="D569" t="s">
        <v>25</v>
      </c>
      <c r="E569" t="s">
        <v>26</v>
      </c>
    </row>
    <row r="570" spans="1:5" hidden="1" x14ac:dyDescent="0.25">
      <c r="A570">
        <v>2025</v>
      </c>
      <c r="B570">
        <v>6</v>
      </c>
      <c r="C570" t="s">
        <v>29</v>
      </c>
      <c r="D570" t="s">
        <v>25</v>
      </c>
      <c r="E570" t="s">
        <v>26</v>
      </c>
    </row>
    <row r="571" spans="1:5" hidden="1" x14ac:dyDescent="0.25">
      <c r="A571">
        <v>2025</v>
      </c>
      <c r="B571">
        <v>6</v>
      </c>
      <c r="C571" t="s">
        <v>24</v>
      </c>
      <c r="D571" t="s">
        <v>25</v>
      </c>
      <c r="E571" t="s">
        <v>26</v>
      </c>
    </row>
    <row r="572" spans="1:5" hidden="1" x14ac:dyDescent="0.25">
      <c r="A572">
        <v>2025</v>
      </c>
      <c r="B572">
        <v>6</v>
      </c>
      <c r="C572" t="s">
        <v>28</v>
      </c>
      <c r="D572" t="s">
        <v>25</v>
      </c>
      <c r="E572" t="s">
        <v>26</v>
      </c>
    </row>
    <row r="573" spans="1:5" hidden="1" x14ac:dyDescent="0.25">
      <c r="A573">
        <v>2025</v>
      </c>
      <c r="B573">
        <v>6</v>
      </c>
      <c r="C573" t="s">
        <v>32</v>
      </c>
      <c r="D573" t="s">
        <v>25</v>
      </c>
      <c r="E573" t="s">
        <v>26</v>
      </c>
    </row>
    <row r="574" spans="1:5" hidden="1" x14ac:dyDescent="0.25">
      <c r="A574">
        <v>2025</v>
      </c>
      <c r="B574">
        <v>6</v>
      </c>
      <c r="C574" t="s">
        <v>24</v>
      </c>
      <c r="D574" t="s">
        <v>25</v>
      </c>
      <c r="E574" t="s">
        <v>26</v>
      </c>
    </row>
    <row r="575" spans="1:5" hidden="1" x14ac:dyDescent="0.25">
      <c r="A575">
        <v>2025</v>
      </c>
      <c r="B575">
        <v>6</v>
      </c>
      <c r="C575" t="s">
        <v>29</v>
      </c>
      <c r="D575" t="s">
        <v>25</v>
      </c>
      <c r="E575" t="s">
        <v>26</v>
      </c>
    </row>
    <row r="576" spans="1:5" hidden="1" x14ac:dyDescent="0.25">
      <c r="A576">
        <v>2025</v>
      </c>
      <c r="B576">
        <v>6</v>
      </c>
      <c r="C576" t="s">
        <v>32</v>
      </c>
      <c r="D576" t="s">
        <v>25</v>
      </c>
      <c r="E576" t="s">
        <v>26</v>
      </c>
    </row>
    <row r="577" spans="1:6" hidden="1" x14ac:dyDescent="0.25">
      <c r="A577">
        <v>2025</v>
      </c>
      <c r="B577">
        <v>6</v>
      </c>
      <c r="C577" t="s">
        <v>28</v>
      </c>
      <c r="D577" t="s">
        <v>25</v>
      </c>
      <c r="E577" t="s">
        <v>26</v>
      </c>
    </row>
    <row r="578" spans="1:6" hidden="1" x14ac:dyDescent="0.25">
      <c r="A578" s="15">
        <v>2025</v>
      </c>
      <c r="B578" s="15">
        <v>7</v>
      </c>
      <c r="C578" s="15" t="s">
        <v>24</v>
      </c>
      <c r="D578" t="s">
        <v>38</v>
      </c>
      <c r="E578" s="15" t="s">
        <v>26</v>
      </c>
      <c r="F578" s="15"/>
    </row>
    <row r="579" spans="1:6" hidden="1" x14ac:dyDescent="0.25">
      <c r="A579">
        <v>2025</v>
      </c>
      <c r="B579">
        <v>7</v>
      </c>
      <c r="C579" t="s">
        <v>29</v>
      </c>
      <c r="D579" t="s">
        <v>38</v>
      </c>
      <c r="E579" t="s">
        <v>26</v>
      </c>
    </row>
    <row r="580" spans="1:6" hidden="1" x14ac:dyDescent="0.25">
      <c r="A580">
        <v>2025</v>
      </c>
      <c r="B580">
        <v>7</v>
      </c>
      <c r="C580" t="s">
        <v>28</v>
      </c>
      <c r="D580" t="s">
        <v>38</v>
      </c>
      <c r="E580" t="s">
        <v>26</v>
      </c>
    </row>
    <row r="581" spans="1:6" hidden="1" x14ac:dyDescent="0.25">
      <c r="A581">
        <v>2025</v>
      </c>
      <c r="B581">
        <v>7</v>
      </c>
      <c r="C581" t="s">
        <v>32</v>
      </c>
      <c r="D581" t="s">
        <v>38</v>
      </c>
      <c r="E581" t="s">
        <v>26</v>
      </c>
    </row>
    <row r="582" spans="1:6" hidden="1" x14ac:dyDescent="0.25">
      <c r="A582">
        <v>2025</v>
      </c>
      <c r="B582">
        <v>7</v>
      </c>
      <c r="C582" t="s">
        <v>29</v>
      </c>
      <c r="D582" t="s">
        <v>38</v>
      </c>
      <c r="E582" t="s">
        <v>26</v>
      </c>
    </row>
    <row r="583" spans="1:6" hidden="1" x14ac:dyDescent="0.25">
      <c r="A583">
        <v>2025</v>
      </c>
      <c r="B583">
        <v>7</v>
      </c>
      <c r="C583" t="s">
        <v>24</v>
      </c>
      <c r="D583" t="s">
        <v>38</v>
      </c>
      <c r="E583" t="s">
        <v>26</v>
      </c>
    </row>
    <row r="584" spans="1:6" hidden="1" x14ac:dyDescent="0.25">
      <c r="A584">
        <v>2025</v>
      </c>
      <c r="B584">
        <v>7</v>
      </c>
      <c r="C584" t="s">
        <v>28</v>
      </c>
      <c r="D584" t="s">
        <v>38</v>
      </c>
      <c r="E584" t="s">
        <v>26</v>
      </c>
    </row>
    <row r="585" spans="1:6" hidden="1" x14ac:dyDescent="0.25">
      <c r="A585">
        <v>2025</v>
      </c>
      <c r="B585">
        <v>7</v>
      </c>
      <c r="C585" t="s">
        <v>32</v>
      </c>
      <c r="D585" t="s">
        <v>38</v>
      </c>
      <c r="E585" t="s">
        <v>26</v>
      </c>
    </row>
    <row r="586" spans="1:6" hidden="1" x14ac:dyDescent="0.25">
      <c r="A586">
        <v>2025</v>
      </c>
      <c r="B586">
        <v>7</v>
      </c>
      <c r="C586" t="s">
        <v>24</v>
      </c>
      <c r="D586" t="s">
        <v>38</v>
      </c>
      <c r="E586" t="s">
        <v>26</v>
      </c>
    </row>
    <row r="587" spans="1:6" hidden="1" x14ac:dyDescent="0.25">
      <c r="A587">
        <v>2025</v>
      </c>
      <c r="B587">
        <v>7</v>
      </c>
      <c r="C587" t="s">
        <v>29</v>
      </c>
      <c r="D587" t="s">
        <v>38</v>
      </c>
      <c r="E587" t="s">
        <v>26</v>
      </c>
    </row>
    <row r="588" spans="1:6" hidden="1" x14ac:dyDescent="0.25">
      <c r="A588">
        <v>2025</v>
      </c>
      <c r="B588">
        <v>7</v>
      </c>
      <c r="C588" t="s">
        <v>32</v>
      </c>
      <c r="D588" t="s">
        <v>38</v>
      </c>
      <c r="E588" t="s">
        <v>26</v>
      </c>
    </row>
    <row r="589" spans="1:6" hidden="1" x14ac:dyDescent="0.25">
      <c r="A589">
        <v>2025</v>
      </c>
      <c r="B589">
        <v>7</v>
      </c>
      <c r="C589" t="s">
        <v>28</v>
      </c>
      <c r="D589" t="s">
        <v>38</v>
      </c>
      <c r="E589" t="s">
        <v>26</v>
      </c>
    </row>
    <row r="590" spans="1:6" hidden="1" x14ac:dyDescent="0.25">
      <c r="A590">
        <v>2025</v>
      </c>
      <c r="B590">
        <v>7</v>
      </c>
      <c r="C590" t="s">
        <v>24</v>
      </c>
      <c r="D590" t="s">
        <v>25</v>
      </c>
      <c r="E590" t="s">
        <v>26</v>
      </c>
    </row>
    <row r="591" spans="1:6" s="29" customFormat="1" hidden="1" x14ac:dyDescent="0.25">
      <c r="A591">
        <v>2025</v>
      </c>
      <c r="B591">
        <v>7</v>
      </c>
      <c r="C591" t="s">
        <v>29</v>
      </c>
      <c r="D591" t="s">
        <v>25</v>
      </c>
      <c r="E591" t="s">
        <v>26</v>
      </c>
      <c r="F591"/>
    </row>
    <row r="592" spans="1:6" s="29" customFormat="1" hidden="1" x14ac:dyDescent="0.25">
      <c r="A592">
        <v>2025</v>
      </c>
      <c r="B592">
        <v>7</v>
      </c>
      <c r="C592" t="s">
        <v>28</v>
      </c>
      <c r="D592" t="s">
        <v>25</v>
      </c>
      <c r="E592" t="s">
        <v>26</v>
      </c>
      <c r="F592"/>
    </row>
    <row r="593" spans="1:6" s="29" customFormat="1" hidden="1" x14ac:dyDescent="0.25">
      <c r="A593">
        <v>2025</v>
      </c>
      <c r="B593">
        <v>7</v>
      </c>
      <c r="C593" t="s">
        <v>32</v>
      </c>
      <c r="D593" t="s">
        <v>25</v>
      </c>
      <c r="E593" t="s">
        <v>26</v>
      </c>
      <c r="F593"/>
    </row>
    <row r="594" spans="1:6" hidden="1" x14ac:dyDescent="0.25">
      <c r="A594">
        <v>2025</v>
      </c>
      <c r="B594">
        <v>7</v>
      </c>
      <c r="C594" t="s">
        <v>29</v>
      </c>
      <c r="D594" t="s">
        <v>25</v>
      </c>
      <c r="E594" t="s">
        <v>26</v>
      </c>
    </row>
    <row r="595" spans="1:6" hidden="1" x14ac:dyDescent="0.25">
      <c r="A595">
        <v>2025</v>
      </c>
      <c r="B595">
        <v>7</v>
      </c>
      <c r="C595" t="s">
        <v>24</v>
      </c>
      <c r="D595" t="s">
        <v>25</v>
      </c>
      <c r="E595" t="s">
        <v>26</v>
      </c>
    </row>
    <row r="596" spans="1:6" hidden="1" x14ac:dyDescent="0.25">
      <c r="A596">
        <v>2025</v>
      </c>
      <c r="B596">
        <v>7</v>
      </c>
      <c r="C596" t="s">
        <v>28</v>
      </c>
      <c r="D596" t="s">
        <v>25</v>
      </c>
      <c r="E596" t="s">
        <v>26</v>
      </c>
    </row>
    <row r="597" spans="1:6" hidden="1" x14ac:dyDescent="0.25">
      <c r="A597">
        <v>2025</v>
      </c>
      <c r="B597">
        <v>7</v>
      </c>
      <c r="C597" t="s">
        <v>32</v>
      </c>
      <c r="D597" t="s">
        <v>25</v>
      </c>
      <c r="E597" t="s">
        <v>26</v>
      </c>
    </row>
    <row r="598" spans="1:6" hidden="1" x14ac:dyDescent="0.25">
      <c r="A598">
        <v>2025</v>
      </c>
      <c r="B598">
        <v>7</v>
      </c>
      <c r="C598" t="s">
        <v>24</v>
      </c>
      <c r="D598" t="s">
        <v>25</v>
      </c>
      <c r="E598" t="s">
        <v>26</v>
      </c>
    </row>
    <row r="599" spans="1:6" hidden="1" x14ac:dyDescent="0.25">
      <c r="A599">
        <v>2025</v>
      </c>
      <c r="B599">
        <v>7</v>
      </c>
      <c r="C599" t="s">
        <v>29</v>
      </c>
      <c r="D599" t="s">
        <v>25</v>
      </c>
      <c r="E599" t="s">
        <v>26</v>
      </c>
    </row>
    <row r="600" spans="1:6" hidden="1" x14ac:dyDescent="0.25">
      <c r="A600">
        <v>2025</v>
      </c>
      <c r="B600">
        <v>7</v>
      </c>
      <c r="C600" t="s">
        <v>32</v>
      </c>
      <c r="D600" t="s">
        <v>25</v>
      </c>
      <c r="E600" t="s">
        <v>26</v>
      </c>
    </row>
    <row r="601" spans="1:6" hidden="1" x14ac:dyDescent="0.25">
      <c r="A601">
        <v>2025</v>
      </c>
      <c r="B601">
        <v>7</v>
      </c>
      <c r="C601" t="s">
        <v>28</v>
      </c>
      <c r="D601" t="s">
        <v>25</v>
      </c>
      <c r="E601" t="s">
        <v>26</v>
      </c>
    </row>
    <row r="602" spans="1:6" x14ac:dyDescent="0.25">
      <c r="A602">
        <v>2024</v>
      </c>
      <c r="B602" t="s">
        <v>103</v>
      </c>
      <c r="C602" t="s">
        <v>30</v>
      </c>
      <c r="D602" s="70" t="s">
        <v>38</v>
      </c>
      <c r="E602" t="s">
        <v>26</v>
      </c>
      <c r="F602">
        <v>3208.4245076586431</v>
      </c>
    </row>
    <row r="603" spans="1:6" x14ac:dyDescent="0.25">
      <c r="A603">
        <v>2024</v>
      </c>
      <c r="B603" t="s">
        <v>103</v>
      </c>
      <c r="C603" t="s">
        <v>30</v>
      </c>
      <c r="D603" s="70" t="s">
        <v>38</v>
      </c>
      <c r="E603" t="s">
        <v>26</v>
      </c>
      <c r="F603">
        <v>4084.7921225382929</v>
      </c>
    </row>
    <row r="604" spans="1:6" x14ac:dyDescent="0.25">
      <c r="A604">
        <v>2025</v>
      </c>
      <c r="B604" t="s">
        <v>103</v>
      </c>
      <c r="C604" t="s">
        <v>30</v>
      </c>
      <c r="D604" s="70" t="s">
        <v>38</v>
      </c>
      <c r="E604" t="s">
        <v>26</v>
      </c>
      <c r="F604">
        <v>4396.0612691466085</v>
      </c>
    </row>
    <row r="605" spans="1:6" x14ac:dyDescent="0.25">
      <c r="A605">
        <v>2025</v>
      </c>
      <c r="B605" t="s">
        <v>103</v>
      </c>
      <c r="C605" t="s">
        <v>30</v>
      </c>
      <c r="D605" s="70" t="s">
        <v>38</v>
      </c>
      <c r="E605" t="s">
        <v>26</v>
      </c>
      <c r="F605">
        <v>3795.404814004376</v>
      </c>
    </row>
    <row r="606" spans="1:6" x14ac:dyDescent="0.25">
      <c r="A606">
        <v>2025</v>
      </c>
      <c r="B606" t="s">
        <v>103</v>
      </c>
      <c r="C606" t="s">
        <v>30</v>
      </c>
      <c r="D606" s="70" t="s">
        <v>38</v>
      </c>
      <c r="E606" t="s">
        <v>26</v>
      </c>
      <c r="F606">
        <v>2227.5711159737416</v>
      </c>
    </row>
    <row r="607" spans="1:6" x14ac:dyDescent="0.25">
      <c r="A607">
        <v>2025</v>
      </c>
      <c r="B607" t="s">
        <v>103</v>
      </c>
      <c r="C607" t="s">
        <v>30</v>
      </c>
      <c r="D607" s="70" t="s">
        <v>38</v>
      </c>
      <c r="E607" t="s">
        <v>26</v>
      </c>
      <c r="F607">
        <v>3780.087527352297</v>
      </c>
    </row>
    <row r="608" spans="1:6" x14ac:dyDescent="0.25">
      <c r="A608">
        <v>2025</v>
      </c>
      <c r="B608" t="s">
        <v>103</v>
      </c>
      <c r="C608" t="s">
        <v>30</v>
      </c>
      <c r="D608" s="70" t="s">
        <v>25</v>
      </c>
      <c r="E608" t="s">
        <v>26</v>
      </c>
      <c r="F608">
        <v>1944.2013129102843</v>
      </c>
    </row>
    <row r="609" spans="1:6" x14ac:dyDescent="0.25">
      <c r="A609">
        <v>2025</v>
      </c>
      <c r="B609" t="s">
        <v>103</v>
      </c>
      <c r="C609" t="s">
        <v>30</v>
      </c>
      <c r="D609" s="70" t="s">
        <v>25</v>
      </c>
      <c r="E609" t="s">
        <v>26</v>
      </c>
      <c r="F609">
        <v>2253.8293216630195</v>
      </c>
    </row>
    <row r="610" spans="1:6" x14ac:dyDescent="0.25">
      <c r="A610">
        <v>2025</v>
      </c>
      <c r="B610" t="s">
        <v>103</v>
      </c>
      <c r="C610" t="s">
        <v>30</v>
      </c>
      <c r="D610" s="70" t="s">
        <v>25</v>
      </c>
      <c r="E610" t="s">
        <v>26</v>
      </c>
    </row>
    <row r="611" spans="1:6" x14ac:dyDescent="0.25">
      <c r="A611">
        <v>2025</v>
      </c>
      <c r="B611" t="s">
        <v>103</v>
      </c>
      <c r="C611" t="s">
        <v>30</v>
      </c>
      <c r="D611" s="70" t="s">
        <v>25</v>
      </c>
      <c r="E611" t="s">
        <v>26</v>
      </c>
      <c r="F611">
        <v>2461.7067833698029</v>
      </c>
    </row>
    <row r="612" spans="1:6" x14ac:dyDescent="0.25">
      <c r="A612">
        <v>2024</v>
      </c>
      <c r="B612" t="s">
        <v>103</v>
      </c>
      <c r="C612" t="s">
        <v>31</v>
      </c>
      <c r="D612" s="70" t="s">
        <v>25</v>
      </c>
      <c r="E612" t="s">
        <v>26</v>
      </c>
      <c r="F612">
        <v>2586.980306345733</v>
      </c>
    </row>
    <row r="613" spans="1:6" x14ac:dyDescent="0.25">
      <c r="A613">
        <v>2024</v>
      </c>
      <c r="B613" t="s">
        <v>103</v>
      </c>
      <c r="C613" t="s">
        <v>31</v>
      </c>
      <c r="D613" s="70" t="s">
        <v>25</v>
      </c>
      <c r="E613" t="s">
        <v>26</v>
      </c>
      <c r="F613">
        <v>1802.5164113785556</v>
      </c>
    </row>
    <row r="614" spans="1:6" x14ac:dyDescent="0.25">
      <c r="A614">
        <v>2024</v>
      </c>
      <c r="B614" t="s">
        <v>103</v>
      </c>
      <c r="C614" t="s">
        <v>31</v>
      </c>
      <c r="D614" s="70" t="s">
        <v>25</v>
      </c>
      <c r="E614" t="s">
        <v>26</v>
      </c>
      <c r="F614">
        <v>1916.8490153172868</v>
      </c>
    </row>
    <row r="615" spans="1:6" x14ac:dyDescent="0.25">
      <c r="A615">
        <v>2024</v>
      </c>
      <c r="B615" t="s">
        <v>103</v>
      </c>
      <c r="C615" t="s">
        <v>31</v>
      </c>
      <c r="D615" s="70" t="s">
        <v>38</v>
      </c>
      <c r="E615" t="s">
        <v>26</v>
      </c>
      <c r="F615">
        <v>4312.3632385120345</v>
      </c>
    </row>
    <row r="616" spans="1:6" x14ac:dyDescent="0.25">
      <c r="A616">
        <v>2024</v>
      </c>
      <c r="B616" t="s">
        <v>103</v>
      </c>
      <c r="C616" t="s">
        <v>31</v>
      </c>
      <c r="D616" s="70" t="s">
        <v>38</v>
      </c>
      <c r="E616" t="s">
        <v>26</v>
      </c>
      <c r="F616">
        <v>3689.2778993435445</v>
      </c>
    </row>
    <row r="617" spans="1:6" x14ac:dyDescent="0.25">
      <c r="A617">
        <v>2024</v>
      </c>
      <c r="B617" t="s">
        <v>103</v>
      </c>
      <c r="C617" t="s">
        <v>31</v>
      </c>
      <c r="D617" s="70" t="s">
        <v>38</v>
      </c>
      <c r="E617" t="s">
        <v>26</v>
      </c>
      <c r="F617">
        <v>3602.2975929978115</v>
      </c>
    </row>
    <row r="618" spans="1:6" x14ac:dyDescent="0.25">
      <c r="A618">
        <v>2025</v>
      </c>
      <c r="B618" t="s">
        <v>103</v>
      </c>
      <c r="C618" t="s">
        <v>31</v>
      </c>
      <c r="D618" s="70" t="s">
        <v>38</v>
      </c>
      <c r="E618" t="s">
        <v>26</v>
      </c>
      <c r="F618">
        <v>2908.0962800875277</v>
      </c>
    </row>
    <row r="619" spans="1:6" x14ac:dyDescent="0.25">
      <c r="A619">
        <v>2025</v>
      </c>
      <c r="B619" t="s">
        <v>103</v>
      </c>
      <c r="C619" t="s">
        <v>31</v>
      </c>
      <c r="D619" s="70" t="s">
        <v>38</v>
      </c>
      <c r="E619" t="s">
        <v>26</v>
      </c>
      <c r="F619">
        <v>3773.5229759299782</v>
      </c>
    </row>
    <row r="620" spans="1:6" x14ac:dyDescent="0.25">
      <c r="A620">
        <v>2025</v>
      </c>
      <c r="B620" t="s">
        <v>103</v>
      </c>
      <c r="C620" t="s">
        <v>31</v>
      </c>
      <c r="D620" s="70" t="s">
        <v>38</v>
      </c>
      <c r="E620" t="s">
        <v>26</v>
      </c>
      <c r="F620">
        <v>3145.5142231947484</v>
      </c>
    </row>
    <row r="621" spans="1:6" x14ac:dyDescent="0.25">
      <c r="A621">
        <v>2025</v>
      </c>
      <c r="B621" t="s">
        <v>103</v>
      </c>
      <c r="C621" t="s">
        <v>31</v>
      </c>
      <c r="D621" s="70" t="s">
        <v>38</v>
      </c>
      <c r="E621" t="s">
        <v>26</v>
      </c>
      <c r="F621">
        <v>3071.1159737417943</v>
      </c>
    </row>
    <row r="622" spans="1:6" x14ac:dyDescent="0.25">
      <c r="A622">
        <v>2025</v>
      </c>
      <c r="B622" t="s">
        <v>103</v>
      </c>
      <c r="C622" t="s">
        <v>31</v>
      </c>
      <c r="D622" s="70" t="s">
        <v>25</v>
      </c>
      <c r="E622" t="s">
        <v>26</v>
      </c>
      <c r="F622">
        <v>1404.8140043763678</v>
      </c>
    </row>
    <row r="623" spans="1:6" x14ac:dyDescent="0.25">
      <c r="A623">
        <v>2025</v>
      </c>
      <c r="B623" t="s">
        <v>103</v>
      </c>
      <c r="C623" t="s">
        <v>31</v>
      </c>
      <c r="D623" s="70" t="s">
        <v>25</v>
      </c>
      <c r="E623" t="s">
        <v>26</v>
      </c>
      <c r="F623">
        <v>1886.214442013129</v>
      </c>
    </row>
    <row r="624" spans="1:6" x14ac:dyDescent="0.25">
      <c r="A624">
        <v>2025</v>
      </c>
      <c r="B624" t="s">
        <v>103</v>
      </c>
      <c r="C624" t="s">
        <v>31</v>
      </c>
      <c r="D624" s="70" t="s">
        <v>25</v>
      </c>
      <c r="E624" t="s">
        <v>26</v>
      </c>
      <c r="F624">
        <v>1024.0700218818379</v>
      </c>
    </row>
    <row r="625" spans="1:6" x14ac:dyDescent="0.25">
      <c r="A625">
        <v>2025</v>
      </c>
      <c r="B625" t="s">
        <v>103</v>
      </c>
      <c r="C625" t="s">
        <v>31</v>
      </c>
      <c r="D625" s="70" t="s">
        <v>25</v>
      </c>
      <c r="E625" t="s">
        <v>26</v>
      </c>
      <c r="F625">
        <v>1282.2757111597371</v>
      </c>
    </row>
    <row r="626" spans="1:6" x14ac:dyDescent="0.25">
      <c r="A626">
        <v>2024</v>
      </c>
      <c r="B626" t="s">
        <v>103</v>
      </c>
      <c r="C626" t="s">
        <v>33</v>
      </c>
      <c r="D626" s="70" t="s">
        <v>25</v>
      </c>
      <c r="E626" t="s">
        <v>26</v>
      </c>
      <c r="F626">
        <v>1237.9649890590808</v>
      </c>
    </row>
    <row r="627" spans="1:6" x14ac:dyDescent="0.25">
      <c r="A627">
        <v>2024</v>
      </c>
      <c r="B627" t="s">
        <v>103</v>
      </c>
      <c r="C627" t="s">
        <v>33</v>
      </c>
      <c r="D627" s="70" t="s">
        <v>25</v>
      </c>
      <c r="E627" t="s">
        <v>26</v>
      </c>
      <c r="F627">
        <v>1647.1553610503283</v>
      </c>
    </row>
    <row r="628" spans="1:6" x14ac:dyDescent="0.25">
      <c r="A628">
        <v>2024</v>
      </c>
      <c r="B628" t="s">
        <v>103</v>
      </c>
      <c r="C628" t="s">
        <v>33</v>
      </c>
      <c r="D628" s="70" t="s">
        <v>25</v>
      </c>
      <c r="E628" t="s">
        <v>26</v>
      </c>
      <c r="F628">
        <v>1442.5601750547046</v>
      </c>
    </row>
    <row r="629" spans="1:6" x14ac:dyDescent="0.25">
      <c r="A629">
        <v>2024</v>
      </c>
      <c r="B629" t="s">
        <v>103</v>
      </c>
      <c r="C629" t="s">
        <v>33</v>
      </c>
      <c r="D629" s="70" t="s">
        <v>38</v>
      </c>
      <c r="E629" t="s">
        <v>26</v>
      </c>
      <c r="F629">
        <v>4120.3501094091898</v>
      </c>
    </row>
    <row r="630" spans="1:6" x14ac:dyDescent="0.25">
      <c r="A630">
        <v>2024</v>
      </c>
      <c r="B630" t="s">
        <v>103</v>
      </c>
      <c r="C630" t="s">
        <v>33</v>
      </c>
      <c r="D630" s="70" t="s">
        <v>38</v>
      </c>
      <c r="E630" t="s">
        <v>26</v>
      </c>
      <c r="F630">
        <v>5253.2822757111599</v>
      </c>
    </row>
    <row r="631" spans="1:6" x14ac:dyDescent="0.25">
      <c r="A631">
        <v>2024</v>
      </c>
      <c r="B631" t="s">
        <v>103</v>
      </c>
      <c r="C631" t="s">
        <v>33</v>
      </c>
      <c r="D631" s="70" t="s">
        <v>38</v>
      </c>
      <c r="E631" t="s">
        <v>26</v>
      </c>
      <c r="F631">
        <v>4450.2188183807439</v>
      </c>
    </row>
    <row r="632" spans="1:6" x14ac:dyDescent="0.25">
      <c r="A632">
        <v>2025</v>
      </c>
      <c r="B632" t="s">
        <v>103</v>
      </c>
      <c r="C632" t="s">
        <v>33</v>
      </c>
      <c r="D632" s="70" t="s">
        <v>38</v>
      </c>
      <c r="E632" t="s">
        <v>26</v>
      </c>
      <c r="F632">
        <v>3653.172866520787</v>
      </c>
    </row>
    <row r="633" spans="1:6" x14ac:dyDescent="0.25">
      <c r="A633">
        <v>2025</v>
      </c>
      <c r="B633" t="s">
        <v>103</v>
      </c>
      <c r="C633" t="s">
        <v>33</v>
      </c>
      <c r="D633" s="70" t="s">
        <v>38</v>
      </c>
      <c r="E633" t="s">
        <v>26</v>
      </c>
      <c r="F633">
        <v>4133.4792122538292</v>
      </c>
    </row>
    <row r="634" spans="1:6" x14ac:dyDescent="0.25">
      <c r="A634">
        <v>2025</v>
      </c>
      <c r="B634" t="s">
        <v>103</v>
      </c>
      <c r="C634" t="s">
        <v>33</v>
      </c>
      <c r="D634" s="70" t="s">
        <v>38</v>
      </c>
      <c r="E634" t="s">
        <v>26</v>
      </c>
      <c r="F634">
        <v>2398.2494529540481</v>
      </c>
    </row>
    <row r="635" spans="1:6" x14ac:dyDescent="0.25">
      <c r="A635">
        <v>2025</v>
      </c>
      <c r="B635" t="s">
        <v>103</v>
      </c>
      <c r="C635" t="s">
        <v>33</v>
      </c>
      <c r="D635" s="70" t="s">
        <v>38</v>
      </c>
      <c r="E635" t="s">
        <v>26</v>
      </c>
      <c r="F635">
        <v>3340.2625820568928</v>
      </c>
    </row>
    <row r="636" spans="1:6" x14ac:dyDescent="0.25">
      <c r="A636">
        <v>2025</v>
      </c>
      <c r="B636" t="s">
        <v>103</v>
      </c>
      <c r="C636" t="s">
        <v>33</v>
      </c>
      <c r="D636" s="70" t="s">
        <v>25</v>
      </c>
      <c r="E636" t="s">
        <v>26</v>
      </c>
      <c r="F636">
        <v>1469.3654266958424</v>
      </c>
    </row>
    <row r="637" spans="1:6" x14ac:dyDescent="0.25">
      <c r="A637">
        <v>2025</v>
      </c>
      <c r="B637" t="s">
        <v>103</v>
      </c>
      <c r="C637" t="s">
        <v>33</v>
      </c>
      <c r="D637" s="70" t="s">
        <v>25</v>
      </c>
      <c r="E637" t="s">
        <v>26</v>
      </c>
      <c r="F637">
        <v>1578.7746170678338</v>
      </c>
    </row>
    <row r="638" spans="1:6" x14ac:dyDescent="0.25">
      <c r="A638">
        <v>2025</v>
      </c>
      <c r="B638" t="s">
        <v>103</v>
      </c>
      <c r="C638" t="s">
        <v>33</v>
      </c>
      <c r="D638" s="70" t="s">
        <v>25</v>
      </c>
      <c r="E638" t="s">
        <v>26</v>
      </c>
    </row>
    <row r="639" spans="1:6" x14ac:dyDescent="0.25">
      <c r="A639">
        <v>2025</v>
      </c>
      <c r="B639" t="s">
        <v>103</v>
      </c>
      <c r="C639" t="s">
        <v>33</v>
      </c>
      <c r="D639" s="70" t="s">
        <v>25</v>
      </c>
      <c r="E639" t="s">
        <v>26</v>
      </c>
      <c r="F639">
        <v>1614.8796498905906</v>
      </c>
    </row>
    <row r="640" spans="1:6" x14ac:dyDescent="0.25">
      <c r="A640">
        <v>2024</v>
      </c>
      <c r="B640" t="s">
        <v>103</v>
      </c>
      <c r="C640" t="s">
        <v>32</v>
      </c>
      <c r="D640" s="70" t="s">
        <v>25</v>
      </c>
      <c r="E640" t="s">
        <v>26</v>
      </c>
      <c r="F640">
        <v>1771.8818380743983</v>
      </c>
    </row>
    <row r="641" spans="1:6" x14ac:dyDescent="0.25">
      <c r="A641">
        <v>2024</v>
      </c>
      <c r="B641" t="s">
        <v>103</v>
      </c>
      <c r="C641" t="s">
        <v>32</v>
      </c>
      <c r="D641" s="70" t="s">
        <v>25</v>
      </c>
      <c r="E641" t="s">
        <v>26</v>
      </c>
      <c r="F641">
        <v>1438.1838074398249</v>
      </c>
    </row>
    <row r="642" spans="1:6" x14ac:dyDescent="0.25">
      <c r="A642">
        <v>2024</v>
      </c>
      <c r="B642" t="s">
        <v>103</v>
      </c>
      <c r="C642" t="s">
        <v>32</v>
      </c>
      <c r="D642" s="70" t="s">
        <v>25</v>
      </c>
      <c r="E642" t="s">
        <v>26</v>
      </c>
      <c r="F642">
        <v>1861.0503282275711</v>
      </c>
    </row>
    <row r="643" spans="1:6" x14ac:dyDescent="0.25">
      <c r="A643">
        <v>2024</v>
      </c>
      <c r="B643" t="s">
        <v>103</v>
      </c>
      <c r="C643" t="s">
        <v>32</v>
      </c>
      <c r="D643" s="70" t="s">
        <v>38</v>
      </c>
      <c r="E643" t="s">
        <v>26</v>
      </c>
      <c r="F643">
        <v>2979.2122538293206</v>
      </c>
    </row>
    <row r="644" spans="1:6" x14ac:dyDescent="0.25">
      <c r="A644">
        <v>2024</v>
      </c>
      <c r="B644" t="s">
        <v>103</v>
      </c>
      <c r="C644" t="s">
        <v>32</v>
      </c>
      <c r="D644" s="70" t="s">
        <v>38</v>
      </c>
      <c r="E644" t="s">
        <v>26</v>
      </c>
      <c r="F644">
        <v>4084.2450765864328</v>
      </c>
    </row>
    <row r="645" spans="1:6" x14ac:dyDescent="0.25">
      <c r="A645">
        <v>2024</v>
      </c>
      <c r="B645" t="s">
        <v>103</v>
      </c>
      <c r="C645" s="84" t="s">
        <v>32</v>
      </c>
      <c r="D645" s="85" t="s">
        <v>38</v>
      </c>
      <c r="E645" t="s">
        <v>26</v>
      </c>
      <c r="F645" s="84">
        <v>3345.1859956236299</v>
      </c>
    </row>
    <row r="646" spans="1:6" x14ac:dyDescent="0.25">
      <c r="A646">
        <v>2025</v>
      </c>
      <c r="B646" t="s">
        <v>103</v>
      </c>
      <c r="C646" t="s">
        <v>32</v>
      </c>
      <c r="D646" s="70" t="s">
        <v>38</v>
      </c>
      <c r="E646" t="s">
        <v>26</v>
      </c>
      <c r="F646">
        <v>3669.5842450765858</v>
      </c>
    </row>
    <row r="647" spans="1:6" x14ac:dyDescent="0.25">
      <c r="A647">
        <v>2025</v>
      </c>
      <c r="B647" t="s">
        <v>103</v>
      </c>
      <c r="C647" t="s">
        <v>32</v>
      </c>
      <c r="D647" s="70" t="s">
        <v>38</v>
      </c>
      <c r="E647" t="s">
        <v>26</v>
      </c>
      <c r="F647">
        <v>3456.236323851203</v>
      </c>
    </row>
    <row r="648" spans="1:6" x14ac:dyDescent="0.25">
      <c r="A648">
        <v>2025</v>
      </c>
      <c r="B648" t="s">
        <v>103</v>
      </c>
      <c r="C648" t="s">
        <v>32</v>
      </c>
      <c r="D648" s="70" t="s">
        <v>38</v>
      </c>
      <c r="E648" t="s">
        <v>26</v>
      </c>
      <c r="F648">
        <v>3731.9474835886213</v>
      </c>
    </row>
    <row r="649" spans="1:6" x14ac:dyDescent="0.25">
      <c r="A649">
        <v>2025</v>
      </c>
      <c r="B649" t="s">
        <v>103</v>
      </c>
      <c r="C649" t="s">
        <v>32</v>
      </c>
      <c r="D649" s="70" t="s">
        <v>38</v>
      </c>
      <c r="E649" t="s">
        <v>26</v>
      </c>
      <c r="F649">
        <v>3572.2100656455141</v>
      </c>
    </row>
    <row r="650" spans="1:6" x14ac:dyDescent="0.25">
      <c r="A650">
        <v>2025</v>
      </c>
      <c r="B650" t="s">
        <v>103</v>
      </c>
      <c r="C650" t="s">
        <v>32</v>
      </c>
      <c r="D650" s="70" t="s">
        <v>25</v>
      </c>
      <c r="E650" t="s">
        <v>26</v>
      </c>
      <c r="F650">
        <v>1645.5142231947482</v>
      </c>
    </row>
    <row r="651" spans="1:6" x14ac:dyDescent="0.25">
      <c r="A651">
        <v>2025</v>
      </c>
      <c r="B651" t="s">
        <v>103</v>
      </c>
      <c r="C651" t="s">
        <v>32</v>
      </c>
      <c r="D651" s="70" t="s">
        <v>25</v>
      </c>
      <c r="E651" t="s">
        <v>26</v>
      </c>
      <c r="F651">
        <v>1439.8249452954049</v>
      </c>
    </row>
    <row r="652" spans="1:6" x14ac:dyDescent="0.25">
      <c r="A652">
        <v>2025</v>
      </c>
      <c r="B652" t="s">
        <v>103</v>
      </c>
      <c r="C652" t="s">
        <v>32</v>
      </c>
      <c r="D652" s="70" t="s">
        <v>25</v>
      </c>
      <c r="E652" t="s">
        <v>26</v>
      </c>
      <c r="F652">
        <v>1669.5842450765861</v>
      </c>
    </row>
    <row r="653" spans="1:6" x14ac:dyDescent="0.25">
      <c r="A653">
        <v>2025</v>
      </c>
      <c r="B653" t="s">
        <v>103</v>
      </c>
      <c r="C653" t="s">
        <v>32</v>
      </c>
      <c r="D653" s="70" t="s">
        <v>25</v>
      </c>
      <c r="E653" t="s">
        <v>26</v>
      </c>
      <c r="F653">
        <v>1505.4704595185995</v>
      </c>
    </row>
    <row r="654" spans="1:6" x14ac:dyDescent="0.25">
      <c r="A654">
        <v>2024</v>
      </c>
      <c r="B654" t="s">
        <v>103</v>
      </c>
      <c r="C654" t="s">
        <v>29</v>
      </c>
      <c r="D654" s="70" t="s">
        <v>25</v>
      </c>
      <c r="E654" t="s">
        <v>26</v>
      </c>
      <c r="F654">
        <v>1450.2188183807439</v>
      </c>
    </row>
    <row r="655" spans="1:6" x14ac:dyDescent="0.25">
      <c r="A655">
        <v>2024</v>
      </c>
      <c r="B655" t="s">
        <v>103</v>
      </c>
      <c r="C655" t="s">
        <v>29</v>
      </c>
      <c r="D655" s="70" t="s">
        <v>25</v>
      </c>
      <c r="E655" t="s">
        <v>26</v>
      </c>
      <c r="F655">
        <v>1684.9015317286651</v>
      </c>
    </row>
    <row r="656" spans="1:6" x14ac:dyDescent="0.25">
      <c r="A656">
        <v>2024</v>
      </c>
      <c r="B656" t="s">
        <v>103</v>
      </c>
      <c r="C656" t="s">
        <v>29</v>
      </c>
      <c r="D656" s="70" t="s">
        <v>25</v>
      </c>
      <c r="E656" t="s">
        <v>26</v>
      </c>
      <c r="F656">
        <v>2449.1247264770241</v>
      </c>
    </row>
    <row r="657" spans="1:6" x14ac:dyDescent="0.25">
      <c r="A657">
        <v>2024</v>
      </c>
      <c r="B657" t="s">
        <v>103</v>
      </c>
      <c r="C657" t="s">
        <v>29</v>
      </c>
      <c r="D657" s="70" t="s">
        <v>38</v>
      </c>
      <c r="E657" t="s">
        <v>26</v>
      </c>
      <c r="F657">
        <v>3928.3369803063447</v>
      </c>
    </row>
    <row r="658" spans="1:6" x14ac:dyDescent="0.25">
      <c r="A658">
        <v>2024</v>
      </c>
      <c r="B658" t="s">
        <v>103</v>
      </c>
      <c r="C658" t="s">
        <v>29</v>
      </c>
      <c r="D658" s="70" t="s">
        <v>38</v>
      </c>
      <c r="E658" t="s">
        <v>26</v>
      </c>
      <c r="F658">
        <v>4579.8687089715531</v>
      </c>
    </row>
    <row r="659" spans="1:6" x14ac:dyDescent="0.25">
      <c r="A659">
        <v>2024</v>
      </c>
      <c r="B659" t="s">
        <v>103</v>
      </c>
      <c r="C659" t="s">
        <v>29</v>
      </c>
      <c r="D659" s="70" t="s">
        <v>38</v>
      </c>
      <c r="E659" t="s">
        <v>26</v>
      </c>
      <c r="F659">
        <v>3097.3741794310722</v>
      </c>
    </row>
    <row r="660" spans="1:6" x14ac:dyDescent="0.25">
      <c r="A660">
        <v>2025</v>
      </c>
      <c r="B660" t="s">
        <v>103</v>
      </c>
      <c r="C660" t="s">
        <v>29</v>
      </c>
      <c r="D660" s="70" t="s">
        <v>38</v>
      </c>
      <c r="E660" t="s">
        <v>26</v>
      </c>
      <c r="F660">
        <v>3146.6083150984682</v>
      </c>
    </row>
    <row r="661" spans="1:6" x14ac:dyDescent="0.25">
      <c r="A661">
        <v>2025</v>
      </c>
      <c r="B661" t="s">
        <v>103</v>
      </c>
      <c r="C661" t="s">
        <v>29</v>
      </c>
      <c r="D661" s="70" t="s">
        <v>38</v>
      </c>
      <c r="E661" t="s">
        <v>26</v>
      </c>
      <c r="F661">
        <v>3010.9409190371989</v>
      </c>
    </row>
    <row r="662" spans="1:6" x14ac:dyDescent="0.25">
      <c r="A662">
        <v>2025</v>
      </c>
      <c r="B662" t="s">
        <v>103</v>
      </c>
      <c r="C662" t="s">
        <v>29</v>
      </c>
      <c r="D662" s="70" t="s">
        <v>38</v>
      </c>
      <c r="E662" t="s">
        <v>26</v>
      </c>
      <c r="F662">
        <v>3595.1859956236322</v>
      </c>
    </row>
    <row r="663" spans="1:6" x14ac:dyDescent="0.25">
      <c r="A663">
        <v>2025</v>
      </c>
      <c r="B663" t="s">
        <v>103</v>
      </c>
      <c r="C663" t="s">
        <v>29</v>
      </c>
      <c r="D663" s="70" t="s">
        <v>38</v>
      </c>
      <c r="E663" t="s">
        <v>26</v>
      </c>
      <c r="F663">
        <v>3799.7811816192557</v>
      </c>
    </row>
    <row r="664" spans="1:6" x14ac:dyDescent="0.25">
      <c r="A664">
        <v>2025</v>
      </c>
      <c r="B664" t="s">
        <v>103</v>
      </c>
      <c r="C664" t="s">
        <v>29</v>
      </c>
      <c r="D664" s="70" t="s">
        <v>25</v>
      </c>
      <c r="E664" t="s">
        <v>26</v>
      </c>
      <c r="F664">
        <v>1178.3369803063456</v>
      </c>
    </row>
    <row r="665" spans="1:6" x14ac:dyDescent="0.25">
      <c r="A665">
        <v>2025</v>
      </c>
      <c r="B665" t="s">
        <v>103</v>
      </c>
      <c r="C665" t="s">
        <v>29</v>
      </c>
      <c r="D665" s="70" t="s">
        <v>25</v>
      </c>
      <c r="E665" t="s">
        <v>26</v>
      </c>
      <c r="F665">
        <v>1096.2800875273522</v>
      </c>
    </row>
    <row r="666" spans="1:6" x14ac:dyDescent="0.25">
      <c r="A666">
        <v>2025</v>
      </c>
      <c r="B666" t="s">
        <v>103</v>
      </c>
      <c r="C666" t="s">
        <v>29</v>
      </c>
      <c r="D666" s="70" t="s">
        <v>25</v>
      </c>
      <c r="E666" t="s">
        <v>26</v>
      </c>
    </row>
    <row r="667" spans="1:6" x14ac:dyDescent="0.25">
      <c r="A667">
        <v>2025</v>
      </c>
      <c r="B667" t="s">
        <v>103</v>
      </c>
      <c r="C667" t="s">
        <v>29</v>
      </c>
      <c r="D667" s="70" t="s">
        <v>25</v>
      </c>
      <c r="E667" t="s">
        <v>26</v>
      </c>
      <c r="F667">
        <v>1766.9584245076585</v>
      </c>
    </row>
  </sheetData>
  <autoFilter ref="A1:F667" xr:uid="{ED547CF1-7D94-4AA0-9AF4-88EA1153C1A8}">
    <filterColumn colId="1">
      <filters>
        <filter val="final"/>
      </filters>
    </filterColumn>
    <filterColumn colId="4">
      <filters>
        <filter val="sarec"/>
      </filters>
    </filterColumn>
    <sortState xmlns:xlrd2="http://schemas.microsoft.com/office/spreadsheetml/2017/richdata2" ref="A314:F667">
      <sortCondition ref="C1:C667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FF68-5155-402E-A423-83FA860426A3}">
  <dimension ref="A1:N22"/>
  <sheetViews>
    <sheetView tabSelected="1" zoomScale="130" zoomScaleNormal="130" workbookViewId="0">
      <selection activeCell="G24" sqref="G24"/>
    </sheetView>
  </sheetViews>
  <sheetFormatPr defaultRowHeight="15" x14ac:dyDescent="0.25"/>
  <cols>
    <col min="3" max="3" width="10.28515625" bestFit="1" customWidth="1"/>
    <col min="4" max="4" width="12" bestFit="1" customWidth="1"/>
    <col min="5" max="5" width="12.28515625" bestFit="1" customWidth="1"/>
    <col min="6" max="6" width="12.85546875" bestFit="1" customWidth="1"/>
    <col min="11" max="11" width="11.85546875" bestFit="1" customWidth="1"/>
    <col min="12" max="14" width="13.140625" bestFit="1" customWidth="1"/>
  </cols>
  <sheetData>
    <row r="1" spans="1:14" x14ac:dyDescent="0.25">
      <c r="A1" t="s">
        <v>94</v>
      </c>
      <c r="B1" t="s">
        <v>0</v>
      </c>
      <c r="C1" s="59" t="s">
        <v>1</v>
      </c>
      <c r="D1" t="s">
        <v>167</v>
      </c>
      <c r="E1" t="s">
        <v>166</v>
      </c>
      <c r="F1" t="s">
        <v>165</v>
      </c>
      <c r="I1" s="49" t="s">
        <v>94</v>
      </c>
      <c r="J1" s="49" t="s">
        <v>0</v>
      </c>
      <c r="K1" s="49" t="s">
        <v>1</v>
      </c>
      <c r="L1" s="49" t="s">
        <v>167</v>
      </c>
      <c r="M1" s="49" t="s">
        <v>166</v>
      </c>
      <c r="N1" s="49" t="s">
        <v>165</v>
      </c>
    </row>
    <row r="2" spans="1:14" x14ac:dyDescent="0.25">
      <c r="A2">
        <v>2025</v>
      </c>
      <c r="B2" t="s">
        <v>103</v>
      </c>
      <c r="C2" t="s">
        <v>105</v>
      </c>
      <c r="D2">
        <v>3095.1859956236322</v>
      </c>
      <c r="F2">
        <f>+D2-E2</f>
        <v>3095.1859956236322</v>
      </c>
      <c r="I2">
        <v>2025</v>
      </c>
      <c r="J2" t="s">
        <v>103</v>
      </c>
      <c r="K2" t="s">
        <v>30</v>
      </c>
      <c r="L2">
        <v>3549.7811816192561</v>
      </c>
      <c r="M2">
        <v>2219.9124726477025</v>
      </c>
      <c r="N2">
        <v>1329.8687089715536</v>
      </c>
    </row>
    <row r="3" spans="1:14" x14ac:dyDescent="0.25">
      <c r="A3">
        <v>2024</v>
      </c>
      <c r="B3" t="s">
        <v>103</v>
      </c>
      <c r="C3" t="s">
        <v>24</v>
      </c>
      <c r="D3">
        <f>+AVERAGE('relative-yield'!$F$319:$F$321)</f>
        <v>4122.9029905178695</v>
      </c>
      <c r="E3">
        <f>+AVERAGE('relative-yield'!$F$316:$F$318)</f>
        <v>1528.0816921954777</v>
      </c>
      <c r="F3">
        <f>+D3-E3</f>
        <v>2594.8212983223921</v>
      </c>
      <c r="I3">
        <v>2024</v>
      </c>
      <c r="J3" t="s">
        <v>103</v>
      </c>
      <c r="K3" t="s">
        <v>30</v>
      </c>
      <c r="L3">
        <v>3317.6513493800144</v>
      </c>
      <c r="M3">
        <v>1891.6849015317284</v>
      </c>
      <c r="N3">
        <v>1425.966447848286</v>
      </c>
    </row>
    <row r="4" spans="1:14" x14ac:dyDescent="0.25">
      <c r="A4">
        <v>2025</v>
      </c>
      <c r="B4" t="s">
        <v>103</v>
      </c>
      <c r="C4" t="s">
        <v>24</v>
      </c>
      <c r="D4">
        <f>+AVERAGE('relative-yield'!$F$322:$F$325)</f>
        <v>3742.0678336980304</v>
      </c>
      <c r="E4">
        <f>+AVERAGE('relative-yield'!$F$327:$F$329)</f>
        <v>1282.2757111597373</v>
      </c>
      <c r="F4">
        <f>+D4-E4</f>
        <v>2459.7921225382934</v>
      </c>
      <c r="I4">
        <v>2024</v>
      </c>
      <c r="J4" t="s">
        <v>103</v>
      </c>
      <c r="K4" t="s">
        <v>37</v>
      </c>
      <c r="L4">
        <v>3297.4106491611965</v>
      </c>
      <c r="M4">
        <v>1664.1137855579871</v>
      </c>
      <c r="N4">
        <v>1633.2968636032094</v>
      </c>
    </row>
    <row r="5" spans="1:14" x14ac:dyDescent="0.25">
      <c r="A5">
        <v>2024</v>
      </c>
      <c r="B5" t="s">
        <v>103</v>
      </c>
      <c r="C5" t="s">
        <v>27</v>
      </c>
      <c r="D5">
        <f>+AVERAGE('relative-yield'!$F$333:$F$335)</f>
        <v>4861.2326768781904</v>
      </c>
      <c r="E5">
        <f>+AVERAGE('relative-yield'!$F$330:$F$332)</f>
        <v>1627.4617067833699</v>
      </c>
      <c r="F5">
        <f>+D5-E5</f>
        <v>3233.7709700948208</v>
      </c>
      <c r="I5">
        <v>2024</v>
      </c>
      <c r="J5" t="s">
        <v>103</v>
      </c>
      <c r="K5" t="s">
        <v>35</v>
      </c>
      <c r="L5">
        <v>2442.5601750547044</v>
      </c>
      <c r="M5">
        <v>711.34208606856316</v>
      </c>
      <c r="N5">
        <v>1731.2180889861411</v>
      </c>
    </row>
    <row r="6" spans="1:14" x14ac:dyDescent="0.25">
      <c r="A6">
        <v>2025</v>
      </c>
      <c r="B6" t="s">
        <v>103</v>
      </c>
      <c r="C6" t="s">
        <v>27</v>
      </c>
      <c r="D6">
        <f>+AVERAGE('relative-yield'!$F$336:$F$339)</f>
        <v>4756.8380743982498</v>
      </c>
      <c r="E6">
        <f>+AVERAGE('relative-yield'!$F$340:$F$343)</f>
        <v>1576.5864332603937</v>
      </c>
      <c r="F6">
        <f>+D6-E6</f>
        <v>3180.251641137856</v>
      </c>
      <c r="I6">
        <v>2024</v>
      </c>
      <c r="J6" t="s">
        <v>103</v>
      </c>
      <c r="K6" t="s">
        <v>34</v>
      </c>
      <c r="L6">
        <v>3106.4916119620716</v>
      </c>
      <c r="M6">
        <v>1350.1094091903722</v>
      </c>
      <c r="N6">
        <v>1756.3822027716994</v>
      </c>
    </row>
    <row r="7" spans="1:14" x14ac:dyDescent="0.25">
      <c r="A7">
        <v>2024</v>
      </c>
      <c r="B7" t="s">
        <v>103</v>
      </c>
      <c r="C7" t="s">
        <v>28</v>
      </c>
      <c r="D7">
        <f>+AVERAGE('relative-yield'!$F$347:$F$349)</f>
        <v>3739.2414296134207</v>
      </c>
      <c r="E7">
        <f>+AVERAGE('relative-yield'!$F$344:$F$346)</f>
        <v>1494.3471918307805</v>
      </c>
      <c r="F7">
        <f>+D7-E7</f>
        <v>2244.8942377826402</v>
      </c>
      <c r="I7">
        <v>2024</v>
      </c>
      <c r="J7" t="s">
        <v>103</v>
      </c>
      <c r="K7" t="s">
        <v>31</v>
      </c>
      <c r="L7">
        <v>3867.9795769511297</v>
      </c>
      <c r="M7">
        <v>2102.1152443471919</v>
      </c>
      <c r="N7">
        <v>1765.8643326039378</v>
      </c>
    </row>
    <row r="8" spans="1:14" x14ac:dyDescent="0.25">
      <c r="A8">
        <v>2025</v>
      </c>
      <c r="B8" t="s">
        <v>103</v>
      </c>
      <c r="C8" t="s">
        <v>28</v>
      </c>
      <c r="D8">
        <f>+AVERAGE('relative-yield'!$F$350:$F$353)</f>
        <v>3169.3107221006558</v>
      </c>
      <c r="E8">
        <f>+AVERAGE('relative-yield'!$F$354:$F$357)</f>
        <v>1391.6849015317284</v>
      </c>
      <c r="F8">
        <f>+D8-E8</f>
        <v>1777.6258205689273</v>
      </c>
      <c r="I8">
        <v>2025</v>
      </c>
      <c r="J8" t="s">
        <v>103</v>
      </c>
      <c r="K8" t="s">
        <v>28</v>
      </c>
      <c r="L8">
        <v>3169.3107221006558</v>
      </c>
      <c r="M8">
        <v>1391.6849015317284</v>
      </c>
      <c r="N8">
        <v>1777.6258205689273</v>
      </c>
    </row>
    <row r="9" spans="1:14" x14ac:dyDescent="0.25">
      <c r="A9">
        <v>2024</v>
      </c>
      <c r="B9" t="s">
        <v>103</v>
      </c>
      <c r="C9" t="s">
        <v>34</v>
      </c>
      <c r="D9">
        <f>+AVERAGE('relative-yield'!$F$361:$F$363)</f>
        <v>3106.4916119620716</v>
      </c>
      <c r="E9">
        <f>+AVERAGE('relative-yield'!$F$358:$F$360)</f>
        <v>1350.1094091903722</v>
      </c>
      <c r="F9">
        <f>+D9-E9</f>
        <v>1756.3822027716994</v>
      </c>
      <c r="I9">
        <v>2024</v>
      </c>
      <c r="J9" t="s">
        <v>103</v>
      </c>
      <c r="K9" t="s">
        <v>32</v>
      </c>
      <c r="L9">
        <v>3469.5477753464606</v>
      </c>
      <c r="M9">
        <v>1690.371991247265</v>
      </c>
      <c r="N9">
        <v>1779.1757840991957</v>
      </c>
    </row>
    <row r="10" spans="1:14" x14ac:dyDescent="0.25">
      <c r="A10">
        <v>2024</v>
      </c>
      <c r="B10" t="s">
        <v>103</v>
      </c>
      <c r="C10" t="s">
        <v>37</v>
      </c>
      <c r="D10">
        <f>+AVERAGE('relative-yield'!$F$367:$F$369)</f>
        <v>3297.4106491611965</v>
      </c>
      <c r="E10">
        <f>+AVERAGE('relative-yield'!$F$364:$F$366)</f>
        <v>1664.1137855579871</v>
      </c>
      <c r="F10">
        <f>+D10-E10</f>
        <v>1633.2968636032094</v>
      </c>
      <c r="I10">
        <v>2025</v>
      </c>
      <c r="J10" t="s">
        <v>103</v>
      </c>
      <c r="K10" t="s">
        <v>31</v>
      </c>
      <c r="L10">
        <v>3224.5623632385123</v>
      </c>
      <c r="M10">
        <v>1399.3435448577679</v>
      </c>
      <c r="N10">
        <v>1825.2188183807443</v>
      </c>
    </row>
    <row r="11" spans="1:14" x14ac:dyDescent="0.25">
      <c r="A11">
        <v>2024</v>
      </c>
      <c r="B11" t="s">
        <v>103</v>
      </c>
      <c r="C11" t="s">
        <v>35</v>
      </c>
      <c r="D11">
        <f>+'relative-yield'!$F$375</f>
        <v>2442.5601750547044</v>
      </c>
      <c r="E11">
        <f>+AVERAGE('relative-yield'!$F$370:$F$372)</f>
        <v>711.34208606856316</v>
      </c>
      <c r="F11">
        <f>+D11-E11</f>
        <v>1731.2180889861411</v>
      </c>
      <c r="I11">
        <v>2025</v>
      </c>
      <c r="J11" t="s">
        <v>103</v>
      </c>
      <c r="K11" t="s">
        <v>33</v>
      </c>
      <c r="L11">
        <v>3381.2910284463896</v>
      </c>
      <c r="M11">
        <v>1554.3398978847556</v>
      </c>
      <c r="N11">
        <v>1826.951130561634</v>
      </c>
    </row>
    <row r="12" spans="1:14" x14ac:dyDescent="0.25">
      <c r="A12">
        <v>2024</v>
      </c>
      <c r="B12" t="s">
        <v>103</v>
      </c>
      <c r="C12" t="s">
        <v>36</v>
      </c>
      <c r="D12">
        <f>+AVERAGE('relative-yield'!$F$379:$F$381)</f>
        <v>2865.426695842451</v>
      </c>
      <c r="E12">
        <f>+AVERAGE('relative-yield'!$F$376:$F$378)</f>
        <v>987.23559445660101</v>
      </c>
      <c r="F12">
        <f>+D12-E12</f>
        <v>1878.1911013858498</v>
      </c>
      <c r="I12">
        <v>2024</v>
      </c>
      <c r="J12" t="s">
        <v>103</v>
      </c>
      <c r="K12" t="s">
        <v>36</v>
      </c>
      <c r="L12">
        <v>2865.426695842451</v>
      </c>
      <c r="M12">
        <v>987.23559445660101</v>
      </c>
      <c r="N12">
        <v>1878.1911013858498</v>
      </c>
    </row>
    <row r="13" spans="1:14" x14ac:dyDescent="0.25">
      <c r="A13">
        <v>2024</v>
      </c>
      <c r="B13" t="s">
        <v>103</v>
      </c>
      <c r="C13" t="s">
        <v>30</v>
      </c>
      <c r="D13">
        <f>+AVERAGE('relative-yield'!$O$317:$O$319)</f>
        <v>3317.6513493800144</v>
      </c>
      <c r="E13">
        <f>+AVERAGE('relative-yield'!$O$314:$O$316)</f>
        <v>1891.6849015317284</v>
      </c>
      <c r="F13">
        <f>+D13-E13</f>
        <v>1425.966447848286</v>
      </c>
      <c r="I13">
        <v>2024</v>
      </c>
      <c r="J13" t="s">
        <v>103</v>
      </c>
      <c r="K13" t="s">
        <v>29</v>
      </c>
      <c r="L13">
        <v>3868.5266229029899</v>
      </c>
      <c r="M13">
        <v>1861.4150255288107</v>
      </c>
      <c r="N13">
        <v>2007.1115973741792</v>
      </c>
    </row>
    <row r="14" spans="1:14" x14ac:dyDescent="0.25">
      <c r="A14">
        <v>2025</v>
      </c>
      <c r="B14" t="s">
        <v>103</v>
      </c>
      <c r="C14" t="s">
        <v>30</v>
      </c>
      <c r="D14">
        <f>+AVERAGE('relative-yield'!$O$320:$O$323)</f>
        <v>3549.7811816192561</v>
      </c>
      <c r="E14">
        <f>+AVERAGE('relative-yield'!$O$324:$O$327)</f>
        <v>2219.9124726477025</v>
      </c>
      <c r="F14">
        <f>+D14-E14</f>
        <v>1329.8687089715536</v>
      </c>
      <c r="I14">
        <v>2025</v>
      </c>
      <c r="J14" t="s">
        <v>103</v>
      </c>
      <c r="K14" t="s">
        <v>29</v>
      </c>
      <c r="L14">
        <v>3388.1291028446385</v>
      </c>
      <c r="M14">
        <v>1347.1918307804519</v>
      </c>
      <c r="N14">
        <v>2040.9372720641866</v>
      </c>
    </row>
    <row r="15" spans="1:14" x14ac:dyDescent="0.25">
      <c r="A15">
        <v>2024</v>
      </c>
      <c r="B15" t="s">
        <v>103</v>
      </c>
      <c r="C15" t="s">
        <v>31</v>
      </c>
      <c r="D15">
        <f>+AVERAGE('relative-yield'!$O$331:$O$333)</f>
        <v>3867.9795769511297</v>
      </c>
      <c r="E15">
        <f>+AVERAGE('relative-yield'!$O$328:$O$330)</f>
        <v>2102.1152443471919</v>
      </c>
      <c r="F15">
        <f>+D15-E15</f>
        <v>1765.8643326039378</v>
      </c>
      <c r="I15">
        <v>2025</v>
      </c>
      <c r="J15" t="s">
        <v>103</v>
      </c>
      <c r="K15" t="s">
        <v>32</v>
      </c>
      <c r="L15">
        <v>3607.4945295404814</v>
      </c>
      <c r="M15">
        <v>1565.0984682713347</v>
      </c>
      <c r="N15">
        <v>2042.3960612691467</v>
      </c>
    </row>
    <row r="16" spans="1:14" x14ac:dyDescent="0.25">
      <c r="A16">
        <v>2025</v>
      </c>
      <c r="B16" t="s">
        <v>103</v>
      </c>
      <c r="C16" t="s">
        <v>31</v>
      </c>
      <c r="D16">
        <f>+AVERAGE('relative-yield'!$O$334:$O$337)</f>
        <v>3224.5623632385123</v>
      </c>
      <c r="E16">
        <f>+AVERAGE('relative-yield'!$O$338:$O$341)</f>
        <v>1399.3435448577679</v>
      </c>
      <c r="F16">
        <f>+D16-E16</f>
        <v>1825.2188183807443</v>
      </c>
      <c r="I16">
        <v>2024</v>
      </c>
      <c r="J16" t="s">
        <v>103</v>
      </c>
      <c r="K16" t="s">
        <v>28</v>
      </c>
      <c r="L16">
        <v>3739.2414296134207</v>
      </c>
      <c r="M16">
        <v>1494.3471918307805</v>
      </c>
      <c r="N16">
        <v>2244.8942377826402</v>
      </c>
    </row>
    <row r="17" spans="1:14" x14ac:dyDescent="0.25">
      <c r="A17">
        <v>2024</v>
      </c>
      <c r="B17" t="s">
        <v>103</v>
      </c>
      <c r="C17" t="s">
        <v>33</v>
      </c>
      <c r="D17">
        <f>+AVERAGE('relative-yield'!$O$345:$O$347)</f>
        <v>4607.9504011670315</v>
      </c>
      <c r="E17">
        <f>+AVERAGE('relative-yield'!$O$342:$O$344)</f>
        <v>1442.5601750547046</v>
      </c>
      <c r="F17">
        <f>+D17-E17</f>
        <v>3165.3902261123267</v>
      </c>
      <c r="I17">
        <v>2025</v>
      </c>
      <c r="J17" t="s">
        <v>103</v>
      </c>
      <c r="K17" t="s">
        <v>24</v>
      </c>
      <c r="L17">
        <v>3742.0678336980304</v>
      </c>
      <c r="M17">
        <v>1282.2757111597373</v>
      </c>
      <c r="N17">
        <v>2459.7921225382934</v>
      </c>
    </row>
    <row r="18" spans="1:14" x14ac:dyDescent="0.25">
      <c r="A18">
        <v>2025</v>
      </c>
      <c r="B18" t="s">
        <v>103</v>
      </c>
      <c r="C18" t="s">
        <v>33</v>
      </c>
      <c r="D18">
        <f>+AVERAGE('relative-yield'!$O$348:$O$351)</f>
        <v>3381.2910284463896</v>
      </c>
      <c r="E18">
        <f>+AVERAGE('relative-yield'!$O$352:$O$355)</f>
        <v>1554.3398978847556</v>
      </c>
      <c r="F18">
        <f>+D18-E18</f>
        <v>1826.951130561634</v>
      </c>
      <c r="I18">
        <v>2024</v>
      </c>
      <c r="J18" t="s">
        <v>103</v>
      </c>
      <c r="K18" t="s">
        <v>24</v>
      </c>
      <c r="L18">
        <v>4122.9029905178695</v>
      </c>
      <c r="M18">
        <v>1528.0816921954777</v>
      </c>
      <c r="N18">
        <v>2594.8212983223921</v>
      </c>
    </row>
    <row r="19" spans="1:14" x14ac:dyDescent="0.25">
      <c r="A19">
        <v>2024</v>
      </c>
      <c r="B19" t="s">
        <v>103</v>
      </c>
      <c r="C19" t="s">
        <v>32</v>
      </c>
      <c r="D19">
        <f>+AVERAGE('relative-yield'!$O$359:$O$361)</f>
        <v>3469.5477753464606</v>
      </c>
      <c r="E19">
        <f>+AVERAGE('relative-yield'!$O$356:$O$358)</f>
        <v>1690.371991247265</v>
      </c>
      <c r="F19">
        <f>+D19-E19</f>
        <v>1779.1757840991957</v>
      </c>
      <c r="I19">
        <v>2025</v>
      </c>
      <c r="J19" t="s">
        <v>103</v>
      </c>
      <c r="K19" t="s">
        <v>105</v>
      </c>
      <c r="L19">
        <v>3095.1859956236322</v>
      </c>
      <c r="N19">
        <v>3095.1859956236322</v>
      </c>
    </row>
    <row r="20" spans="1:14" x14ac:dyDescent="0.25">
      <c r="A20">
        <v>2025</v>
      </c>
      <c r="B20" t="s">
        <v>103</v>
      </c>
      <c r="C20" t="s">
        <v>32</v>
      </c>
      <c r="D20">
        <f>+AVERAGE('relative-yield'!$O$362:$O$365)</f>
        <v>3607.4945295404814</v>
      </c>
      <c r="E20">
        <f>+AVERAGE('relative-yield'!$O$366:$O$369)</f>
        <v>1565.0984682713347</v>
      </c>
      <c r="F20">
        <f>+D20-E20</f>
        <v>2042.3960612691467</v>
      </c>
      <c r="I20">
        <v>2024</v>
      </c>
      <c r="J20" t="s">
        <v>103</v>
      </c>
      <c r="K20" t="s">
        <v>33</v>
      </c>
      <c r="L20">
        <v>4607.9504011670315</v>
      </c>
      <c r="M20">
        <v>1442.5601750547046</v>
      </c>
      <c r="N20">
        <v>3165.3902261123267</v>
      </c>
    </row>
    <row r="21" spans="1:14" x14ac:dyDescent="0.25">
      <c r="A21">
        <v>2024</v>
      </c>
      <c r="B21" t="s">
        <v>103</v>
      </c>
      <c r="C21" t="s">
        <v>29</v>
      </c>
      <c r="D21">
        <f>+AVERAGE('relative-yield'!$O$373:$O$375)</f>
        <v>3868.5266229029899</v>
      </c>
      <c r="E21">
        <f>+AVERAGE('relative-yield'!$O$370:$O$372)</f>
        <v>1861.4150255288107</v>
      </c>
      <c r="F21">
        <f>+D21-E21</f>
        <v>2007.1115973741792</v>
      </c>
      <c r="I21">
        <v>2025</v>
      </c>
      <c r="J21" t="s">
        <v>103</v>
      </c>
      <c r="K21" t="s">
        <v>27</v>
      </c>
      <c r="L21">
        <v>4756.8380743982498</v>
      </c>
      <c r="M21">
        <v>1576.5864332603937</v>
      </c>
      <c r="N21">
        <v>3180.251641137856</v>
      </c>
    </row>
    <row r="22" spans="1:14" x14ac:dyDescent="0.25">
      <c r="A22">
        <v>2025</v>
      </c>
      <c r="B22" t="s">
        <v>103</v>
      </c>
      <c r="C22" t="s">
        <v>29</v>
      </c>
      <c r="D22">
        <f>+AVERAGE('relative-yield'!$O$376:$O$379)</f>
        <v>3388.1291028446385</v>
      </c>
      <c r="E22">
        <f>+AVERAGE('relative-yield'!$O$380:$O$383)</f>
        <v>1347.1918307804519</v>
      </c>
      <c r="F22">
        <f>+D22-E22</f>
        <v>2040.9372720641866</v>
      </c>
      <c r="I22">
        <v>2024</v>
      </c>
      <c r="J22" t="s">
        <v>103</v>
      </c>
      <c r="K22" t="s">
        <v>27</v>
      </c>
      <c r="L22">
        <v>4861.2326768781904</v>
      </c>
      <c r="M22">
        <v>1627.4617067833699</v>
      </c>
      <c r="N22">
        <v>3233.7709700948199</v>
      </c>
    </row>
  </sheetData>
  <autoFilter ref="I1:N1" xr:uid="{3DE87DEB-A676-4DBF-BC0D-B7893D68CA3E}">
    <sortState xmlns:xlrd2="http://schemas.microsoft.com/office/spreadsheetml/2017/richdata2" ref="I2:N22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genotypes</vt:lpstr>
      <vt:lpstr>2024-H2</vt:lpstr>
      <vt:lpstr>2024-H3</vt:lpstr>
      <vt:lpstr>2024-H4</vt:lpstr>
      <vt:lpstr>all</vt:lpstr>
      <vt:lpstr>%reduction</vt:lpstr>
      <vt:lpstr>2024-selected</vt:lpstr>
      <vt:lpstr>interaction_plots</vt:lpstr>
      <vt:lpstr>all mm</vt:lpstr>
      <vt:lpstr>Sheet3</vt:lpstr>
      <vt:lpstr>relative-yield</vt:lpstr>
      <vt:lpstr>relative_yield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cp:lastPrinted>2026-01-20T20:47:04Z</cp:lastPrinted>
  <dcterms:created xsi:type="dcterms:W3CDTF">2025-12-01T16:11:31Z</dcterms:created>
  <dcterms:modified xsi:type="dcterms:W3CDTF">2026-06-12T18:54:13Z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2025-12-01T17:53:29Z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676ae051-7d73-4707-a847-f91e5c036bef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